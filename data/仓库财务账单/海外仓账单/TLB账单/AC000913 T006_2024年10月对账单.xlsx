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1535" tabRatio="440" activeTab="1"/>
  </bookViews>
  <sheets>
    <sheet name="INVOICE" sheetId="2" r:id="rId1"/>
    <sheet name="T006明细" sheetId="9" r:id="rId2"/>
    <sheet name="FBA产品" sheetId="10" r:id="rId3"/>
  </sheets>
  <definedNames>
    <definedName name="_xlnm._FilterDatabase" localSheetId="1" hidden="1">T006明细!$A$1:$XDS$656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R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570*0.25*2+570*0.35*2+26*0.45*2
</t>
        </r>
      </text>
    </comment>
    <comment ref="U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1.5*26+1*26=65</t>
        </r>
      </text>
    </comment>
    <comment ref="V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26箱*4.5=117</t>
        </r>
      </text>
    </comment>
  </commentList>
</comments>
</file>

<file path=xl/sharedStrings.xml><?xml version="1.0" encoding="utf-8"?>
<sst xmlns="http://schemas.openxmlformats.org/spreadsheetml/2006/main" count="8222" uniqueCount="3243">
  <si>
    <t>TLB GLOBAL LOGISTICS LTD</t>
  </si>
  <si>
    <t>Invoice Date:</t>
  </si>
  <si>
    <t>31.10.2024</t>
  </si>
  <si>
    <t>Invoice Number:</t>
  </si>
  <si>
    <t>AC000913</t>
  </si>
  <si>
    <t>Account Reference:</t>
  </si>
  <si>
    <t>91440300MA5FY2ME53</t>
  </si>
  <si>
    <t>Empress Mill, 7 Empress Street</t>
  </si>
  <si>
    <t>VAT Registration:</t>
  </si>
  <si>
    <t>GB 349 947 832</t>
  </si>
  <si>
    <t>Old Trafford</t>
  </si>
  <si>
    <t>Manchester, M16 9EN</t>
  </si>
  <si>
    <t>INVOICE</t>
  </si>
  <si>
    <t xml:space="preserve"> Invoice to:</t>
  </si>
  <si>
    <t>Shenzhen Hubbell intelligent Technology Co., LTD</t>
  </si>
  <si>
    <t>Research building</t>
  </si>
  <si>
    <t>Tsinghua Information Harbor</t>
  </si>
  <si>
    <t>Nanshan District, Shenzhen</t>
  </si>
  <si>
    <t>CHINA</t>
  </si>
  <si>
    <t>Unit Price</t>
  </si>
  <si>
    <t>Qty.</t>
  </si>
  <si>
    <t>Description</t>
  </si>
  <si>
    <t>VAT (N/A)</t>
  </si>
  <si>
    <t>Amount</t>
  </si>
  <si>
    <t>10.01 - 10.31 INOFIA</t>
  </si>
  <si>
    <t>Fulfillment Charge</t>
  </si>
  <si>
    <t>操作费折扣</t>
  </si>
  <si>
    <t>Sub-Total:</t>
  </si>
  <si>
    <t>VAT Total:</t>
  </si>
  <si>
    <t>Total Due:</t>
  </si>
  <si>
    <t>Note:</t>
  </si>
  <si>
    <t xml:space="preserve">* Recipients are responsible to confirm delivery content and payment amount before goods handed over  </t>
  </si>
  <si>
    <t xml:space="preserve">* Should you have any problem with the delivered goods please contact TLB Global within 3 working days. </t>
  </si>
  <si>
    <t xml:space="preserve">* Please make payment to:TLB GLOBAL LOGISTICS LTD, Sort Code: 40-11-56, Account No.: 90961485, </t>
  </si>
  <si>
    <t xml:space="preserve">or BIC: HBUKGB4B, IBAN: GB87HBUK40115690961485, within 7 days of invoice date. </t>
  </si>
  <si>
    <t>仓库代码</t>
  </si>
  <si>
    <t>客户代码</t>
  </si>
  <si>
    <t>业务类型</t>
  </si>
  <si>
    <t>单号</t>
  </si>
  <si>
    <t>跟踪号</t>
  </si>
  <si>
    <t>计费时间</t>
  </si>
  <si>
    <t>创建时间</t>
  </si>
  <si>
    <t>备注</t>
  </si>
  <si>
    <t>计费金额</t>
  </si>
  <si>
    <t>运输方式</t>
  </si>
  <si>
    <t>参考号</t>
  </si>
  <si>
    <t>分区代码</t>
  </si>
  <si>
    <t>计费重量</t>
  </si>
  <si>
    <t>实际重量</t>
  </si>
  <si>
    <t>操作费</t>
  </si>
  <si>
    <t>仓储费</t>
  </si>
  <si>
    <t>入库费</t>
  </si>
  <si>
    <t>贴标费</t>
  </si>
  <si>
    <t>包材费用</t>
  </si>
  <si>
    <t>打托费</t>
  </si>
  <si>
    <t>出货费</t>
  </si>
  <si>
    <t>运输费</t>
  </si>
  <si>
    <t>卸货费</t>
  </si>
  <si>
    <t xml:space="preserve">GBPGO	</t>
  </si>
  <si>
    <t>T006</t>
  </si>
  <si>
    <t>订单</t>
  </si>
  <si>
    <t>T006-241001-0001</t>
  </si>
  <si>
    <t xml:space="preserve">OJ147360415GB	</t>
  </si>
  <si>
    <t>2024-10-01 09:22:09</t>
  </si>
  <si>
    <t>2024-10-01 22:19:11</t>
  </si>
  <si>
    <t>RM-TRACKED-48</t>
  </si>
  <si>
    <t>ST-PO-210-02719705459753644</t>
  </si>
  <si>
    <t>Zone A</t>
  </si>
  <si>
    <t>3.500KG</t>
  </si>
  <si>
    <t>T006-241001-0002</t>
  </si>
  <si>
    <t xml:space="preserve">OJ147361557GB	</t>
  </si>
  <si>
    <t>2024-10-01 09:22:14</t>
  </si>
  <si>
    <t>2024-10-01 22:19:10</t>
  </si>
  <si>
    <t>ST-PO-210-02135589855270215</t>
  </si>
  <si>
    <t>0.100KG</t>
  </si>
  <si>
    <t>T006-241001-0003</t>
  </si>
  <si>
    <t xml:space="preserve">OJ147361203GB	</t>
  </si>
  <si>
    <t>2024-10-01 09:22:16</t>
  </si>
  <si>
    <t>ST-PO-210-02246495309351312</t>
  </si>
  <si>
    <t>1.000KG</t>
  </si>
  <si>
    <t>T006-241001-0004</t>
  </si>
  <si>
    <t xml:space="preserve">OJ147360843GB	</t>
  </si>
  <si>
    <t>2024-10-01 09:22:17</t>
  </si>
  <si>
    <t>2024-10-01 22:19:09</t>
  </si>
  <si>
    <t>ST-PO-210-02321529503271891</t>
  </si>
  <si>
    <t>7.000KG</t>
  </si>
  <si>
    <t>T006-241001-0005</t>
  </si>
  <si>
    <t xml:space="preserve">OJ147360715GB	</t>
  </si>
  <si>
    <t>2024-10-01 09:22:18</t>
  </si>
  <si>
    <t>2024-10-01 22:19:08</t>
  </si>
  <si>
    <t>ST-PO-210-02483639153192237</t>
  </si>
  <si>
    <t>T006-241001-0006</t>
  </si>
  <si>
    <t xml:space="preserve">OJ147360565GB	</t>
  </si>
  <si>
    <t>2024-10-01 09:22:19</t>
  </si>
  <si>
    <t>ST-PO-210-02282443387431098</t>
  </si>
  <si>
    <t>FBA</t>
  </si>
  <si>
    <t>FD-T006-240927-0001</t>
  </si>
  <si>
    <t xml:space="preserve">15501419601884	</t>
  </si>
  <si>
    <t>2024-10-01 19:24:24</t>
  </si>
  <si>
    <t>2024-10-01 20:35:58</t>
  </si>
  <si>
    <t>DPD-FORWARD</t>
  </si>
  <si>
    <t>520.000KG</t>
  </si>
  <si>
    <t>0KG</t>
  </si>
  <si>
    <t>T006-241001-0007</t>
  </si>
  <si>
    <t xml:space="preserve">OJ147867119GB	</t>
  </si>
  <si>
    <t>2024-10-01 22:13:47</t>
  </si>
  <si>
    <t>2024-10-02 23:27:23</t>
  </si>
  <si>
    <t>3042311406389293</t>
  </si>
  <si>
    <t>0.850KG</t>
  </si>
  <si>
    <t>入库单</t>
  </si>
  <si>
    <t>RVT006-241001-0001</t>
  </si>
  <si>
    <t xml:space="preserve">	</t>
  </si>
  <si>
    <t>2024-10-01 22:23:31</t>
  </si>
  <si>
    <t>5327.000KG</t>
  </si>
  <si>
    <t>T006-241002-0001</t>
  </si>
  <si>
    <t xml:space="preserve">OJ148273037GB	</t>
  </si>
  <si>
    <t>2024-10-02 10:48:28</t>
  </si>
  <si>
    <t>2024-10-02 23:27:07</t>
  </si>
  <si>
    <t>ST-PO-210-13319105091111906</t>
  </si>
  <si>
    <t>T006-241002-0002</t>
  </si>
  <si>
    <t xml:space="preserve">OJ148272615GB	</t>
  </si>
  <si>
    <t>2024-10-02 10:48:33</t>
  </si>
  <si>
    <t>ST-PO-210-13513114793513022</t>
  </si>
  <si>
    <t>T006-241002-0003</t>
  </si>
  <si>
    <t xml:space="preserve">OJ148272221GB	</t>
  </si>
  <si>
    <t>2024-10-02 10:48:34</t>
  </si>
  <si>
    <t>ST-PO-210-13645990001193286</t>
  </si>
  <si>
    <t>T006-241002-0004</t>
  </si>
  <si>
    <t xml:space="preserve">OJ148271985GB	</t>
  </si>
  <si>
    <t>2024-10-02 10:48:35</t>
  </si>
  <si>
    <t>2024-10-02 23:27:05</t>
  </si>
  <si>
    <t>ST-PO-210-13490572885032932</t>
  </si>
  <si>
    <t>0.200KG</t>
  </si>
  <si>
    <t>T006-241002-0005</t>
  </si>
  <si>
    <t xml:space="preserve">OJ148271645GB	</t>
  </si>
  <si>
    <t>2024-10-02 10:48:37</t>
  </si>
  <si>
    <t>ST-PO-210-13323485985831880</t>
  </si>
  <si>
    <t>0.500KG</t>
  </si>
  <si>
    <t>T006-241002-0006</t>
  </si>
  <si>
    <t xml:space="preserve">OJ148273195GB	</t>
  </si>
  <si>
    <t>2024-10-02 10:48:38</t>
  </si>
  <si>
    <t>2024-10-02 23:27:06</t>
  </si>
  <si>
    <t>ST-PO-210-13195908178470595</t>
  </si>
  <si>
    <t>T006-241002-0007</t>
  </si>
  <si>
    <t xml:space="preserve">OJ148359603GB	</t>
  </si>
  <si>
    <t>2024-10-02 11:45:43</t>
  </si>
  <si>
    <t>2024-10-02 23:27:03</t>
  </si>
  <si>
    <t>ST-PO-210-13417862303272310</t>
  </si>
  <si>
    <t>10.500KG</t>
  </si>
  <si>
    <t>T006-241002-0008</t>
  </si>
  <si>
    <t xml:space="preserve">OJ148359869GB	</t>
  </si>
  <si>
    <t>2024-10-02 11:45:45</t>
  </si>
  <si>
    <t>ST-PO-210-13657229338153221</t>
  </si>
  <si>
    <t>6.600KG</t>
  </si>
  <si>
    <t>T006-241002-0009</t>
  </si>
  <si>
    <t xml:space="preserve">OJ148465859GB	</t>
  </si>
  <si>
    <t>2024-10-02 14:36:09</t>
  </si>
  <si>
    <t>2024-10-02 23:27:01</t>
  </si>
  <si>
    <t>ST-PO-210-08081285635113398</t>
  </si>
  <si>
    <t>T006-241002-0010</t>
  </si>
  <si>
    <t xml:space="preserve">OJ148719479GB	</t>
  </si>
  <si>
    <t>2024-10-02 21:52:01</t>
  </si>
  <si>
    <t>2024-10-03 23:44:04</t>
  </si>
  <si>
    <t>ST-PO-210-07579572209190279</t>
  </si>
  <si>
    <t>4.300KG</t>
  </si>
  <si>
    <t>T006-241002-0011</t>
  </si>
  <si>
    <t xml:space="preserve">OJ148719505GB	</t>
  </si>
  <si>
    <t>2024-10-02 21:52:03</t>
  </si>
  <si>
    <t>ST-PO-210-07774567406631130</t>
  </si>
  <si>
    <t>0.750KG</t>
  </si>
  <si>
    <t>T006-241003-0001</t>
  </si>
  <si>
    <t xml:space="preserve">OJ148934194GB	</t>
  </si>
  <si>
    <t>2024-10-03 06:02:57</t>
  </si>
  <si>
    <t>2024-10-03 23:44:03</t>
  </si>
  <si>
    <t>ST-PO-210-08214031657513665</t>
  </si>
  <si>
    <t>T006-241003-0002</t>
  </si>
  <si>
    <t xml:space="preserve">OJ148934279GB	</t>
  </si>
  <si>
    <t>2024-10-03 06:02:58</t>
  </si>
  <si>
    <t>ST-PO-210-08169637276713928</t>
  </si>
  <si>
    <t>1.300KG</t>
  </si>
  <si>
    <t>T006-241003-0003</t>
  </si>
  <si>
    <t xml:space="preserve">OJ149667282GB	</t>
  </si>
  <si>
    <t>2024-10-03 21:00:37</t>
  </si>
  <si>
    <t>2024-10-04 23:25:48</t>
  </si>
  <si>
    <t>3042702555585520</t>
  </si>
  <si>
    <t>T006-241003-0004</t>
  </si>
  <si>
    <t xml:space="preserve">OJ149673226GB	</t>
  </si>
  <si>
    <t>2024-10-03 21:10:51</t>
  </si>
  <si>
    <t>ST-PO-210-19040851103272618</t>
  </si>
  <si>
    <t>1.400KG</t>
  </si>
  <si>
    <t>T006-241003-0005</t>
  </si>
  <si>
    <t xml:space="preserve">OJ149673844GB	</t>
  </si>
  <si>
    <t>2024-10-03 21:10:53</t>
  </si>
  <si>
    <t>2024-10-04 23:25:47</t>
  </si>
  <si>
    <t>ST-PO-210-18827783081511840</t>
  </si>
  <si>
    <t>T006-241003-0006</t>
  </si>
  <si>
    <t xml:space="preserve">OJ149673760GB	</t>
  </si>
  <si>
    <t>2024-10-03 21:10:54</t>
  </si>
  <si>
    <t>2024-10-04 23:25:46</t>
  </si>
  <si>
    <t>ST-PO-210-19235200113193764</t>
  </si>
  <si>
    <t>1.100KG</t>
  </si>
  <si>
    <t>T006-241003-0007</t>
  </si>
  <si>
    <t xml:space="preserve">OJ149673708GB	</t>
  </si>
  <si>
    <t>2024-10-03 21:10:56</t>
  </si>
  <si>
    <t>ST-PO-210-18776967158311089</t>
  </si>
  <si>
    <t>T006-241003-0008</t>
  </si>
  <si>
    <t xml:space="preserve">OJ149673570GB	</t>
  </si>
  <si>
    <t>2024-10-03 21:10:57</t>
  </si>
  <si>
    <t>ST-PO-210-18997569085992876</t>
  </si>
  <si>
    <t>0.700KG</t>
  </si>
  <si>
    <t>T006-241003-0009</t>
  </si>
  <si>
    <t xml:space="preserve">OJ149673455GB	</t>
  </si>
  <si>
    <t>2024-10-03 21:10:58</t>
  </si>
  <si>
    <t>2024-10-04 23:25:45</t>
  </si>
  <si>
    <t>ST-PO-210-18997306163752878</t>
  </si>
  <si>
    <t>T006-241003-0010</t>
  </si>
  <si>
    <t xml:space="preserve">OJ149673875GB	</t>
  </si>
  <si>
    <t>2024-10-03 21:11:00</t>
  </si>
  <si>
    <t>2024-10-04 23:25:44</t>
  </si>
  <si>
    <t>ST-PO-210-08153294879273259</t>
  </si>
  <si>
    <t>T006-241003-0011</t>
  </si>
  <si>
    <t xml:space="preserve">OJ149673800GB	</t>
  </si>
  <si>
    <t>2024-10-03 21:11:04</t>
  </si>
  <si>
    <t>ST-PO-210-08182316915754076</t>
  </si>
  <si>
    <t>T006-241003-0012</t>
  </si>
  <si>
    <t xml:space="preserve">OJ149673756GB	</t>
  </si>
  <si>
    <t>2024-10-03 21:11:07</t>
  </si>
  <si>
    <t>ST-PO-210-07641214531110135</t>
  </si>
  <si>
    <t>T006-241003-0013</t>
  </si>
  <si>
    <t xml:space="preserve">OJ149673637GB	</t>
  </si>
  <si>
    <t>2024-10-03 21:11:08</t>
  </si>
  <si>
    <t>2024-10-04 23:25:43</t>
  </si>
  <si>
    <t>ST-PO-210-07564367944230369</t>
  </si>
  <si>
    <t>T006-241003-0014</t>
  </si>
  <si>
    <t xml:space="preserve">OJ149681545GB	</t>
  </si>
  <si>
    <t>2024-10-03 21:21:31</t>
  </si>
  <si>
    <t>ST-PO-210-18821081421351880</t>
  </si>
  <si>
    <t>T006-241004-0001</t>
  </si>
  <si>
    <t xml:space="preserve">OJ149929425GB	</t>
  </si>
  <si>
    <t>2024-10-04 05:01:32</t>
  </si>
  <si>
    <t>ST-PO-210-18979619085352185</t>
  </si>
  <si>
    <t>3.300KG</t>
  </si>
  <si>
    <t>T006-241004-0002</t>
  </si>
  <si>
    <t xml:space="preserve">OJ150129303GB	</t>
  </si>
  <si>
    <t>2024-10-04 09:09:27</t>
  </si>
  <si>
    <t>ST-PO-210-18650916992550814</t>
  </si>
  <si>
    <t>T006-241004-0003</t>
  </si>
  <si>
    <t xml:space="preserve">OJ150129983GB	</t>
  </si>
  <si>
    <t>2024-10-04 09:09:28</t>
  </si>
  <si>
    <t>2024-10-04 23:25:42</t>
  </si>
  <si>
    <t>ST-PO-210-19108248023593464</t>
  </si>
  <si>
    <t>T006-241004-0004</t>
  </si>
  <si>
    <t xml:space="preserve">OJ150129731GB	</t>
  </si>
  <si>
    <t>2024-10-04 09:09:29</t>
  </si>
  <si>
    <t>2024-10-04 23:25:41</t>
  </si>
  <si>
    <t>ST-PO-210-18919246520872321</t>
  </si>
  <si>
    <t>T006-241004-0005</t>
  </si>
  <si>
    <t xml:space="preserve">OJ150129436GB	</t>
  </si>
  <si>
    <t>2024-10-04 09:09:31</t>
  </si>
  <si>
    <t>2024-10-04 23:25:40</t>
  </si>
  <si>
    <t>ST-PO-210-18842049152552013</t>
  </si>
  <si>
    <t>T006-241004-0006</t>
  </si>
  <si>
    <t xml:space="preserve">OJ150133912GB	</t>
  </si>
  <si>
    <t>2024-10-04 09:09:32</t>
  </si>
  <si>
    <t>ST-PO-210-18997912538152874</t>
  </si>
  <si>
    <t>T006-241004-0007</t>
  </si>
  <si>
    <t xml:space="preserve">OJ150134334GB	</t>
  </si>
  <si>
    <t>2024-10-04 09:09:33</t>
  </si>
  <si>
    <t>ST-PO-210-18614579128870009</t>
  </si>
  <si>
    <t>T006-241004-0008</t>
  </si>
  <si>
    <t xml:space="preserve">OJ150134073GB	</t>
  </si>
  <si>
    <t>2024-10-04 09:09:37</t>
  </si>
  <si>
    <t>ST-PO-210-18728435200551376</t>
  </si>
  <si>
    <t>T006-241005-0001</t>
  </si>
  <si>
    <t xml:space="preserve">OJ200622685GB	</t>
  </si>
  <si>
    <t>2024-10-05 13:27:23</t>
  </si>
  <si>
    <t>2024-10-07 23:41:44</t>
  </si>
  <si>
    <t>ST-PO-210-02800360965672141</t>
  </si>
  <si>
    <t>T006-241005-0002</t>
  </si>
  <si>
    <t xml:space="preserve">OJ200623465GB	</t>
  </si>
  <si>
    <t>2024-10-05 13:27:24</t>
  </si>
  <si>
    <t>ST-PO-210-03132184550950387</t>
  </si>
  <si>
    <t>T006-241005-0003</t>
  </si>
  <si>
    <t xml:space="preserve">OJ200623261GB	</t>
  </si>
  <si>
    <t>2024-10-05 13:27:25</t>
  </si>
  <si>
    <t>2024-10-07 23:41:42</t>
  </si>
  <si>
    <t>ST-PO-210-02874994322472974</t>
  </si>
  <si>
    <t>T006-241005-0004</t>
  </si>
  <si>
    <t xml:space="preserve">OJ200623054GB	</t>
  </si>
  <si>
    <t>2024-10-05 13:27:28</t>
  </si>
  <si>
    <t>2024-10-07 23:41:43</t>
  </si>
  <si>
    <t>ST-PO-210-03119506442790463</t>
  </si>
  <si>
    <t>T006-241005-0005</t>
  </si>
  <si>
    <t xml:space="preserve">OJ200622867GB	</t>
  </si>
  <si>
    <t>2024-10-05 13:27:30</t>
  </si>
  <si>
    <t>ST-PO-210-03400749691431600</t>
  </si>
  <si>
    <t>T006-241005-0006</t>
  </si>
  <si>
    <t xml:space="preserve">OJ200622734GB	</t>
  </si>
  <si>
    <t>2024-10-05 13:27:31</t>
  </si>
  <si>
    <t>ST-PO-210-03400079877671604</t>
  </si>
  <si>
    <t>T006-241005-0007</t>
  </si>
  <si>
    <t xml:space="preserve">OJ200623615GB	</t>
  </si>
  <si>
    <t>2024-10-05 13:27:32</t>
  </si>
  <si>
    <t>2024-10-07 23:41:41</t>
  </si>
  <si>
    <t>ST-PO-210-03135678856230108</t>
  </si>
  <si>
    <t>T006-241005-0008</t>
  </si>
  <si>
    <t xml:space="preserve">OJ200623394GB	</t>
  </si>
  <si>
    <t>2024-10-05 13:27:33</t>
  </si>
  <si>
    <t>2024-10-07 23:41:40</t>
  </si>
  <si>
    <t>ST-PO-210-02866960773672990</t>
  </si>
  <si>
    <t>6.500KG</t>
  </si>
  <si>
    <t>T006-241005-0009</t>
  </si>
  <si>
    <t xml:space="preserve">OJ200623139GB	</t>
  </si>
  <si>
    <t>2024-10-05 13:27:37</t>
  </si>
  <si>
    <t>ST-PO-210-02856452019753055</t>
  </si>
  <si>
    <t>T006-241005-0010</t>
  </si>
  <si>
    <t xml:space="preserve">OJ200622955GB	</t>
  </si>
  <si>
    <t>2024-10-05 13:27:38</t>
  </si>
  <si>
    <t>ST-PO-210-02856726108713053</t>
  </si>
  <si>
    <t>T006-241005-0011</t>
  </si>
  <si>
    <t xml:space="preserve">OJ200622819GB	</t>
  </si>
  <si>
    <t>2024-10-05 13:27:39</t>
  </si>
  <si>
    <t>ST-PO-210-02966611502633196</t>
  </si>
  <si>
    <t>T006-241005-0012</t>
  </si>
  <si>
    <t xml:space="preserve">OJ200742136GB	</t>
  </si>
  <si>
    <t>2024-10-05 15:31:50</t>
  </si>
  <si>
    <t>ST-PO-210-14067726011433812</t>
  </si>
  <si>
    <t>T006-241005-0013</t>
  </si>
  <si>
    <t xml:space="preserve">OJ200742683GB	</t>
  </si>
  <si>
    <t>2024-10-05 15:31:52</t>
  </si>
  <si>
    <t>2024-10-07 23:41:39</t>
  </si>
  <si>
    <t>ST-PO-210-14063623844393615</t>
  </si>
  <si>
    <t>T006-241005-0014</t>
  </si>
  <si>
    <t xml:space="preserve">OJ200742520GB	</t>
  </si>
  <si>
    <t>2024-10-05 15:31:53</t>
  </si>
  <si>
    <t>2024-10-07 23:41:38</t>
  </si>
  <si>
    <t>ST-PO-210-02886631140392651</t>
  </si>
  <si>
    <t>T006-241005-0015</t>
  </si>
  <si>
    <t xml:space="preserve">OJ200742431GB	</t>
  </si>
  <si>
    <t>2024-10-05 15:31:54</t>
  </si>
  <si>
    <t>ST-PO-210-03312048123431139</t>
  </si>
  <si>
    <t>T006-241005-0016</t>
  </si>
  <si>
    <t xml:space="preserve">OJ200742343GB	</t>
  </si>
  <si>
    <t>2024-10-05 15:31:55</t>
  </si>
  <si>
    <t>ST-PO-210-03406080492071571</t>
  </si>
  <si>
    <t>T006-241005-0017</t>
  </si>
  <si>
    <t xml:space="preserve">OJ200742241GB	</t>
  </si>
  <si>
    <t>2024-10-05 15:31:57</t>
  </si>
  <si>
    <t>ST-PO-210-02991675612713273</t>
  </si>
  <si>
    <t>T006-241005-0018</t>
  </si>
  <si>
    <t xml:space="preserve">OJ200742745GB	</t>
  </si>
  <si>
    <t>2024-10-05 15:31:58</t>
  </si>
  <si>
    <t>2024-10-07 23:41:37</t>
  </si>
  <si>
    <t>ST-PO-210-02913877320232742</t>
  </si>
  <si>
    <t>T006-241005-0019</t>
  </si>
  <si>
    <t xml:space="preserve">OJ200742621GB	</t>
  </si>
  <si>
    <t>2024-10-05 15:31:59</t>
  </si>
  <si>
    <t>ST-PO-210-03131827922470389</t>
  </si>
  <si>
    <t>T006-241006-0001</t>
  </si>
  <si>
    <t xml:space="preserve">OJ201679077GB	</t>
  </si>
  <si>
    <t>2024-10-06 11:39:16</t>
  </si>
  <si>
    <t>2024-10-07 23:41:26</t>
  </si>
  <si>
    <t>ST-PO-210-13763938877992329</t>
  </si>
  <si>
    <t>0.550KG</t>
  </si>
  <si>
    <t>T006-241006-0002</t>
  </si>
  <si>
    <t xml:space="preserve">OJ201682195GB	</t>
  </si>
  <si>
    <t>2024-10-06 11:39:18</t>
  </si>
  <si>
    <t>2024-10-07 23:41:24</t>
  </si>
  <si>
    <t>ST-PO-210-14345698237991901</t>
  </si>
  <si>
    <t>T006-241006-0003</t>
  </si>
  <si>
    <t xml:space="preserve">OJ201682938GB	</t>
  </si>
  <si>
    <t>2024-10-06 11:39:20</t>
  </si>
  <si>
    <t>2024-10-07 23:41:25</t>
  </si>
  <si>
    <t>ST-PO-210-14293925811751440</t>
  </si>
  <si>
    <t>T006-241006-0004</t>
  </si>
  <si>
    <t xml:space="preserve">OJ201682779GB	</t>
  </si>
  <si>
    <t>2024-10-06 11:39:22</t>
  </si>
  <si>
    <t>ST-PO-210-13767969833512529</t>
  </si>
  <si>
    <t>T006-241006-0005</t>
  </si>
  <si>
    <t xml:space="preserve">OJ201682650GB	</t>
  </si>
  <si>
    <t>2024-10-06 11:39:23</t>
  </si>
  <si>
    <t>ST-PO-210-13755581921832347</t>
  </si>
  <si>
    <t>1.650KG</t>
  </si>
  <si>
    <t>T006-241006-0006</t>
  </si>
  <si>
    <t xml:space="preserve">OJ201682460GB	</t>
  </si>
  <si>
    <t>2024-10-06 11:39:24</t>
  </si>
  <si>
    <t>ST-PO-210-14215889510950915</t>
  </si>
  <si>
    <t>T006-241006-0007</t>
  </si>
  <si>
    <t xml:space="preserve">OJ201682297GB	</t>
  </si>
  <si>
    <t>2024-10-06 11:39:25</t>
  </si>
  <si>
    <t>2024-10-07 23:41:23</t>
  </si>
  <si>
    <t>ST-PO-210-14405449813031545</t>
  </si>
  <si>
    <t>T006-241006-0008</t>
  </si>
  <si>
    <t xml:space="preserve">OJ201682990GB	</t>
  </si>
  <si>
    <t>2024-10-06 11:39:26</t>
  </si>
  <si>
    <t>2024-10-07 23:41:22</t>
  </si>
  <si>
    <t>ST-PO-210-14305998326311144</t>
  </si>
  <si>
    <t>3.000KG</t>
  </si>
  <si>
    <t>T006-241006-0009</t>
  </si>
  <si>
    <t xml:space="preserve">OJ201682884GB	</t>
  </si>
  <si>
    <t>2024-10-06 11:39:27</t>
  </si>
  <si>
    <t>ST-PO-210-14026146483754092</t>
  </si>
  <si>
    <t>T006-241006-0010</t>
  </si>
  <si>
    <t xml:space="preserve">OJ201682694GB	</t>
  </si>
  <si>
    <t>2024-10-06 11:39:28</t>
  </si>
  <si>
    <t>2024-10-07 23:41:21</t>
  </si>
  <si>
    <t>ST-PO-210-14236978488870533</t>
  </si>
  <si>
    <t>T006-241006-0011</t>
  </si>
  <si>
    <t xml:space="preserve">OJ201682535GB	</t>
  </si>
  <si>
    <t>2024-10-06 11:39:29</t>
  </si>
  <si>
    <t>ST-PO-210-14407512243751565</t>
  </si>
  <si>
    <t>T006-241006-0012</t>
  </si>
  <si>
    <t xml:space="preserve">OJ201682337GB	</t>
  </si>
  <si>
    <t>2024-10-06 11:39:30</t>
  </si>
  <si>
    <t>ST-PO-210-13760388774952316</t>
  </si>
  <si>
    <t>T006-241006-0013</t>
  </si>
  <si>
    <t xml:space="preserve">OJ201683054GB	</t>
  </si>
  <si>
    <t>2024-10-06 11:39:31</t>
  </si>
  <si>
    <t>ST-PO-210-14385796058151948</t>
  </si>
  <si>
    <t>T006-241006-0014</t>
  </si>
  <si>
    <t xml:space="preserve">OJ201682898GB	</t>
  </si>
  <si>
    <t>2024-10-06 11:39:33</t>
  </si>
  <si>
    <t>2024-10-07 23:41:20</t>
  </si>
  <si>
    <t>ST-PO-210-13805658916392078</t>
  </si>
  <si>
    <t>T006-241006-0015</t>
  </si>
  <si>
    <t xml:space="preserve">OJ201682734GB	</t>
  </si>
  <si>
    <t>2024-10-06 11:39:34</t>
  </si>
  <si>
    <t>ST-PO-210-14396437302311631</t>
  </si>
  <si>
    <t>T006-241006-0016</t>
  </si>
  <si>
    <t xml:space="preserve">OJ201682615GB	</t>
  </si>
  <si>
    <t>2024-10-06 11:39:36</t>
  </si>
  <si>
    <t>ST-PO-210-14078561877033748</t>
  </si>
  <si>
    <t>T006-241006-0017</t>
  </si>
  <si>
    <t xml:space="preserve">OJ201682411GB	</t>
  </si>
  <si>
    <t>2024-10-06 11:39:37</t>
  </si>
  <si>
    <t>ST-PO-210-14029185526314042</t>
  </si>
  <si>
    <t>T006-241007-0001</t>
  </si>
  <si>
    <t xml:space="preserve">OJ202680641GB	</t>
  </si>
  <si>
    <t>2024-10-07 10:06:30</t>
  </si>
  <si>
    <t>2024-10-07 23:41:03</t>
  </si>
  <si>
    <t>ST-PO-210-08487963615273278</t>
  </si>
  <si>
    <t>T006-241007-0002</t>
  </si>
  <si>
    <t xml:space="preserve">OJ202681633GB	</t>
  </si>
  <si>
    <t>2024-10-07 10:06:31</t>
  </si>
  <si>
    <t>ST-PO-210-08756948236070653</t>
  </si>
  <si>
    <t>0.050KG</t>
  </si>
  <si>
    <t>T006-241007-0003</t>
  </si>
  <si>
    <t xml:space="preserve">OJ202681412GB	</t>
  </si>
  <si>
    <t>2024-10-07 10:06:32</t>
  </si>
  <si>
    <t>2024-10-07 23:41:02</t>
  </si>
  <si>
    <t>ST-PO-210-08780363520551281</t>
  </si>
  <si>
    <t>T006-241007-0004</t>
  </si>
  <si>
    <t xml:space="preserve">OJ202681196GB	</t>
  </si>
  <si>
    <t>2024-10-07 10:06:33</t>
  </si>
  <si>
    <t>ST-PO-210-08896646400551610</t>
  </si>
  <si>
    <t>T006-241007-0005</t>
  </si>
  <si>
    <t xml:space="preserve">OJ202681063GB	</t>
  </si>
  <si>
    <t>2024-10-07 10:06:34</t>
  </si>
  <si>
    <t>ST-PO-210-13930027325993387</t>
  </si>
  <si>
    <t>T006-241007-0006</t>
  </si>
  <si>
    <t xml:space="preserve">OJ202680933GB	</t>
  </si>
  <si>
    <t>2024-10-07 10:06:35</t>
  </si>
  <si>
    <t>ST-PO-210-14382740470311969</t>
  </si>
  <si>
    <t>2.600KG</t>
  </si>
  <si>
    <t>T006-241007-0007</t>
  </si>
  <si>
    <t xml:space="preserve">OJ202681806GB	</t>
  </si>
  <si>
    <t>2024-10-07 10:06:36</t>
  </si>
  <si>
    <t>2024-10-07 23:41:01</t>
  </si>
  <si>
    <t>ST-PO-210-13924206843433420</t>
  </si>
  <si>
    <t>T006-241007-0008</t>
  </si>
  <si>
    <t xml:space="preserve">OJ203141348GB	</t>
  </si>
  <si>
    <t>2024-10-07 14:51:44</t>
  </si>
  <si>
    <t>2024-10-07 23:40:48</t>
  </si>
  <si>
    <t>ST-PO-210-19727889449510573</t>
  </si>
  <si>
    <t>T006-241007-0009</t>
  </si>
  <si>
    <t xml:space="preserve">OJ203143701GB	</t>
  </si>
  <si>
    <t>2024-10-07 14:51:45</t>
  </si>
  <si>
    <t>2024-10-07 23:40:47</t>
  </si>
  <si>
    <t>ST-PO-210-19419150418473405</t>
  </si>
  <si>
    <t>1.600KG</t>
  </si>
  <si>
    <t>T006-241007-0010</t>
  </si>
  <si>
    <t xml:space="preserve">OJ203143940GB	</t>
  </si>
  <si>
    <t>2024-10-07 14:51:46</t>
  </si>
  <si>
    <t>2024-10-07 23:40:46</t>
  </si>
  <si>
    <t>ST-PO-210-08932735317031685</t>
  </si>
  <si>
    <t>T006-241007-0011</t>
  </si>
  <si>
    <t xml:space="preserve">OJ203144168GB	</t>
  </si>
  <si>
    <t>2024-10-07 14:51:47</t>
  </si>
  <si>
    <t>ST-PO-210-08812273051431091</t>
  </si>
  <si>
    <t>T006-241007-0012</t>
  </si>
  <si>
    <t xml:space="preserve">OJ203144256GB	</t>
  </si>
  <si>
    <t>2024-10-07 14:51:49</t>
  </si>
  <si>
    <t>ST-PO-210-08279459447592475</t>
  </si>
  <si>
    <t>T006-241007-0013</t>
  </si>
  <si>
    <t xml:space="preserve">OJ203144392GB	</t>
  </si>
  <si>
    <t>2024-10-07 14:51:50</t>
  </si>
  <si>
    <t>ST-PO-210-08610512028710276</t>
  </si>
  <si>
    <t>T006-241007-0014</t>
  </si>
  <si>
    <t xml:space="preserve">OJ203144463GB	</t>
  </si>
  <si>
    <t>2024-10-07 14:51:51</t>
  </si>
  <si>
    <t>2024-10-07 23:40:45</t>
  </si>
  <si>
    <t>ST-PO-210-08490004211753266</t>
  </si>
  <si>
    <t>T006-241007-0015</t>
  </si>
  <si>
    <t xml:space="preserve">OJ203144579GB	</t>
  </si>
  <si>
    <t>2024-10-07 14:51:52</t>
  </si>
  <si>
    <t>ST-PO-210-08685112818470857</t>
  </si>
  <si>
    <t>T006-241007-0016</t>
  </si>
  <si>
    <t xml:space="preserve">OJ203144684GB	</t>
  </si>
  <si>
    <t>2024-10-07 14:51:53</t>
  </si>
  <si>
    <t>ST-PO-210-08893654028071660</t>
  </si>
  <si>
    <t>T006-241007-0017</t>
  </si>
  <si>
    <t xml:space="preserve">OJ203144826GB	</t>
  </si>
  <si>
    <t>2024-10-07 14:51:54</t>
  </si>
  <si>
    <t>2024-10-07 23:40:44</t>
  </si>
  <si>
    <t>ST-PO-210-08871980454952047</t>
  </si>
  <si>
    <t>T006-241007-0018</t>
  </si>
  <si>
    <t xml:space="preserve">OJ203145013GB	</t>
  </si>
  <si>
    <t>2024-10-07 14:51:55</t>
  </si>
  <si>
    <t>ST-PO-210-08688934038310800</t>
  </si>
  <si>
    <t>4.200KG</t>
  </si>
  <si>
    <t>T006-241007-0019</t>
  </si>
  <si>
    <t xml:space="preserve">OJ203145177GB	</t>
  </si>
  <si>
    <t>2024-10-07 14:51:56</t>
  </si>
  <si>
    <t>ST-PO-210-08795238176551449</t>
  </si>
  <si>
    <t>T006-241007-0020</t>
  </si>
  <si>
    <t xml:space="preserve">OJ203143627GB	</t>
  </si>
  <si>
    <t>2024-10-07 14:51:58</t>
  </si>
  <si>
    <t>ST-PO-210-08734295052070562</t>
  </si>
  <si>
    <t>T006-241007-0021</t>
  </si>
  <si>
    <t xml:space="preserve">OJ203143454GB	</t>
  </si>
  <si>
    <t>2024-10-07 14:51:59</t>
  </si>
  <si>
    <t>ST-PO-210-08551703190313698</t>
  </si>
  <si>
    <t>T006-241007-0022</t>
  </si>
  <si>
    <t xml:space="preserve">OJ203143220GB	</t>
  </si>
  <si>
    <t>2024-10-07 14:52:01</t>
  </si>
  <si>
    <t>2024-10-07 23:40:43</t>
  </si>
  <si>
    <t>ST-PO-210-08351566184232845</t>
  </si>
  <si>
    <t>T006-241007-0023</t>
  </si>
  <si>
    <t xml:space="preserve">OJ203141422GB	</t>
  </si>
  <si>
    <t>2024-10-07 14:52:02</t>
  </si>
  <si>
    <t>ST-PO-210-08349042874152826</t>
  </si>
  <si>
    <t>T006-241007-0024</t>
  </si>
  <si>
    <t xml:space="preserve">OJ203141674GB	</t>
  </si>
  <si>
    <t>2024-10-07 14:52:03</t>
  </si>
  <si>
    <t>2024-10-07 23:40:42</t>
  </si>
  <si>
    <t>ST-PO-210-08690042033190826</t>
  </si>
  <si>
    <t>T006-241007-0025</t>
  </si>
  <si>
    <t xml:space="preserve">OJ203141847GB	</t>
  </si>
  <si>
    <t>2024-10-07 14:52:04</t>
  </si>
  <si>
    <t>ST-PO-210-08859583455271833</t>
  </si>
  <si>
    <t>T006-241007-0026</t>
  </si>
  <si>
    <t xml:space="preserve">OJ203142065GB	</t>
  </si>
  <si>
    <t>2024-10-07 14:52:06</t>
  </si>
  <si>
    <t>ST-PO-210-08512640417833933</t>
  </si>
  <si>
    <t>T006-241007-0027</t>
  </si>
  <si>
    <t xml:space="preserve">OJ203142269GB	</t>
  </si>
  <si>
    <t>2024-10-07 14:52:07</t>
  </si>
  <si>
    <t>2024-10-07 23:40:41</t>
  </si>
  <si>
    <t>ST-PO-210-08569041605673821</t>
  </si>
  <si>
    <t>T006-241007-0028</t>
  </si>
  <si>
    <t xml:space="preserve">OJ203142405GB	</t>
  </si>
  <si>
    <t>2024-10-07 14:52:09</t>
  </si>
  <si>
    <t>ST-PO-210-08887785715751921</t>
  </si>
  <si>
    <t>T006-241007-0029</t>
  </si>
  <si>
    <t xml:space="preserve">OJ203142618GB	</t>
  </si>
  <si>
    <t>2024-10-07 14:52:10</t>
  </si>
  <si>
    <t>ST-PO-210-08324400648232239</t>
  </si>
  <si>
    <t>T006-241007-0030</t>
  </si>
  <si>
    <t xml:space="preserve">OJ203142754GB	</t>
  </si>
  <si>
    <t>2024-10-07 14:52:14</t>
  </si>
  <si>
    <t>2024-10-07 23:40:40</t>
  </si>
  <si>
    <t>ST-PO-210-08564855903273588</t>
  </si>
  <si>
    <t>T006-241007-0031</t>
  </si>
  <si>
    <t xml:space="preserve">OJ203142811GB	</t>
  </si>
  <si>
    <t>2024-10-07 14:52:15</t>
  </si>
  <si>
    <t>ST-PO-210-08853871706151867</t>
  </si>
  <si>
    <t>T006-241007-0032</t>
  </si>
  <si>
    <t xml:space="preserve">OJ203142989GB	</t>
  </si>
  <si>
    <t>2024-10-07 14:52:18</t>
  </si>
  <si>
    <t>2024-10-07 23:40:39</t>
  </si>
  <si>
    <t>ST-PO-210-08737428122150513</t>
  </si>
  <si>
    <t>T006-241007-0033</t>
  </si>
  <si>
    <t xml:space="preserve">OJ203143088GB	</t>
  </si>
  <si>
    <t>2024-10-07 14:52:20</t>
  </si>
  <si>
    <t>ST-PO-210-08513313111593929</t>
  </si>
  <si>
    <t>T006-241007-0034</t>
  </si>
  <si>
    <t xml:space="preserve">OJ203145203GB	</t>
  </si>
  <si>
    <t>2024-10-07 14:52:21</t>
  </si>
  <si>
    <t>ST-PO-210-08525919222314076</t>
  </si>
  <si>
    <t>T006-241007-0035</t>
  </si>
  <si>
    <t xml:space="preserve">OJ203160069GB	</t>
  </si>
  <si>
    <t>2024-10-07 15:06:20</t>
  </si>
  <si>
    <t>2024-10-07 23:40:38</t>
  </si>
  <si>
    <t>ST-PO-210-08842802875431165</t>
  </si>
  <si>
    <t>1.500KG</t>
  </si>
  <si>
    <t>T006-241007-0037</t>
  </si>
  <si>
    <t xml:space="preserve">OJ203433350GB	</t>
  </si>
  <si>
    <t>2024-10-07 18:27:18</t>
  </si>
  <si>
    <t>2024-10-07 23:40:36</t>
  </si>
  <si>
    <t>3042655963544107</t>
  </si>
  <si>
    <t>1.950KG</t>
  </si>
  <si>
    <t>T006-241008-0001</t>
  </si>
  <si>
    <t xml:space="preserve">OJ204107864GB	</t>
  </si>
  <si>
    <t>2024-10-08 09:06:13</t>
  </si>
  <si>
    <t>2024-10-08 23:43:23</t>
  </si>
  <si>
    <t>ST-PO-210-19752790510630649</t>
  </si>
  <si>
    <t>T006-241008-0002</t>
  </si>
  <si>
    <t xml:space="preserve">OJ204109281GB	</t>
  </si>
  <si>
    <t>2024-10-08 09:06:14</t>
  </si>
  <si>
    <t>2024-10-08 23:43:24</t>
  </si>
  <si>
    <t>ST-PO-210-19258686756392312</t>
  </si>
  <si>
    <t>T006-241008-0003</t>
  </si>
  <si>
    <t xml:space="preserve">OJ204108958GB	</t>
  </si>
  <si>
    <t>2024-10-08 09:06:17</t>
  </si>
  <si>
    <t>ST-PO-210-19439337452073573</t>
  </si>
  <si>
    <t>Zone B</t>
  </si>
  <si>
    <t>T006-241008-0004</t>
  </si>
  <si>
    <t xml:space="preserve">OJ204108493GB	</t>
  </si>
  <si>
    <t>2024-10-08 09:06:20</t>
  </si>
  <si>
    <t>ST-PO-210-19243353354792405</t>
  </si>
  <si>
    <t>T006-241008-0005</t>
  </si>
  <si>
    <t xml:space="preserve">OJ204108207GB	</t>
  </si>
  <si>
    <t>2024-10-08 09:06:21</t>
  </si>
  <si>
    <t>2024-10-08 23:43:22</t>
  </si>
  <si>
    <t>ST-PO-210-19751185813030688</t>
  </si>
  <si>
    <t>T006-241008-0006</t>
  </si>
  <si>
    <t xml:space="preserve">OJ204139442GB	</t>
  </si>
  <si>
    <t>2024-10-08 09:21:51</t>
  </si>
  <si>
    <t>2024-10-08 23:43:20</t>
  </si>
  <si>
    <t>ST-PO-210-19780696466471504</t>
  </si>
  <si>
    <t>T006-241008-0007</t>
  </si>
  <si>
    <t xml:space="preserve">OJ204138950GB	</t>
  </si>
  <si>
    <t>2024-10-08 09:21:53</t>
  </si>
  <si>
    <t>ST-PO-210-19504880755753916</t>
  </si>
  <si>
    <t>T006-241008-0008</t>
  </si>
  <si>
    <t xml:space="preserve">OJ204138447GB	</t>
  </si>
  <si>
    <t>2024-10-08 09:21:54</t>
  </si>
  <si>
    <t>ST-PO-210-19527180227114041</t>
  </si>
  <si>
    <t>T006-241008-0009</t>
  </si>
  <si>
    <t xml:space="preserve">OJ204137676GB	</t>
  </si>
  <si>
    <t>2024-10-08 09:21:56</t>
  </si>
  <si>
    <t>ST-PO-210-19426614149673361</t>
  </si>
  <si>
    <t>T006-241008-0010</t>
  </si>
  <si>
    <t xml:space="preserve">OJ204140525GB	</t>
  </si>
  <si>
    <t>2024-10-08 09:21:57</t>
  </si>
  <si>
    <t>2024-10-08 23:43:19</t>
  </si>
  <si>
    <t>ST-PO-210-19729892229670561</t>
  </si>
  <si>
    <t>T006-241008-0011</t>
  </si>
  <si>
    <t xml:space="preserve">OJ204139796GB	</t>
  </si>
  <si>
    <t>2024-10-08 09:21:59</t>
  </si>
  <si>
    <t>2024-10-08 23:43:18</t>
  </si>
  <si>
    <t>ST-PO-210-19291388767272119</t>
  </si>
  <si>
    <t>2.200KG</t>
  </si>
  <si>
    <t>T006-241008-0012</t>
  </si>
  <si>
    <t xml:space="preserve">OJ204139120GB	</t>
  </si>
  <si>
    <t>2024-10-08 09:22:03</t>
  </si>
  <si>
    <t>ST-PO-210-19357449249833037</t>
  </si>
  <si>
    <t>T006-241008-0013</t>
  </si>
  <si>
    <t xml:space="preserve">OJ204138623GB	</t>
  </si>
  <si>
    <t>2024-10-08 09:22:05</t>
  </si>
  <si>
    <t>ST-PO-210-19413914726953437</t>
  </si>
  <si>
    <t>2.000KG</t>
  </si>
  <si>
    <t>T006-241008-0014</t>
  </si>
  <si>
    <t xml:space="preserve">OJ204137906GB	</t>
  </si>
  <si>
    <t>2024-10-08 09:22:06</t>
  </si>
  <si>
    <t>2024-10-08 23:43:17</t>
  </si>
  <si>
    <t>ST-PO-210-19431698012713331</t>
  </si>
  <si>
    <t>4.000KG</t>
  </si>
  <si>
    <t>T006-241008-0015</t>
  </si>
  <si>
    <t xml:space="preserve">OJ204137234GB	</t>
  </si>
  <si>
    <t>2024-10-08 09:22:11</t>
  </si>
  <si>
    <t>ST-PO-210-19375756393512638</t>
  </si>
  <si>
    <t>0.400KG</t>
  </si>
  <si>
    <t>T006-241008-0016</t>
  </si>
  <si>
    <t xml:space="preserve">OJ204140349GB	</t>
  </si>
  <si>
    <t>2024-10-08 09:22:13</t>
  </si>
  <si>
    <t>ST-PO-210-19912776264231743</t>
  </si>
  <si>
    <t>T006-241008-0017</t>
  </si>
  <si>
    <t xml:space="preserve">OJ204139283GB	</t>
  </si>
  <si>
    <t>2024-10-08 09:22:14</t>
  </si>
  <si>
    <t>ST-PO-210-19349880422953048</t>
  </si>
  <si>
    <t>T006-241008-0018</t>
  </si>
  <si>
    <t xml:space="preserve">OJ204138835GB	</t>
  </si>
  <si>
    <t>2024-10-08 09:22:15</t>
  </si>
  <si>
    <t>2024-10-08 23:43:16</t>
  </si>
  <si>
    <t>ST-PO-210-19641814295590060</t>
  </si>
  <si>
    <t>T006-241008-0019</t>
  </si>
  <si>
    <t xml:space="preserve">OJ204138169GB	</t>
  </si>
  <si>
    <t>2024-10-08 09:22:17</t>
  </si>
  <si>
    <t>2024-10-08 23:43:15</t>
  </si>
  <si>
    <t>ST-PO-210-19245271329832424</t>
  </si>
  <si>
    <t>T006-241008-0020</t>
  </si>
  <si>
    <t xml:space="preserve">OJ204137512GB	</t>
  </si>
  <si>
    <t>2024-10-08 09:22:19</t>
  </si>
  <si>
    <t>ST-PO-210-19654248346150242</t>
  </si>
  <si>
    <t>T006-241008-0021</t>
  </si>
  <si>
    <t xml:space="preserve">OJ204140865GB	</t>
  </si>
  <si>
    <t>2024-10-08 09:31:51</t>
  </si>
  <si>
    <t>3042778111717880</t>
  </si>
  <si>
    <t>T006-241008-0022</t>
  </si>
  <si>
    <t xml:space="preserve">OJ204569257GB	</t>
  </si>
  <si>
    <t>2024-10-08 14:45:39</t>
  </si>
  <si>
    <t>2024-10-08 23:42:47</t>
  </si>
  <si>
    <t>shein-GSONDP02100NWLD</t>
  </si>
  <si>
    <t>T006-241008-0023</t>
  </si>
  <si>
    <t xml:space="preserve">OJ204648944GB	</t>
  </si>
  <si>
    <t>2024-10-08 15:51:38</t>
  </si>
  <si>
    <t>2024-10-08 23:42:48</t>
  </si>
  <si>
    <t>ST-PO-210-00153864330792811</t>
  </si>
  <si>
    <t>7.600KG</t>
  </si>
  <si>
    <t>T006-241008-0024</t>
  </si>
  <si>
    <t xml:space="preserve">OJ204649349GB	</t>
  </si>
  <si>
    <t>2024-10-08 15:51:39</t>
  </si>
  <si>
    <t>ST-PO-210-00408564534310237</t>
  </si>
  <si>
    <t>T006-241008-0025</t>
  </si>
  <si>
    <t xml:space="preserve">OJ204757808GB	</t>
  </si>
  <si>
    <t>2024-10-08 17:13:35</t>
  </si>
  <si>
    <t>2024-10-08 23:42:37</t>
  </si>
  <si>
    <t>ST-PO-210-00243007877673270</t>
  </si>
  <si>
    <t>T006-241008-0026</t>
  </si>
  <si>
    <t xml:space="preserve">OJ204813969GB	</t>
  </si>
  <si>
    <t>2024-10-08 17:53:43</t>
  </si>
  <si>
    <t>2024-10-08 23:42:36</t>
  </si>
  <si>
    <t>ST-PO-210-00214542259753472</t>
  </si>
  <si>
    <t>1.200KG</t>
  </si>
  <si>
    <t>T006-241008-0027</t>
  </si>
  <si>
    <t xml:space="preserve">OJ204942835GB	</t>
  </si>
  <si>
    <t>2024-10-08 20:33:10</t>
  </si>
  <si>
    <t>2024-10-09 23:25:36</t>
  </si>
  <si>
    <t>ST-PO-210-00171809869353438</t>
  </si>
  <si>
    <t>T006-241008-0028</t>
  </si>
  <si>
    <t xml:space="preserve">OJ205079351GB	</t>
  </si>
  <si>
    <t>2024-10-08 23:53:14</t>
  </si>
  <si>
    <t>ST-PO-210-00153741148712810</t>
  </si>
  <si>
    <t>T006-241008-0029</t>
  </si>
  <si>
    <t xml:space="preserve">OJ205079762GB	</t>
  </si>
  <si>
    <t>2024-10-08 23:53:17</t>
  </si>
  <si>
    <t>2024-10-09 23:25:33</t>
  </si>
  <si>
    <t>ST-PO-210-00397316065830046</t>
  </si>
  <si>
    <t>3.200KG</t>
  </si>
  <si>
    <t>T006-241008-0030</t>
  </si>
  <si>
    <t xml:space="preserve">OJ205079705GB	</t>
  </si>
  <si>
    <t>2024-10-08 23:53:18</t>
  </si>
  <si>
    <t>ST-PO-210-00185577249833388</t>
  </si>
  <si>
    <t>2.100KG</t>
  </si>
  <si>
    <t>T006-241008-0031</t>
  </si>
  <si>
    <t xml:space="preserve">OJ205079498GB	</t>
  </si>
  <si>
    <t>2024-10-08 23:53:19</t>
  </si>
  <si>
    <t>2024-10-09 23:25:34</t>
  </si>
  <si>
    <t>ST-PO-210-00297989102633998</t>
  </si>
  <si>
    <t>T006-241008-0032</t>
  </si>
  <si>
    <t xml:space="preserve">OJ205079436GB	</t>
  </si>
  <si>
    <t>2024-10-08 23:53:20</t>
  </si>
  <si>
    <t>ST-PO-210-00494465654310749</t>
  </si>
  <si>
    <t>T006-241008-0033</t>
  </si>
  <si>
    <t xml:space="preserve">OJ205082996GB	</t>
  </si>
  <si>
    <t>2024-10-08 23:53:24</t>
  </si>
  <si>
    <t>2024-10-09 23:25:31</t>
  </si>
  <si>
    <t>ST-PO-210-00071474637352244</t>
  </si>
  <si>
    <t>T006-241008-0034</t>
  </si>
  <si>
    <t xml:space="preserve">OJ205083682GB	</t>
  </si>
  <si>
    <t>2024-10-08 23:53:26</t>
  </si>
  <si>
    <t>ST-PO-210-00155891891752767</t>
  </si>
  <si>
    <t>T006-241008-0035</t>
  </si>
  <si>
    <t xml:space="preserve">OJ205083532GB	</t>
  </si>
  <si>
    <t>2024-10-08 23:53:27</t>
  </si>
  <si>
    <t>2024-10-09 23:25:32</t>
  </si>
  <si>
    <t>ST-PO-210-00624312151592023</t>
  </si>
  <si>
    <t>T006-241008-0036</t>
  </si>
  <si>
    <t xml:space="preserve">OJ205083020GB	</t>
  </si>
  <si>
    <t>2024-10-08 23:53:28</t>
  </si>
  <si>
    <t>ST-PO-210-00322189071913822</t>
  </si>
  <si>
    <t>T006-241009-0001</t>
  </si>
  <si>
    <t xml:space="preserve">OJ205492418GB	</t>
  </si>
  <si>
    <t>2024-10-09 08:48:53</t>
  </si>
  <si>
    <t>2024-10-09 23:25:26</t>
  </si>
  <si>
    <t>ST-PO-210-00182537564713374</t>
  </si>
  <si>
    <t>T006-241009-0002</t>
  </si>
  <si>
    <t xml:space="preserve">OJ205492545GB	</t>
  </si>
  <si>
    <t>2024-10-09 08:48:55</t>
  </si>
  <si>
    <t>2024-10-09 23:25:24</t>
  </si>
  <si>
    <t>ST-PO-210-00057246830632107</t>
  </si>
  <si>
    <t>T006-241009-0003</t>
  </si>
  <si>
    <t xml:space="preserve">OJ205541564GB	</t>
  </si>
  <si>
    <t>2024-10-09 09:23:56</t>
  </si>
  <si>
    <t>ST-PO-210-00266510451753930</t>
  </si>
  <si>
    <t>T006-241009-0004</t>
  </si>
  <si>
    <t xml:space="preserve">OJ205542613GB	</t>
  </si>
  <si>
    <t>2024-10-09 09:23:57</t>
  </si>
  <si>
    <t>2024-10-09 23:25:25</t>
  </si>
  <si>
    <t>ST-PO-210-00144672796712608</t>
  </si>
  <si>
    <t>T006-241009-0005</t>
  </si>
  <si>
    <t xml:space="preserve">OJ205542406GB	</t>
  </si>
  <si>
    <t>2024-10-09 09:23:58</t>
  </si>
  <si>
    <t>2024-10-09 23:25:22</t>
  </si>
  <si>
    <t>ST-PO-210-00011273893672349</t>
  </si>
  <si>
    <t>T006-241009-0006</t>
  </si>
  <si>
    <t xml:space="preserve">OJ205542131GB	</t>
  </si>
  <si>
    <t>2024-10-09 09:23:59</t>
  </si>
  <si>
    <t>ST-PO-210-00663909736231563</t>
  </si>
  <si>
    <t>T006-241009-0007</t>
  </si>
  <si>
    <t xml:space="preserve">OJ205541895GB	</t>
  </si>
  <si>
    <t>2024-10-09 09:24:00</t>
  </si>
  <si>
    <t>2024-10-09 23:25:23</t>
  </si>
  <si>
    <t>ST-PO-210-00638785261351969</t>
  </si>
  <si>
    <t>T006-241009-0008</t>
  </si>
  <si>
    <t xml:space="preserve">OJ205550447GB	</t>
  </si>
  <si>
    <t>2024-10-09 09:24:03</t>
  </si>
  <si>
    <t>ST-PO-210-00290271926314012</t>
  </si>
  <si>
    <t>T006-241009-0009</t>
  </si>
  <si>
    <t xml:space="preserve">OJ205550977GB	</t>
  </si>
  <si>
    <t>2024-10-09 09:24:07</t>
  </si>
  <si>
    <t>ST-PO-210-00270462805033874</t>
  </si>
  <si>
    <t>T006-241009-0010</t>
  </si>
  <si>
    <t xml:space="preserve">OJ205550773GB	</t>
  </si>
  <si>
    <t>2024-10-09 09:24:09</t>
  </si>
  <si>
    <t>2024-10-09 23:25:21</t>
  </si>
  <si>
    <t>ST-PO-210-00089456320552939</t>
  </si>
  <si>
    <t>T006-241009-0011</t>
  </si>
  <si>
    <t xml:space="preserve">OJ205550597GB	</t>
  </si>
  <si>
    <t>2024-10-09 09:24:10</t>
  </si>
  <si>
    <t>ST-PO-210-00478878461990584</t>
  </si>
  <si>
    <t>T006-241009-0012</t>
  </si>
  <si>
    <t xml:space="preserve">OJ205699899GB	</t>
  </si>
  <si>
    <t>2024-10-09 11:23:36</t>
  </si>
  <si>
    <t>2024-10-09 23:25:02</t>
  </si>
  <si>
    <t>WEC0762410090001</t>
  </si>
  <si>
    <t>T006-241009-0013</t>
  </si>
  <si>
    <t xml:space="preserve">OJ206045059GB	</t>
  </si>
  <si>
    <t>2024-10-09 16:28:18</t>
  </si>
  <si>
    <t>2024-10-09 23:24:35</t>
  </si>
  <si>
    <t>ST-PO-210-11366742195750457</t>
  </si>
  <si>
    <t>FD-T006-240930-0001</t>
  </si>
  <si>
    <t xml:space="preserve">1419717158	</t>
  </si>
  <si>
    <t>2024-10-09 19:11:46</t>
  </si>
  <si>
    <t>2024-10-09 19:30:19</t>
  </si>
  <si>
    <t>380.000KG</t>
  </si>
  <si>
    <t>FD-T006-240930-0002</t>
  </si>
  <si>
    <t xml:space="preserve">15501419740169	</t>
  </si>
  <si>
    <t>2024-10-09 20:01:25</t>
  </si>
  <si>
    <t>2024-10-09 20:05:10</t>
  </si>
  <si>
    <t>560.000KG</t>
  </si>
  <si>
    <t>FD-T006-240930-0003</t>
  </si>
  <si>
    <t xml:space="preserve">15501419756963	</t>
  </si>
  <si>
    <t>2024-10-09 20:04:38</t>
  </si>
  <si>
    <t>2024-10-09 20:04:52</t>
  </si>
  <si>
    <t>500.000KG</t>
  </si>
  <si>
    <t>T006-241009-0014</t>
  </si>
  <si>
    <t xml:space="preserve">OJ206281004GB	</t>
  </si>
  <si>
    <t>2024-10-09 20:43:48</t>
  </si>
  <si>
    <t>2024-10-10 23:49:46</t>
  </si>
  <si>
    <t>ST-PO-210-11613870976551798</t>
  </si>
  <si>
    <t>T006-241009-0015</t>
  </si>
  <si>
    <t xml:space="preserve">OJ206281083GB	</t>
  </si>
  <si>
    <t>2024-10-09 20:43:50</t>
  </si>
  <si>
    <t>ST-PO-210-11262117949993929</t>
  </si>
  <si>
    <t>T006-241009-0016</t>
  </si>
  <si>
    <t xml:space="preserve">OJ206296233GB	</t>
  </si>
  <si>
    <t>2024-10-09 21:12:31</t>
  </si>
  <si>
    <t>2024-10-10 23:49:45</t>
  </si>
  <si>
    <t>ST-PO-210-11253162365993948</t>
  </si>
  <si>
    <t>8.600KG</t>
  </si>
  <si>
    <t>T006-241010-0001</t>
  </si>
  <si>
    <t xml:space="preserve">OJ206831024GB	</t>
  </si>
  <si>
    <t>2024-10-10 08:57:59</t>
  </si>
  <si>
    <t>ST-PO-210-11145514916392798</t>
  </si>
  <si>
    <t>T006-241010-0002</t>
  </si>
  <si>
    <t xml:space="preserve">OJ206831316GB	</t>
  </si>
  <si>
    <t>2024-10-10 08:58:02</t>
  </si>
  <si>
    <t>ST-PO-210-11195353664553527</t>
  </si>
  <si>
    <t>13.000KG</t>
  </si>
  <si>
    <t>T006-241010-0003</t>
  </si>
  <si>
    <t xml:space="preserve">OJ206994915GB	</t>
  </si>
  <si>
    <t>2024-10-10 10:47:30</t>
  </si>
  <si>
    <t>2024-10-10 23:49:34</t>
  </si>
  <si>
    <t>shein-GSONEM62200NS4X</t>
  </si>
  <si>
    <t>2.700KG</t>
  </si>
  <si>
    <t>T006-241010-0004</t>
  </si>
  <si>
    <t xml:space="preserve">OJ207017920GB	</t>
  </si>
  <si>
    <t>2024-10-10 11:13:36</t>
  </si>
  <si>
    <t>2024-10-10 23:49:33</t>
  </si>
  <si>
    <t>RM-2ND-LARGELETTER</t>
  </si>
  <si>
    <t>ST-PO-210-11646083013671606</t>
  </si>
  <si>
    <t>T006-241010-0005</t>
  </si>
  <si>
    <t xml:space="preserve">OJ207019024GB	</t>
  </si>
  <si>
    <t>2024-10-10 11:13:38</t>
  </si>
  <si>
    <t>ST-PO-210-05890521129510072</t>
  </si>
  <si>
    <t>T006-241010-0006</t>
  </si>
  <si>
    <t xml:space="preserve">OJ207018721GB	</t>
  </si>
  <si>
    <t>2024-10-10 11:13:40</t>
  </si>
  <si>
    <t>2024-10-10 23:49:32</t>
  </si>
  <si>
    <t>ST-PO-210-11426773171750866</t>
  </si>
  <si>
    <t>T006-241010-0007</t>
  </si>
  <si>
    <t xml:space="preserve">OJ207018488GB	</t>
  </si>
  <si>
    <t>2024-10-10 11:13:42</t>
  </si>
  <si>
    <t>ST-PO-210-11629528891431963</t>
  </si>
  <si>
    <t>T006-241010-0008</t>
  </si>
  <si>
    <t xml:space="preserve">OJ207018151GB	</t>
  </si>
  <si>
    <t>2024-10-10 11:13:43</t>
  </si>
  <si>
    <t>ST-PO-210-11076874235432185</t>
  </si>
  <si>
    <t>T006-241010-0009</t>
  </si>
  <si>
    <t xml:space="preserve">OJ207018001GB	</t>
  </si>
  <si>
    <t>2024-10-10 11:13:46</t>
  </si>
  <si>
    <t>ST-PO-210-11640817157671638</t>
  </si>
  <si>
    <t>T006-241010-0010</t>
  </si>
  <si>
    <t xml:space="preserve">OJ207019157GB	</t>
  </si>
  <si>
    <t>2024-10-10 11:13:51</t>
  </si>
  <si>
    <t>ST-PO-210-11221121938473117</t>
  </si>
  <si>
    <t>T006-241010-0011</t>
  </si>
  <si>
    <t xml:space="preserve">OJ207018806GB	</t>
  </si>
  <si>
    <t>2024-10-10 11:13:53</t>
  </si>
  <si>
    <t>2024-10-10 23:49:31</t>
  </si>
  <si>
    <t>ST-PO-210-11374836288550441</t>
  </si>
  <si>
    <t>T006-241010-0012</t>
  </si>
  <si>
    <t xml:space="preserve">OJ207018602GB	</t>
  </si>
  <si>
    <t>2024-10-10 11:13:54</t>
  </si>
  <si>
    <t>2024-10-10 23:49:30</t>
  </si>
  <si>
    <t>ST-PO-210-11518433142311345</t>
  </si>
  <si>
    <t>T006-241010-0013</t>
  </si>
  <si>
    <t xml:space="preserve">OJ207018298GB	</t>
  </si>
  <si>
    <t>2024-10-10 11:13:55</t>
  </si>
  <si>
    <t>ST-PO-210-11118778455592959</t>
  </si>
  <si>
    <t>T006-241010-0014</t>
  </si>
  <si>
    <t xml:space="preserve">OJ207018050GB	</t>
  </si>
  <si>
    <t>2024-10-10 11:13:56</t>
  </si>
  <si>
    <t>2024-10-10 23:49:29</t>
  </si>
  <si>
    <t>ST-PO-210-11115873398312977</t>
  </si>
  <si>
    <t>T006-241010-0015</t>
  </si>
  <si>
    <t xml:space="preserve">OJ207030988GB	</t>
  </si>
  <si>
    <t>2024-10-10 11:23:45</t>
  </si>
  <si>
    <t>2024-10-10 23:49:28</t>
  </si>
  <si>
    <t>WEC0382410100001</t>
  </si>
  <si>
    <t>T006-241010-0016</t>
  </si>
  <si>
    <t xml:space="preserve">OJ207218351GB	</t>
  </si>
  <si>
    <t>2024-10-10 14:02:40</t>
  </si>
  <si>
    <t>2024-10-10 23:49:27</t>
  </si>
  <si>
    <t>ST-PO-210-05558642857512050</t>
  </si>
  <si>
    <t>T006-241010-0017</t>
  </si>
  <si>
    <t xml:space="preserve">OJ207220050GB	</t>
  </si>
  <si>
    <t>2024-10-10 14:02:41</t>
  </si>
  <si>
    <t>ST-PO-210-11578344625191274</t>
  </si>
  <si>
    <t>T006-241010-0018</t>
  </si>
  <si>
    <t xml:space="preserve">OJ207219887GB	</t>
  </si>
  <si>
    <t>2024-10-10 14:02:42</t>
  </si>
  <si>
    <t>2024-10-10 23:49:26</t>
  </si>
  <si>
    <t>ST-PO-210-11441957146150777</t>
  </si>
  <si>
    <t>0.300KG</t>
  </si>
  <si>
    <t>T006-241010-0019</t>
  </si>
  <si>
    <t xml:space="preserve">OJ207219621GB	</t>
  </si>
  <si>
    <t>2024-10-10 14:02:43</t>
  </si>
  <si>
    <t>ST-PO-210-11090815788072900</t>
  </si>
  <si>
    <t>T006-241010-0020</t>
  </si>
  <si>
    <t xml:space="preserve">OJ207219286GB	</t>
  </si>
  <si>
    <t>2024-10-10 14:02:44</t>
  </si>
  <si>
    <t>ST-PO-210-11608542976551830</t>
  </si>
  <si>
    <t>T006-241010-0021</t>
  </si>
  <si>
    <t xml:space="preserve">OJ207218643GB	</t>
  </si>
  <si>
    <t>2024-10-10 14:02:46</t>
  </si>
  <si>
    <t>ST-PO-210-11467620275750622</t>
  </si>
  <si>
    <t>T006-241010-0022</t>
  </si>
  <si>
    <t xml:space="preserve">OJ207220315GB	</t>
  </si>
  <si>
    <t>2024-10-10 14:02:47</t>
  </si>
  <si>
    <t>2024-10-10 23:49:25</t>
  </si>
  <si>
    <t>ST-PO-210-11384981015590125</t>
  </si>
  <si>
    <t>T006-241010-0023</t>
  </si>
  <si>
    <t xml:space="preserve">OJ207221761GB	</t>
  </si>
  <si>
    <t>2024-10-10 14:07:52</t>
  </si>
  <si>
    <t>2024-10-10 23:49:24</t>
  </si>
  <si>
    <t>ST-PO-210-05918235597350165</t>
  </si>
  <si>
    <t>T006-241010-0024</t>
  </si>
  <si>
    <t xml:space="preserve">OJ207222020GB	</t>
  </si>
  <si>
    <t>2024-10-10 14:07:53</t>
  </si>
  <si>
    <t>ST-PO-210-05551925258792090</t>
  </si>
  <si>
    <t>T006-241010-0025</t>
  </si>
  <si>
    <t xml:space="preserve">OJ207320821GB	</t>
  </si>
  <si>
    <t>2024-10-10 15:19:38</t>
  </si>
  <si>
    <t>2024-10-10 23:49:23</t>
  </si>
  <si>
    <t>ST-PO-210-06015680778791406</t>
  </si>
  <si>
    <t>T006-241010-0026</t>
  </si>
  <si>
    <t xml:space="preserve">OJ207321084GB	</t>
  </si>
  <si>
    <t>2024-10-10 15:19:39</t>
  </si>
  <si>
    <t>ST-PO-210-05592691727912905</t>
  </si>
  <si>
    <t>T006-241010-0027</t>
  </si>
  <si>
    <t xml:space="preserve">OJ207320937GB	</t>
  </si>
  <si>
    <t>2024-10-10 15:19:40</t>
  </si>
  <si>
    <t>2024-10-10 23:49:22</t>
  </si>
  <si>
    <t>ST-PO-210-05897726735910063</t>
  </si>
  <si>
    <t>T006-241010-0028</t>
  </si>
  <si>
    <t xml:space="preserve">OJ207529138GB	</t>
  </si>
  <si>
    <t>2024-10-10 18:13:42</t>
  </si>
  <si>
    <t>2024-10-10 23:49:06</t>
  </si>
  <si>
    <t>ST-PO-210-05581973525032201</t>
  </si>
  <si>
    <t>T006-241010-0029</t>
  </si>
  <si>
    <t xml:space="preserve">OJ207529756GB	</t>
  </si>
  <si>
    <t>2024-10-10 18:13:44</t>
  </si>
  <si>
    <t>2024-10-10 23:49:05</t>
  </si>
  <si>
    <t>ST-PO-210-05567569080872255</t>
  </si>
  <si>
    <t>T006-241010-0030</t>
  </si>
  <si>
    <t xml:space="preserve">OJ207529654GB	</t>
  </si>
  <si>
    <t>2024-10-10 18:13:45</t>
  </si>
  <si>
    <t>2024-10-10 23:49:04</t>
  </si>
  <si>
    <t>ST-PO-210-05842517320230358</t>
  </si>
  <si>
    <t>T006-241010-0031</t>
  </si>
  <si>
    <t xml:space="preserve">OJ207529597GB	</t>
  </si>
  <si>
    <t>2024-10-10 18:13:46</t>
  </si>
  <si>
    <t>ST-PO-210-05705946045993508</t>
  </si>
  <si>
    <t>T006-241010-0032</t>
  </si>
  <si>
    <t xml:space="preserve">OJ207529376GB	</t>
  </si>
  <si>
    <t>2024-10-10 18:13:48</t>
  </si>
  <si>
    <t>2024-10-10 23:49:03</t>
  </si>
  <si>
    <t>ST-PO-210-05540804815912159</t>
  </si>
  <si>
    <t>T006-241010-0033</t>
  </si>
  <si>
    <t xml:space="preserve">OJ207529274GB	</t>
  </si>
  <si>
    <t>2024-10-10 18:13:50</t>
  </si>
  <si>
    <t>2024-10-10 23:49:02</t>
  </si>
  <si>
    <t>ST-PO-210-05686169902633338</t>
  </si>
  <si>
    <t>T006-241010-0034</t>
  </si>
  <si>
    <t xml:space="preserve">OJ207653912GB	</t>
  </si>
  <si>
    <t>2024-10-10 21:41:24</t>
  </si>
  <si>
    <t>2024-10-11 23:24:12</t>
  </si>
  <si>
    <t>ST-PO-210-05694771653673577</t>
  </si>
  <si>
    <t>T006-241010-0035</t>
  </si>
  <si>
    <t xml:space="preserve">OJ207654396GB	</t>
  </si>
  <si>
    <t>2024-10-10 21:41:25</t>
  </si>
  <si>
    <t>ST-PO-210-05992206349350746</t>
  </si>
  <si>
    <t>T006-241010-0036</t>
  </si>
  <si>
    <t xml:space="preserve">OJ207654325GB	</t>
  </si>
  <si>
    <t>2024-10-10 21:41:27</t>
  </si>
  <si>
    <t>2024-10-11 23:24:11</t>
  </si>
  <si>
    <t>ST-PO-210-05754941873193216</t>
  </si>
  <si>
    <t>T006-241010-0037</t>
  </si>
  <si>
    <t xml:space="preserve">OJ207654232GB	</t>
  </si>
  <si>
    <t>2024-10-10 21:41:30</t>
  </si>
  <si>
    <t>ST-PO-210-06180233641511675</t>
  </si>
  <si>
    <t>T006-241010-0038</t>
  </si>
  <si>
    <t xml:space="preserve">OJ207654087GB	</t>
  </si>
  <si>
    <t>2024-10-10 21:41:31</t>
  </si>
  <si>
    <t>2024-10-11 23:24:10</t>
  </si>
  <si>
    <t>ST-PO-210-05738588836393314</t>
  </si>
  <si>
    <t>T006-241010-0039</t>
  </si>
  <si>
    <t xml:space="preserve">OJ207653965GB	</t>
  </si>
  <si>
    <t>2024-10-10 21:41:32</t>
  </si>
  <si>
    <t>ST-PO-210-05946361661990797</t>
  </si>
  <si>
    <t>T006-241011-0001</t>
  </si>
  <si>
    <t xml:space="preserve">OJ208103430GB	</t>
  </si>
  <si>
    <t>2024-10-11 09:02:01</t>
  </si>
  <si>
    <t>2024-10-11 23:23:54</t>
  </si>
  <si>
    <t>ST-PO-210-05583010822952195</t>
  </si>
  <si>
    <t>T006-241011-0002</t>
  </si>
  <si>
    <t xml:space="preserve">OJ208104863GB	</t>
  </si>
  <si>
    <t>2024-10-11 09:02:04</t>
  </si>
  <si>
    <t>ST-PO-210-05827761866793806</t>
  </si>
  <si>
    <t>T006-241011-0003</t>
  </si>
  <si>
    <t xml:space="preserve">OJ208104449GB	</t>
  </si>
  <si>
    <t>2024-10-11 09:02:05</t>
  </si>
  <si>
    <t>ST-PO-210-05973318387750637</t>
  </si>
  <si>
    <t>T006-241011-0004</t>
  </si>
  <si>
    <t xml:space="preserve">OJ208104205GB	</t>
  </si>
  <si>
    <t>2024-10-11 09:02:06</t>
  </si>
  <si>
    <t>ST-PO-210-05594647987752860</t>
  </si>
  <si>
    <t>T006-241011-0005</t>
  </si>
  <si>
    <t xml:space="preserve">OJ208103783GB	</t>
  </si>
  <si>
    <t>2024-10-11 09:02:08</t>
  </si>
  <si>
    <t>2024-10-11 23:23:53</t>
  </si>
  <si>
    <t>ST-PO-210-05852343189030300</t>
  </si>
  <si>
    <t>T006-241011-0006</t>
  </si>
  <si>
    <t xml:space="preserve">OJ208103562GB	</t>
  </si>
  <si>
    <t>2024-10-11 09:02:09</t>
  </si>
  <si>
    <t>ST-PO-210-05758575457833965</t>
  </si>
  <si>
    <t>T006-241011-0007</t>
  </si>
  <si>
    <t xml:space="preserve">OJ208105237GB	</t>
  </si>
  <si>
    <t>2024-10-11 09:02:10</t>
  </si>
  <si>
    <t>ST-PO-210-05775942845993861</t>
  </si>
  <si>
    <t>T006-241011-0008</t>
  </si>
  <si>
    <t xml:space="preserve">OJ208220643GB	</t>
  </si>
  <si>
    <t>2024-10-11 10:19:27</t>
  </si>
  <si>
    <t>2024-10-11 23:23:50</t>
  </si>
  <si>
    <t>ST-PO-210-16670305137193404</t>
  </si>
  <si>
    <t>T006-241011-0009</t>
  </si>
  <si>
    <t xml:space="preserve">OJ208229280GB	</t>
  </si>
  <si>
    <t>2024-10-11 10:19:29</t>
  </si>
  <si>
    <t>ST-PO-210-05519570051112541</t>
  </si>
  <si>
    <t>T006-241011-0010</t>
  </si>
  <si>
    <t xml:space="preserve">OJ208227213GB	</t>
  </si>
  <si>
    <t>2024-10-11 10:19:30</t>
  </si>
  <si>
    <t>2024-10-11 23:23:49</t>
  </si>
  <si>
    <t>ST-PO-210-06073745368871028</t>
  </si>
  <si>
    <t>1.700KG</t>
  </si>
  <si>
    <t>T006-241011-0011</t>
  </si>
  <si>
    <t xml:space="preserve">OJ208225464GB	</t>
  </si>
  <si>
    <t>2024-10-11 10:19:31</t>
  </si>
  <si>
    <t>2024-10-11 23:23:48</t>
  </si>
  <si>
    <t>ST-PO-210-05533998296872487</t>
  </si>
  <si>
    <t>T006-241011-0012</t>
  </si>
  <si>
    <t xml:space="preserve">OJ208223622GB	</t>
  </si>
  <si>
    <t>2024-10-11 10:19:32</t>
  </si>
  <si>
    <t>ST-PO-210-05605166849833055</t>
  </si>
  <si>
    <t>T006-241011-0013</t>
  </si>
  <si>
    <t xml:space="preserve">OJ208221618GB	</t>
  </si>
  <si>
    <t>2024-10-11 10:19:34</t>
  </si>
  <si>
    <t>ST-PO-210-06105082830631867</t>
  </si>
  <si>
    <t>T006-241011-0014</t>
  </si>
  <si>
    <t xml:space="preserve">OJ208230169GB	</t>
  </si>
  <si>
    <t>2024-10-11 10:19:36</t>
  </si>
  <si>
    <t>ST-PO-210-05657335635752774</t>
  </si>
  <si>
    <t>T006-241011-0015</t>
  </si>
  <si>
    <t xml:space="preserve">OJ208228134GB	</t>
  </si>
  <si>
    <t>2024-10-11 10:19:37</t>
  </si>
  <si>
    <t>2024-10-11 23:23:47</t>
  </si>
  <si>
    <t>ST-PO-210-06062183840551099</t>
  </si>
  <si>
    <t>T006-241011-0016</t>
  </si>
  <si>
    <t xml:space="preserve">OJ208226270GB	</t>
  </si>
  <si>
    <t>2024-10-11 10:19:38</t>
  </si>
  <si>
    <t>ST-PO-210-05593650372392898</t>
  </si>
  <si>
    <t>T006-241011-0017</t>
  </si>
  <si>
    <t xml:space="preserve">OJ208224631GB	</t>
  </si>
  <si>
    <t>2024-10-11 10:19:39</t>
  </si>
  <si>
    <t>ST-PO-210-05698897068073550</t>
  </si>
  <si>
    <t>T006-241011-0018</t>
  </si>
  <si>
    <t xml:space="preserve">OJ208222825GB	</t>
  </si>
  <si>
    <t>2024-10-11 10:19:40</t>
  </si>
  <si>
    <t>ST-PO-210-05553646815272080</t>
  </si>
  <si>
    <t>T006-241011-0019</t>
  </si>
  <si>
    <t xml:space="preserve">OJ208231266GB	</t>
  </si>
  <si>
    <t>2024-10-11 10:19:41</t>
  </si>
  <si>
    <t>2024-10-11 23:23:46</t>
  </si>
  <si>
    <t>ST-PO-210-05794076038953977</t>
  </si>
  <si>
    <t>T006-241011-0020</t>
  </si>
  <si>
    <t xml:space="preserve">OJ208228987GB	</t>
  </si>
  <si>
    <t>2024-10-11 10:19:42</t>
  </si>
  <si>
    <t>2024-10-11 23:23:45</t>
  </si>
  <si>
    <t>ST-PO-210-06099932357671896</t>
  </si>
  <si>
    <t>T006-241011-0021</t>
  </si>
  <si>
    <t xml:space="preserve">OJ208226703GB	</t>
  </si>
  <si>
    <t>2024-10-11 10:19:43</t>
  </si>
  <si>
    <t>ST-PO-210-05621764056872954</t>
  </si>
  <si>
    <t>T006-241011-0022</t>
  </si>
  <si>
    <t xml:space="preserve">OJ208225115GB	</t>
  </si>
  <si>
    <t>2024-10-11 10:19:44</t>
  </si>
  <si>
    <t>2024-10-11 23:23:44</t>
  </si>
  <si>
    <t>ST-PO-210-05814843261993597</t>
  </si>
  <si>
    <t>T006-241011-0023</t>
  </si>
  <si>
    <t xml:space="preserve">OJ208223273GB	</t>
  </si>
  <si>
    <t>2024-10-11 10:19:45</t>
  </si>
  <si>
    <t>ST-PO-210-05963664663590948</t>
  </si>
  <si>
    <t>T006-241011-0024</t>
  </si>
  <si>
    <t xml:space="preserve">OJ208220970GB	</t>
  </si>
  <si>
    <t>2024-10-11 10:19:46</t>
  </si>
  <si>
    <t>ST-PO-210-05568728870952246</t>
  </si>
  <si>
    <t>T006-241011-0025</t>
  </si>
  <si>
    <t xml:space="preserve">OJ208229761GB	</t>
  </si>
  <si>
    <t>2024-10-11 10:19:47</t>
  </si>
  <si>
    <t>ST-PO-210-05710651656233480</t>
  </si>
  <si>
    <t>T006-241011-0026</t>
  </si>
  <si>
    <t xml:space="preserve">OJ208227686GB	</t>
  </si>
  <si>
    <t>2024-10-11 10:19:49</t>
  </si>
  <si>
    <t>ST-PO-210-05827824781353806</t>
  </si>
  <si>
    <t>T006-241011-0027</t>
  </si>
  <si>
    <t xml:space="preserve">OJ208225985GB	</t>
  </si>
  <si>
    <t>2024-10-11 10:19:50</t>
  </si>
  <si>
    <t>2024-10-11 23:23:43</t>
  </si>
  <si>
    <t>ST-PO-210-06044841234471488</t>
  </si>
  <si>
    <t>T006-241011-0028</t>
  </si>
  <si>
    <t xml:space="preserve">OJ208224185GB	</t>
  </si>
  <si>
    <t>2024-10-11 10:19:52</t>
  </si>
  <si>
    <t>ST-PO-210-05607126664233043</t>
  </si>
  <si>
    <t>T006-241011-0029</t>
  </si>
  <si>
    <t xml:space="preserve">OJ208222057GB	</t>
  </si>
  <si>
    <t>2024-10-11 10:19:53</t>
  </si>
  <si>
    <t>ST-PO-210-06047047427111445</t>
  </si>
  <si>
    <t>T006-241011-0030</t>
  </si>
  <si>
    <t xml:space="preserve">OJ208230739GB	</t>
  </si>
  <si>
    <t>2024-10-11 10:19:54</t>
  </si>
  <si>
    <t>2024-10-11 23:23:42</t>
  </si>
  <si>
    <t>ST-PO-210-05686860285993334</t>
  </si>
  <si>
    <t>T006-241011-0031</t>
  </si>
  <si>
    <t xml:space="preserve">OJ208228576GB	</t>
  </si>
  <si>
    <t>2024-10-11 10:19:56</t>
  </si>
  <si>
    <t>ST-PO-210-06018378171431358</t>
  </si>
  <si>
    <t>T006-241011-0032</t>
  </si>
  <si>
    <t xml:space="preserve">OJ208466686GB	</t>
  </si>
  <si>
    <t>2024-10-11 14:17:22</t>
  </si>
  <si>
    <t>2024-10-11 23:23:32</t>
  </si>
  <si>
    <t>ST-PO-210-06047592757031440</t>
  </si>
  <si>
    <t>T006-241011-0033</t>
  </si>
  <si>
    <t xml:space="preserve">JJD0002247226236207	</t>
  </si>
  <si>
    <t>2024-10-11 14:23:45</t>
  </si>
  <si>
    <t>2024-10-11 23:23:31</t>
  </si>
  <si>
    <t>YODEL-MINI-TB</t>
  </si>
  <si>
    <t>3042903726302566</t>
  </si>
  <si>
    <t>T006-241011-0034</t>
  </si>
  <si>
    <t xml:space="preserve">JJD0002247226236208	</t>
  </si>
  <si>
    <t>2024-10-11 14:23:47</t>
  </si>
  <si>
    <t>3043138714994533</t>
  </si>
  <si>
    <t>T006-241011-0035</t>
  </si>
  <si>
    <t xml:space="preserve">OJ208471023GB	</t>
  </si>
  <si>
    <t>2024-10-11 14:23:48</t>
  </si>
  <si>
    <t>2024-10-11 23:23:30</t>
  </si>
  <si>
    <t>3043102957468542</t>
  </si>
  <si>
    <t>T006-241011-0036</t>
  </si>
  <si>
    <t xml:space="preserve">OJ208475590GB	</t>
  </si>
  <si>
    <t>2024-10-11 14:28:25</t>
  </si>
  <si>
    <t>shein-GSONEN27U001SKU</t>
  </si>
  <si>
    <t>T006-241011-0037</t>
  </si>
  <si>
    <t xml:space="preserve">OJ208476140GB	</t>
  </si>
  <si>
    <t>2024-10-11 14:28:27</t>
  </si>
  <si>
    <t>shein-GSONEN30U00NRFD</t>
  </si>
  <si>
    <t>T006-241011-0038</t>
  </si>
  <si>
    <t xml:space="preserve">OJ208475793GB	</t>
  </si>
  <si>
    <t>2024-10-11 14:28:28</t>
  </si>
  <si>
    <t>2024-10-11 23:23:29</t>
  </si>
  <si>
    <t>shein-GSONEM07B0003BA</t>
  </si>
  <si>
    <t>T006-241011-0039</t>
  </si>
  <si>
    <t xml:space="preserve">OJ208493593GB	</t>
  </si>
  <si>
    <t>2024-10-11 14:44:34</t>
  </si>
  <si>
    <t>2024-10-11 23:23:28</t>
  </si>
  <si>
    <t>ST-PO-210-16539363794472168</t>
  </si>
  <si>
    <t>T006-241011-0040</t>
  </si>
  <si>
    <t xml:space="preserve">OJ208493942GB	</t>
  </si>
  <si>
    <t>2024-10-11 14:44:35</t>
  </si>
  <si>
    <t>ST-PO-210-16531485128232441</t>
  </si>
  <si>
    <t>T006-241011-0041</t>
  </si>
  <si>
    <t xml:space="preserve">OJ208493718GB	</t>
  </si>
  <si>
    <t>2024-10-11 14:44:36</t>
  </si>
  <si>
    <t>ST-PO-210-16796208476713711</t>
  </si>
  <si>
    <t>T006-241011-0042</t>
  </si>
  <si>
    <t xml:space="preserve">OJ208547800GB	</t>
  </si>
  <si>
    <t>2024-10-11 15:44:25</t>
  </si>
  <si>
    <t>2024-10-11 23:23:25</t>
  </si>
  <si>
    <t>ST-PO-210-16998553070630681</t>
  </si>
  <si>
    <t>T006-241011-0043</t>
  </si>
  <si>
    <t xml:space="preserve">OJ208548439GB	</t>
  </si>
  <si>
    <t>2024-10-11 15:44:26</t>
  </si>
  <si>
    <t>ST-PO-210-16634121608232597</t>
  </si>
  <si>
    <t>T006-241011-0044</t>
  </si>
  <si>
    <t xml:space="preserve">OJ208548323GB	</t>
  </si>
  <si>
    <t>2024-10-11 15:44:27</t>
  </si>
  <si>
    <t>ST-PO-210-16635356662312620</t>
  </si>
  <si>
    <t>T006-241011-0045</t>
  </si>
  <si>
    <t xml:space="preserve">OJ208547963GB	</t>
  </si>
  <si>
    <t>2024-10-11 15:44:29</t>
  </si>
  <si>
    <t>ST-PO-210-16640030997032560</t>
  </si>
  <si>
    <t>T006-241011-0046</t>
  </si>
  <si>
    <t xml:space="preserve">OJ208562254GB	</t>
  </si>
  <si>
    <t>2024-10-11 16:00:14</t>
  </si>
  <si>
    <t>PO-210-11537203779111521</t>
  </si>
  <si>
    <t>0.600KG</t>
  </si>
  <si>
    <t>T006-241012-0001</t>
  </si>
  <si>
    <t xml:space="preserve">OJ209280665GB	</t>
  </si>
  <si>
    <t>2024-10-12 08:44:27</t>
  </si>
  <si>
    <t>2024-10-14 23:15:15</t>
  </si>
  <si>
    <t>ST-PO-210-16866955333670472</t>
  </si>
  <si>
    <t>T006-241012-0002</t>
  </si>
  <si>
    <t xml:space="preserve">OJ209324083GB	</t>
  </si>
  <si>
    <t>2024-10-12 09:23:41</t>
  </si>
  <si>
    <t>2024-10-14 23:15:12</t>
  </si>
  <si>
    <t>ST-PO-210-16702907260713467</t>
  </si>
  <si>
    <t>T006-241012-0003</t>
  </si>
  <si>
    <t xml:space="preserve">OJ209327615GB	</t>
  </si>
  <si>
    <t>2024-10-12 09:23:43</t>
  </si>
  <si>
    <t>ST-PO-210-17030103830311517</t>
  </si>
  <si>
    <t>0.800KG</t>
  </si>
  <si>
    <t>T006-241012-0004</t>
  </si>
  <si>
    <t xml:space="preserve">OJ209326858GB	</t>
  </si>
  <si>
    <t>2024-10-12 09:23:44</t>
  </si>
  <si>
    <t>ST-PO-210-16699716969513516</t>
  </si>
  <si>
    <t>T006-241012-0005</t>
  </si>
  <si>
    <t xml:space="preserve">OJ209326274GB	</t>
  </si>
  <si>
    <t>2024-10-12 09:23:45</t>
  </si>
  <si>
    <t>ST-PO-210-17078391384871229</t>
  </si>
  <si>
    <t>T006-241012-0006</t>
  </si>
  <si>
    <t xml:space="preserve">OJ209325526GB	</t>
  </si>
  <si>
    <t>2024-10-12 09:23:46</t>
  </si>
  <si>
    <t>2024-10-14 23:15:11</t>
  </si>
  <si>
    <t>ST-PO-210-17011635965991403</t>
  </si>
  <si>
    <t>T006-241012-0007</t>
  </si>
  <si>
    <t xml:space="preserve">OJ209324551GB	</t>
  </si>
  <si>
    <t>2024-10-12 09:23:47</t>
  </si>
  <si>
    <t>2024-10-14 23:15:10</t>
  </si>
  <si>
    <t>ST-PO-210-16526191131432473</t>
  </si>
  <si>
    <t>T006-241012-0008</t>
  </si>
  <si>
    <t xml:space="preserve">OJ209327748GB	</t>
  </si>
  <si>
    <t>2024-10-12 09:23:48</t>
  </si>
  <si>
    <t>2024-10-14 23:15:08</t>
  </si>
  <si>
    <t>ST-PO-210-16894211002150055</t>
  </si>
  <si>
    <t>T006-241012-0009</t>
  </si>
  <si>
    <t xml:space="preserve">OJ209327164GB	</t>
  </si>
  <si>
    <t>2024-10-12 09:23:50</t>
  </si>
  <si>
    <t>2024-10-14 23:15:09</t>
  </si>
  <si>
    <t>ST-PO-210-16566527715112262</t>
  </si>
  <si>
    <t>T006-241012-0010</t>
  </si>
  <si>
    <t xml:space="preserve">OJ209326455GB	</t>
  </si>
  <si>
    <t>2024-10-12 09:23:51</t>
  </si>
  <si>
    <t>ST-PO-210-16598636668712841</t>
  </si>
  <si>
    <t>T006-241012-0013</t>
  </si>
  <si>
    <t xml:space="preserve">OJ209325747GB	</t>
  </si>
  <si>
    <t>2024-10-12 09:23:56</t>
  </si>
  <si>
    <t>ST-PO-210-16559316099112275</t>
  </si>
  <si>
    <t>T006-241012-0014</t>
  </si>
  <si>
    <t xml:space="preserve">OJ209324993GB	</t>
  </si>
  <si>
    <t>2024-10-12 09:23:57</t>
  </si>
  <si>
    <t>2024-10-14 23:15:07</t>
  </si>
  <si>
    <t>ST-PO-210-16572610254632226</t>
  </si>
  <si>
    <t>T006-241012-0015</t>
  </si>
  <si>
    <t xml:space="preserve">OJ209327938GB	</t>
  </si>
  <si>
    <t>2024-10-12 09:23:58</t>
  </si>
  <si>
    <t>ST-PO-210-16870101973030423</t>
  </si>
  <si>
    <t>T006-241012-0016</t>
  </si>
  <si>
    <t xml:space="preserve">OJ209327368GB	</t>
  </si>
  <si>
    <t>2024-10-12 09:23:59</t>
  </si>
  <si>
    <t>ST-PO-210-17149573077031573</t>
  </si>
  <si>
    <t>T006-241012-0017</t>
  </si>
  <si>
    <t xml:space="preserve">OJ209326606GB	</t>
  </si>
  <si>
    <t>2024-10-12 09:24:01</t>
  </si>
  <si>
    <t>2024-10-14 23:15:06</t>
  </si>
  <si>
    <t>ST-PO-210-16885391388710074</t>
  </si>
  <si>
    <t>T006-241012-0018</t>
  </si>
  <si>
    <t xml:space="preserve">OJ209326075GB	</t>
  </si>
  <si>
    <t>2024-10-12 09:24:02</t>
  </si>
  <si>
    <t>ST-PO-210-16643126820392798</t>
  </si>
  <si>
    <t>T006-241012-0019</t>
  </si>
  <si>
    <t xml:space="preserve">OJ209325319GB	</t>
  </si>
  <si>
    <t>2024-10-12 09:24:03</t>
  </si>
  <si>
    <t>ST-PO-210-16897616410150003</t>
  </si>
  <si>
    <t>T006-241012-0021</t>
  </si>
  <si>
    <t xml:space="preserve">OJ209324208GB	</t>
  </si>
  <si>
    <t>2024-10-12 09:24:07</t>
  </si>
  <si>
    <t>2024-10-14 23:15:05</t>
  </si>
  <si>
    <t>ST-PO-210-17001587103270695</t>
  </si>
  <si>
    <t>T006-241012-0024</t>
  </si>
  <si>
    <t xml:space="preserve">OJ209327632GB	</t>
  </si>
  <si>
    <t>2024-10-12 09:24:13</t>
  </si>
  <si>
    <t>ST-PO-210-17156274988071565</t>
  </si>
  <si>
    <t>T006-241012-0027</t>
  </si>
  <si>
    <t xml:space="preserve">OJ209327062GB	</t>
  </si>
  <si>
    <t>2024-10-12 09:24:19</t>
  </si>
  <si>
    <t>ST-PO-210-17086273213991212</t>
  </si>
  <si>
    <t>T006-241012-0030</t>
  </si>
  <si>
    <t xml:space="preserve">OJ209326362GB	</t>
  </si>
  <si>
    <t>2024-10-12 09:24:24</t>
  </si>
  <si>
    <t>2024-10-14 23:15:04</t>
  </si>
  <si>
    <t>ST-PO-210-16496063370792426</t>
  </si>
  <si>
    <t>T006-241012-0031</t>
  </si>
  <si>
    <t xml:space="preserve">OJ209325702GB	</t>
  </si>
  <si>
    <t>2024-10-12 09:24:25</t>
  </si>
  <si>
    <t>ST-PO-210-16941531069990797</t>
  </si>
  <si>
    <t>T006-241012-0032</t>
  </si>
  <si>
    <t xml:space="preserve">OJ209324786GB	</t>
  </si>
  <si>
    <t>2024-10-12 09:24:26</t>
  </si>
  <si>
    <t>ST-PO-210-16728086636073093</t>
  </si>
  <si>
    <t>T006-241012-0033</t>
  </si>
  <si>
    <t xml:space="preserve">OJ209327779GB	</t>
  </si>
  <si>
    <t>2024-10-12 09:24:27</t>
  </si>
  <si>
    <t>ST-PO-210-16909848835110216</t>
  </si>
  <si>
    <t>T006-241012-0034</t>
  </si>
  <si>
    <t xml:space="preserve">OJ209327283GB	</t>
  </si>
  <si>
    <t>2024-10-12 09:24:29</t>
  </si>
  <si>
    <t>2024-10-14 23:15:02</t>
  </si>
  <si>
    <t>ST-PO-210-16639194524712567</t>
  </si>
  <si>
    <t>7.650KG</t>
  </si>
  <si>
    <t>T006-241012-0035</t>
  </si>
  <si>
    <t xml:space="preserve">OJ209326552GB	</t>
  </si>
  <si>
    <t>2024-10-12 09:24:30</t>
  </si>
  <si>
    <t>2024-10-14 23:15:03</t>
  </si>
  <si>
    <t>ST-PO-210-16881940495910126</t>
  </si>
  <si>
    <t>T006-241012-0036</t>
  </si>
  <si>
    <t xml:space="preserve">OJ209325897GB	</t>
  </si>
  <si>
    <t>2024-10-12 09:24:31</t>
  </si>
  <si>
    <t>ST-PO-210-16874554173990394</t>
  </si>
  <si>
    <t>T006-241012-0037</t>
  </si>
  <si>
    <t xml:space="preserve">OJ209325163GB	</t>
  </si>
  <si>
    <t>2024-10-12 09:24:33</t>
  </si>
  <si>
    <t>ST-PO-210-17044676767271460</t>
  </si>
  <si>
    <t>T006-241012-0038</t>
  </si>
  <si>
    <t xml:space="preserve">OJ209327941GB	</t>
  </si>
  <si>
    <t>2024-10-12 09:24:34</t>
  </si>
  <si>
    <t>ST-PO-210-16978728586790575</t>
  </si>
  <si>
    <t>1.800KG</t>
  </si>
  <si>
    <t>T006-241012-0039</t>
  </si>
  <si>
    <t xml:space="preserve">OJ209327408GB	</t>
  </si>
  <si>
    <t>2024-10-12 09:24:36</t>
  </si>
  <si>
    <t>ST-PO-210-17166217239591728</t>
  </si>
  <si>
    <t>T006-241012-0040</t>
  </si>
  <si>
    <t xml:space="preserve">OJ209326760GB	</t>
  </si>
  <si>
    <t>2024-10-12 09:24:37</t>
  </si>
  <si>
    <t>2024-10-14 23:15:01</t>
  </si>
  <si>
    <t>ST-PO-210-16955628017190937</t>
  </si>
  <si>
    <t>T006-241012-0041</t>
  </si>
  <si>
    <t xml:space="preserve">OJ209326172GB	</t>
  </si>
  <si>
    <t>2024-10-12 09:24:38</t>
  </si>
  <si>
    <t>ST-PO-210-16990304996390760</t>
  </si>
  <si>
    <t>T006-241012-0042</t>
  </si>
  <si>
    <t xml:space="preserve">OJ209325441GB	</t>
  </si>
  <si>
    <t>2024-10-12 09:24:39</t>
  </si>
  <si>
    <t>ST-PO-210-16921053061670151</t>
  </si>
  <si>
    <t>T006-241012-0043</t>
  </si>
  <si>
    <t xml:space="preserve">OJ209324401GB	</t>
  </si>
  <si>
    <t>2024-10-12 09:24:40</t>
  </si>
  <si>
    <t>2024-10-14 23:15:00</t>
  </si>
  <si>
    <t>ST-PO-210-17025361997351289</t>
  </si>
  <si>
    <t>T006-241012-0045</t>
  </si>
  <si>
    <t xml:space="preserve">OJ209586901GB	</t>
  </si>
  <si>
    <t>2024-10-12 13:58:16</t>
  </si>
  <si>
    <t>2024-10-14 23:14:58</t>
  </si>
  <si>
    <t>shein-GSONE161U002S4F</t>
  </si>
  <si>
    <t>T006-241012-0046</t>
  </si>
  <si>
    <t xml:space="preserve">OJ209586977GB	</t>
  </si>
  <si>
    <t>2024-10-12 13:58:17</t>
  </si>
  <si>
    <t>shein-GSONE116200MKE9</t>
  </si>
  <si>
    <t>T006-241012-0048</t>
  </si>
  <si>
    <t xml:space="preserve">OJ209601250GB	</t>
  </si>
  <si>
    <t>2024-10-12 14:12:50</t>
  </si>
  <si>
    <t>2024-10-14 23:14:57</t>
  </si>
  <si>
    <t>PO-210-17087183470631209</t>
  </si>
  <si>
    <t>2.400KG</t>
  </si>
  <si>
    <t>T006-241012-0050</t>
  </si>
  <si>
    <t xml:space="preserve">OJ209618431GB	</t>
  </si>
  <si>
    <t>2024-10-12 14:34:45</t>
  </si>
  <si>
    <t>ST-PO-210-04322374843433533</t>
  </si>
  <si>
    <t>T006-241012-0051</t>
  </si>
  <si>
    <t xml:space="preserve">OJ209650879GB	</t>
  </si>
  <si>
    <t>2024-10-12 15:14:15</t>
  </si>
  <si>
    <t>2024-10-14 23:14:56</t>
  </si>
  <si>
    <t>ST-PO-210-04499611786790429</t>
  </si>
  <si>
    <t>T006-241012-0052</t>
  </si>
  <si>
    <t xml:space="preserve">OJ209748459GB	</t>
  </si>
  <si>
    <t>2024-10-12 17:17:18</t>
  </si>
  <si>
    <t>2024-10-14 23:14:55</t>
  </si>
  <si>
    <t>shein-GSONE161700NSBC</t>
  </si>
  <si>
    <t>T006-241012-0053</t>
  </si>
  <si>
    <t xml:space="preserve">OJ209760313GB	</t>
  </si>
  <si>
    <t>2024-10-12 17:33:06</t>
  </si>
  <si>
    <t>ST-PO-210-04572305789990795</t>
  </si>
  <si>
    <t>T006-241012-0054</t>
  </si>
  <si>
    <t xml:space="preserve">OJ209760891GB	</t>
  </si>
  <si>
    <t>2024-10-12 17:33:07</t>
  </si>
  <si>
    <t>2024-10-14 23:14:53</t>
  </si>
  <si>
    <t>ST-PO-210-04780740741671569</t>
  </si>
  <si>
    <t>T006-241012-0055</t>
  </si>
  <si>
    <t xml:space="preserve">OJ209760738GB	</t>
  </si>
  <si>
    <t>2024-10-12 17:33:08</t>
  </si>
  <si>
    <t>2024-10-14 23:14:54</t>
  </si>
  <si>
    <t>ST-PO-210-04345930109993137</t>
  </si>
  <si>
    <t>T006-241012-0056</t>
  </si>
  <si>
    <t xml:space="preserve">OJ209760653GB	</t>
  </si>
  <si>
    <t>2024-10-12 17:33:09</t>
  </si>
  <si>
    <t>ST-PO-210-04534095744550255</t>
  </si>
  <si>
    <t>T006-241012-0058</t>
  </si>
  <si>
    <t xml:space="preserve">OJ209760485GB	</t>
  </si>
  <si>
    <t>2024-10-12 17:33:12</t>
  </si>
  <si>
    <t>ST-PO-210-04696333980711078</t>
  </si>
  <si>
    <t>T006-241012-0061</t>
  </si>
  <si>
    <t xml:space="preserve">OJ209760959GB	</t>
  </si>
  <si>
    <t>2024-10-12 17:33:17</t>
  </si>
  <si>
    <t>2024-10-14 23:14:52</t>
  </si>
  <si>
    <t>ST-PO-210-04262546353192640</t>
  </si>
  <si>
    <t>T006-241012-0062</t>
  </si>
  <si>
    <t xml:space="preserve">OJ209760809GB	</t>
  </si>
  <si>
    <t>2024-10-12 17:33:18</t>
  </si>
  <si>
    <t>ST-PO-210-04767258660391937</t>
  </si>
  <si>
    <t>T006-241012-0063</t>
  </si>
  <si>
    <t xml:space="preserve">OJ209760715GB	</t>
  </si>
  <si>
    <t>2024-10-12 17:33:19</t>
  </si>
  <si>
    <t>2024-10-14 23:14:51</t>
  </si>
  <si>
    <t>ST-PO-210-04602275021350585</t>
  </si>
  <si>
    <t>T006-241012-0064</t>
  </si>
  <si>
    <t xml:space="preserve">OJ209760579GB	</t>
  </si>
  <si>
    <t>2024-10-12 17:33:20</t>
  </si>
  <si>
    <t>2024-10-14 23:14:50</t>
  </si>
  <si>
    <t>ST-PO-210-04548652987430134</t>
  </si>
  <si>
    <t>T006-241012-0065</t>
  </si>
  <si>
    <t xml:space="preserve">OJ209760429GB	</t>
  </si>
  <si>
    <t>2024-10-12 17:33:21</t>
  </si>
  <si>
    <t>2024-10-14 23:14:49</t>
  </si>
  <si>
    <t>ST-PO-210-04441122120233593</t>
  </si>
  <si>
    <t>T006-241012-0067</t>
  </si>
  <si>
    <t xml:space="preserve">OJ209761044GB	</t>
  </si>
  <si>
    <t>2024-10-12 17:33:24</t>
  </si>
  <si>
    <t>ST-PO-210-04763002107431931</t>
  </si>
  <si>
    <t>T006-241012-0073</t>
  </si>
  <si>
    <t xml:space="preserve">OJ209840440GB	</t>
  </si>
  <si>
    <t>2024-10-12 19:51:59</t>
  </si>
  <si>
    <t>ST-PO-210-04549106926630132</t>
  </si>
  <si>
    <t>2.800KG</t>
  </si>
  <si>
    <t>T006-241012-0074</t>
  </si>
  <si>
    <t xml:space="preserve">OJ209840382GB	</t>
  </si>
  <si>
    <t>2024-10-12 19:52:00</t>
  </si>
  <si>
    <t>ST-PO-210-04527127155750009</t>
  </si>
  <si>
    <t>T006-241012-0075</t>
  </si>
  <si>
    <t xml:space="preserve">OJ209842255GB	</t>
  </si>
  <si>
    <t>2024-10-12 19:55:36</t>
  </si>
  <si>
    <t>2024-10-14 23:14:48</t>
  </si>
  <si>
    <t>ST-PO-210-04413103030314014</t>
  </si>
  <si>
    <t>Zone C</t>
  </si>
  <si>
    <t>T006-241012-0076</t>
  </si>
  <si>
    <t xml:space="preserve">OJ209842131GB	</t>
  </si>
  <si>
    <t>2024-10-12 19:55:37</t>
  </si>
  <si>
    <t>2024-10-14 23:14:47</t>
  </si>
  <si>
    <t>ST-PO-210-04268810391592570</t>
  </si>
  <si>
    <t>T006-241012-0077</t>
  </si>
  <si>
    <t xml:space="preserve">OJ209842030GB	</t>
  </si>
  <si>
    <t>2024-10-12 19:55:38</t>
  </si>
  <si>
    <t>ST-PO-210-04525939950630014</t>
  </si>
  <si>
    <t>T006-241012-0078</t>
  </si>
  <si>
    <t xml:space="preserve">OJ209841887GB	</t>
  </si>
  <si>
    <t>2024-10-12 19:55:39</t>
  </si>
  <si>
    <t>ST-PO-210-04560809828390862</t>
  </si>
  <si>
    <t>T006-241012-0079</t>
  </si>
  <si>
    <t xml:space="preserve">OJ209841745GB	</t>
  </si>
  <si>
    <t>2024-10-12 19:55:41</t>
  </si>
  <si>
    <t>2024-10-14 23:14:46</t>
  </si>
  <si>
    <t>ST-PO-210-04276547413032812</t>
  </si>
  <si>
    <t>T006-241012-0080</t>
  </si>
  <si>
    <t xml:space="preserve">OJ209889363GB	</t>
  </si>
  <si>
    <t>2024-10-12 21:13:13</t>
  </si>
  <si>
    <t>2024-10-14 23:14:44</t>
  </si>
  <si>
    <t>ST-PO-210-04551340009510150</t>
  </si>
  <si>
    <t>T006-241012-0081</t>
  </si>
  <si>
    <t xml:space="preserve">OJ209895514GB	</t>
  </si>
  <si>
    <t>2024-10-12 21:13:14</t>
  </si>
  <si>
    <t>ST-PO-210-04553724776230872</t>
  </si>
  <si>
    <t>T006-241012-0082</t>
  </si>
  <si>
    <t xml:space="preserve">OJ209895704GB	</t>
  </si>
  <si>
    <t>2024-10-12 21:13:15</t>
  </si>
  <si>
    <t>2024-10-14 23:14:45</t>
  </si>
  <si>
    <t>ST-PO-210-04737668708391824</t>
  </si>
  <si>
    <t>T006-241012-0083</t>
  </si>
  <si>
    <t xml:space="preserve">OJ209895647GB	</t>
  </si>
  <si>
    <t>2024-10-12 21:13:17</t>
  </si>
  <si>
    <t>ST-PO-210-04219879012392862</t>
  </si>
  <si>
    <t>T006-241012-0085</t>
  </si>
  <si>
    <t xml:space="preserve">OJ209895576GB	</t>
  </si>
  <si>
    <t>2024-10-12 21:13:20</t>
  </si>
  <si>
    <t>2024-10-14 23:14:43</t>
  </si>
  <si>
    <t>ST-PO-210-04610172888870568</t>
  </si>
  <si>
    <t>T006-241013-0001</t>
  </si>
  <si>
    <t xml:space="preserve">OJ210080352GB	</t>
  </si>
  <si>
    <t>2024-10-13 01:32:57</t>
  </si>
  <si>
    <t>ST-PO-210-04436766542633619</t>
  </si>
  <si>
    <t>1.900KG</t>
  </si>
  <si>
    <t>T006-241013-0002</t>
  </si>
  <si>
    <t xml:space="preserve">OJ210081698GB	</t>
  </si>
  <si>
    <t>2024-10-13 01:32:58</t>
  </si>
  <si>
    <t>ST-PO-210-04148077873192554</t>
  </si>
  <si>
    <t>T006-241013-0003</t>
  </si>
  <si>
    <t xml:space="preserve">OJ210081335GB	</t>
  </si>
  <si>
    <t>2024-10-13 01:33:00</t>
  </si>
  <si>
    <t>ST-PO-210-04510418522150106</t>
  </si>
  <si>
    <t>T006-241013-0006</t>
  </si>
  <si>
    <t xml:space="preserve">OJ210081035GB	</t>
  </si>
  <si>
    <t>2024-10-13 01:33:04</t>
  </si>
  <si>
    <t>ST-PO-210-04635224731430642</t>
  </si>
  <si>
    <t>T006-241013-0009</t>
  </si>
  <si>
    <t xml:space="preserve">OJ210080600GB	</t>
  </si>
  <si>
    <t>2024-10-13 01:33:09</t>
  </si>
  <si>
    <t>2024-10-14 23:14:42</t>
  </si>
  <si>
    <t>ST-PO-210-04402856009514077</t>
  </si>
  <si>
    <t>T006-241013-0010</t>
  </si>
  <si>
    <t xml:space="preserve">OJ210080406GB	</t>
  </si>
  <si>
    <t>2024-10-13 01:33:10</t>
  </si>
  <si>
    <t>ST-PO-210-04311823669033338</t>
  </si>
  <si>
    <t>T006-241013-0011</t>
  </si>
  <si>
    <t xml:space="preserve">OJ210081786GB	</t>
  </si>
  <si>
    <t>2024-10-13 01:33:11</t>
  </si>
  <si>
    <t>ST-PO-210-04544953786150188</t>
  </si>
  <si>
    <t>T006-241013-0012</t>
  </si>
  <si>
    <t xml:space="preserve">OJ210081446GB	</t>
  </si>
  <si>
    <t>2024-10-13 01:33:13</t>
  </si>
  <si>
    <t>ST-PO-210-04788958783271774</t>
  </si>
  <si>
    <t>T006-241013-0013</t>
  </si>
  <si>
    <t xml:space="preserve">OJ210081171GB	</t>
  </si>
  <si>
    <t>2024-10-13 01:33:14</t>
  </si>
  <si>
    <t>2024-10-14 23:14:41</t>
  </si>
  <si>
    <t>ST-PO-210-04401226057513863</t>
  </si>
  <si>
    <t>T006-241013-0014</t>
  </si>
  <si>
    <t xml:space="preserve">OJ210080785GB	</t>
  </si>
  <si>
    <t>2024-10-13 01:33:15</t>
  </si>
  <si>
    <t>2024-10-14 23:14:40</t>
  </si>
  <si>
    <t>ST-PO-210-04534064817190255</t>
  </si>
  <si>
    <t>T006-241013-0016</t>
  </si>
  <si>
    <t xml:space="preserve">OJ210080468GB	</t>
  </si>
  <si>
    <t>2024-10-13 01:33:19</t>
  </si>
  <si>
    <t>ST-PO-210-04411982317354055</t>
  </si>
  <si>
    <t>T006-241013-0018</t>
  </si>
  <si>
    <t xml:space="preserve">OJ210081843GB	</t>
  </si>
  <si>
    <t>2024-10-13 01:33:22</t>
  </si>
  <si>
    <t>2024-10-14 23:14:39</t>
  </si>
  <si>
    <t>ST-PO-210-04413586588714013</t>
  </si>
  <si>
    <t>T006-241013-0019</t>
  </si>
  <si>
    <t xml:space="preserve">OJ210081565GB	</t>
  </si>
  <si>
    <t>2024-10-13 01:33:23</t>
  </si>
  <si>
    <t>2024-10-14 23:14:38</t>
  </si>
  <si>
    <t>ST-PO-210-04203776648232190</t>
  </si>
  <si>
    <t>T006-241013-0020</t>
  </si>
  <si>
    <t xml:space="preserve">OJ210081239GB	</t>
  </si>
  <si>
    <t>2024-10-13 01:33:24</t>
  </si>
  <si>
    <t>ST-PO-210-04787722262311559</t>
  </si>
  <si>
    <t>T006-241013-0021</t>
  </si>
  <si>
    <t xml:space="preserve">OJ210080936GB	</t>
  </si>
  <si>
    <t>2024-10-13 01:33:26</t>
  </si>
  <si>
    <t>ST-PO-210-04182855640872061</t>
  </si>
  <si>
    <t>T006-241013-0022</t>
  </si>
  <si>
    <t xml:space="preserve">OJ232898948GB	</t>
  </si>
  <si>
    <t>2024-10-13 10:34:00</t>
  </si>
  <si>
    <t>2024-10-14 23:14:32</t>
  </si>
  <si>
    <t>ST-PO-210-15298645197353421</t>
  </si>
  <si>
    <t>T006-241013-0023</t>
  </si>
  <si>
    <t xml:space="preserve">OJ232899002GB	</t>
  </si>
  <si>
    <t>2024-10-13 10:34:01</t>
  </si>
  <si>
    <t>ST-PO-210-04737460405031827</t>
  </si>
  <si>
    <t>T006-241013-0025</t>
  </si>
  <si>
    <t xml:space="preserve">OJ232900709GB	</t>
  </si>
  <si>
    <t>2024-10-13 10:37:50</t>
  </si>
  <si>
    <t>ST-PO-210-04712065738791240</t>
  </si>
  <si>
    <t>T006-241013-0027</t>
  </si>
  <si>
    <t xml:space="preserve">OJ232901633GB	</t>
  </si>
  <si>
    <t>2024-10-13 10:37:53</t>
  </si>
  <si>
    <t>ST-PO-210-04463635217193715</t>
  </si>
  <si>
    <t>T006-241013-0028</t>
  </si>
  <si>
    <t xml:space="preserve">OJ232901426GB	</t>
  </si>
  <si>
    <t>2024-10-13 10:37:54</t>
  </si>
  <si>
    <t>ST-PO-210-04795481823271737</t>
  </si>
  <si>
    <t>T006-241013-0030</t>
  </si>
  <si>
    <t xml:space="preserve">OJ232901196GB	</t>
  </si>
  <si>
    <t>2024-10-13 10:37:58</t>
  </si>
  <si>
    <t>2024-10-14 23:14:31</t>
  </si>
  <si>
    <t>ST-PO-210-04247710262312952</t>
  </si>
  <si>
    <t>T006-241013-0031</t>
  </si>
  <si>
    <t xml:space="preserve">OJ232900978GB	</t>
  </si>
  <si>
    <t>2024-10-13 10:37:59</t>
  </si>
  <si>
    <t>2024-10-14 23:14:30</t>
  </si>
  <si>
    <t>ST-PO-210-04724827789351900</t>
  </si>
  <si>
    <t>T006-241013-0032</t>
  </si>
  <si>
    <t xml:space="preserve">OJ232900791GB	</t>
  </si>
  <si>
    <t>2024-10-13 10:38:00</t>
  </si>
  <si>
    <t>ST-PO-210-04292995370792714</t>
  </si>
  <si>
    <t>T006-241013-0033</t>
  </si>
  <si>
    <t xml:space="preserve">OJ232901721GB	</t>
  </si>
  <si>
    <t>2024-10-13 10:38:01</t>
  </si>
  <si>
    <t>ST-PO-210-04730511788071866</t>
  </si>
  <si>
    <t>T006-241013-0034</t>
  </si>
  <si>
    <t xml:space="preserve">OJ232901474GB	</t>
  </si>
  <si>
    <t>2024-10-13 10:38:02</t>
  </si>
  <si>
    <t>ST-PO-210-04467589747750362</t>
  </si>
  <si>
    <t>T006-241013-0035</t>
  </si>
  <si>
    <t xml:space="preserve">OJ232901267GB	</t>
  </si>
  <si>
    <t>2024-10-13 10:38:03</t>
  </si>
  <si>
    <t>2024-10-14 23:14:29</t>
  </si>
  <si>
    <t>ST-PO-210-04699805841191027</t>
  </si>
  <si>
    <t>T006-241013-0037</t>
  </si>
  <si>
    <t xml:space="preserve">OJ232901050GB	</t>
  </si>
  <si>
    <t>2024-10-13 10:38:06</t>
  </si>
  <si>
    <t>ST-PO-210-04244167174953007</t>
  </si>
  <si>
    <t>T006-241013-0039</t>
  </si>
  <si>
    <t xml:space="preserve">OJ232900831GB	</t>
  </si>
  <si>
    <t>2024-10-13 10:38:09</t>
  </si>
  <si>
    <t>ST-PO-210-04805008893991678</t>
  </si>
  <si>
    <t>T006-241013-0040</t>
  </si>
  <si>
    <t xml:space="preserve">OJ232901823GB	</t>
  </si>
  <si>
    <t>2024-10-13 10:38:11</t>
  </si>
  <si>
    <t>2024-10-14 23:14:28</t>
  </si>
  <si>
    <t>ST-PO-210-04612340942630525</t>
  </si>
  <si>
    <t>T006-241013-0041</t>
  </si>
  <si>
    <t xml:space="preserve">OJ232901576GB	</t>
  </si>
  <si>
    <t>2024-10-13 10:38:12</t>
  </si>
  <si>
    <t>ST-PO-210-04577009036071023</t>
  </si>
  <si>
    <t>T006-241013-0042</t>
  </si>
  <si>
    <t xml:space="preserve">OJ232901338GB	</t>
  </si>
  <si>
    <t>2024-10-13 10:38:13</t>
  </si>
  <si>
    <t>2024-10-14 23:14:27</t>
  </si>
  <si>
    <t>ST-PO-210-04770670819111661</t>
  </si>
  <si>
    <t>T006-241013-0043</t>
  </si>
  <si>
    <t xml:space="preserve">OJ232901148GB	</t>
  </si>
  <si>
    <t>2024-10-13 10:38:14</t>
  </si>
  <si>
    <t>2024-10-14 23:14:26</t>
  </si>
  <si>
    <t>ST-PO-210-04395090254633898</t>
  </si>
  <si>
    <t>T006-241013-0044</t>
  </si>
  <si>
    <t xml:space="preserve">OJ232900902GB	</t>
  </si>
  <si>
    <t>2024-10-13 10:38:15</t>
  </si>
  <si>
    <t>ST-PO-210-04793095821351783</t>
  </si>
  <si>
    <t>T006-241013-0067</t>
  </si>
  <si>
    <t xml:space="preserve">OJ232911595GB	</t>
  </si>
  <si>
    <t>2024-10-13 10:58:04</t>
  </si>
  <si>
    <t>ST-PO-210-04782228579111590</t>
  </si>
  <si>
    <t>T006-241013-0068</t>
  </si>
  <si>
    <t xml:space="preserve">OJ232912874GB	</t>
  </si>
  <si>
    <t>2024-10-13 10:58:05</t>
  </si>
  <si>
    <t>ST-PO-210-04329196448553490</t>
  </si>
  <si>
    <t>T006-241013-0069</t>
  </si>
  <si>
    <t xml:space="preserve">OJ232912579GB	</t>
  </si>
  <si>
    <t>2024-10-13 10:58:06</t>
  </si>
  <si>
    <t>2024-10-14 23:14:25</t>
  </si>
  <si>
    <t>ST-PO-210-04665960137511485</t>
  </si>
  <si>
    <t>T006-241013-0070</t>
  </si>
  <si>
    <t xml:space="preserve">OJ232912361GB	</t>
  </si>
  <si>
    <t>2024-10-13 10:58:07</t>
  </si>
  <si>
    <t>ST-PO-210-04770626085671661</t>
  </si>
  <si>
    <t>T006-241013-0071</t>
  </si>
  <si>
    <t xml:space="preserve">OJ232912097GB	</t>
  </si>
  <si>
    <t>2024-10-13 10:58:08</t>
  </si>
  <si>
    <t>ST-PO-210-04768982049831639</t>
  </si>
  <si>
    <t>T006-241013-0072</t>
  </si>
  <si>
    <t xml:space="preserve">OJ232911803GB	</t>
  </si>
  <si>
    <t>2024-10-13 10:58:09</t>
  </si>
  <si>
    <t>2024-10-14 23:14:23</t>
  </si>
  <si>
    <t>ST-PO-210-04504758760230396</t>
  </si>
  <si>
    <t>T006-241013-0073</t>
  </si>
  <si>
    <t xml:space="preserve">OJ232912959GB	</t>
  </si>
  <si>
    <t>2024-10-13 10:58:10</t>
  </si>
  <si>
    <t>2024-10-14 23:14:24</t>
  </si>
  <si>
    <t>ST-PO-210-04436430998313621</t>
  </si>
  <si>
    <t>T006-241013-0074</t>
  </si>
  <si>
    <t xml:space="preserve">OJ232912715GB	</t>
  </si>
  <si>
    <t>2024-10-13 10:58:11</t>
  </si>
  <si>
    <t>2024-10-14 23:14:22</t>
  </si>
  <si>
    <t>ST-PO-210-04272667470632581</t>
  </si>
  <si>
    <t>T006-241013-0075</t>
  </si>
  <si>
    <t xml:space="preserve">OJ232912517GB	</t>
  </si>
  <si>
    <t>2024-10-13 10:58:12</t>
  </si>
  <si>
    <t>2024-10-14 23:14:21</t>
  </si>
  <si>
    <t>ST-PO-210-04129614600232376</t>
  </si>
  <si>
    <t>T006-241013-0076</t>
  </si>
  <si>
    <t xml:space="preserve">OJ232912225GB	</t>
  </si>
  <si>
    <t>2024-10-13 10:58:13</t>
  </si>
  <si>
    <t>2024-10-14 23:14:20</t>
  </si>
  <si>
    <t>ST-PO-210-04279093557032767</t>
  </si>
  <si>
    <t>T006-241013-0077</t>
  </si>
  <si>
    <t xml:space="preserve">OJ232911967GB	</t>
  </si>
  <si>
    <t>2024-10-13 10:58:16</t>
  </si>
  <si>
    <t>2024-10-14 23:14:19</t>
  </si>
  <si>
    <t>ST-PO-210-04440463750953597</t>
  </si>
  <si>
    <t>T006-241013-0078</t>
  </si>
  <si>
    <t xml:space="preserve">OJ232912993GB	</t>
  </si>
  <si>
    <t>2024-10-13 10:58:17</t>
  </si>
  <si>
    <t>ST-PO-210-04415873768234030</t>
  </si>
  <si>
    <t>T006-241013-0079</t>
  </si>
  <si>
    <t xml:space="preserve">OJ232912830GB	</t>
  </si>
  <si>
    <t>2024-10-13 10:58:18</t>
  </si>
  <si>
    <t>2024-10-14 23:14:18</t>
  </si>
  <si>
    <t>ST-PO-210-04124228544552408</t>
  </si>
  <si>
    <t>T006-241013-0080</t>
  </si>
  <si>
    <t xml:space="preserve">OJ232912548GB	</t>
  </si>
  <si>
    <t>2024-10-13 10:58:19</t>
  </si>
  <si>
    <t>ST-PO-210-04175527251752134</t>
  </si>
  <si>
    <t>T006-241013-0081</t>
  </si>
  <si>
    <t xml:space="preserve">OJ232912335GB	</t>
  </si>
  <si>
    <t>2024-10-13 10:58:20</t>
  </si>
  <si>
    <t>ST-PO-210-04324040915753523</t>
  </si>
  <si>
    <t>T006-241013-0082</t>
  </si>
  <si>
    <t xml:space="preserve">OJ232912066GB	</t>
  </si>
  <si>
    <t>2024-10-13 10:58:21</t>
  </si>
  <si>
    <t>ST-PO-210-04371684466473239</t>
  </si>
  <si>
    <t>T006-241013-0083</t>
  </si>
  <si>
    <t xml:space="preserve">OJ232911715GB	</t>
  </si>
  <si>
    <t>2024-10-13 10:58:22</t>
  </si>
  <si>
    <t>ST-PO-210-04220704622632859</t>
  </si>
  <si>
    <t>T006-241013-0084</t>
  </si>
  <si>
    <t xml:space="preserve">OJ232912905GB	</t>
  </si>
  <si>
    <t>2024-10-13 10:58:23</t>
  </si>
  <si>
    <t>2024-10-14 23:14:17</t>
  </si>
  <si>
    <t>ST-PO-210-04540470811430217</t>
  </si>
  <si>
    <t>T006-241013-0085</t>
  </si>
  <si>
    <t xml:space="preserve">OJ232912640GB	</t>
  </si>
  <si>
    <t>2024-10-13 10:58:24</t>
  </si>
  <si>
    <t>ST-PO-210-04249155524392944</t>
  </si>
  <si>
    <t>T006-241013-0086</t>
  </si>
  <si>
    <t xml:space="preserve">OJ232912432GB	</t>
  </si>
  <si>
    <t>2024-10-13 10:58:25</t>
  </si>
  <si>
    <t>ST-PO-210-04779039254311579</t>
  </si>
  <si>
    <t>T006-241013-0087</t>
  </si>
  <si>
    <t xml:space="preserve">OJ232912154GB	</t>
  </si>
  <si>
    <t>2024-10-13 10:58:26</t>
  </si>
  <si>
    <t>ST-PO-210-04628005343270687</t>
  </si>
  <si>
    <t>T006-241013-0088</t>
  </si>
  <si>
    <t xml:space="preserve">OJ232911896GB	</t>
  </si>
  <si>
    <t>2024-10-13 10:58:27</t>
  </si>
  <si>
    <t>2024-10-14 23:14:16</t>
  </si>
  <si>
    <t>ST-PO-210-04463461476393714</t>
  </si>
  <si>
    <t>T006-241013-0089</t>
  </si>
  <si>
    <t xml:space="preserve">OJ232912962GB	</t>
  </si>
  <si>
    <t>2024-10-13 10:58:29</t>
  </si>
  <si>
    <t>ST-PO-210-04417114678314022</t>
  </si>
  <si>
    <t>12.200KG</t>
  </si>
  <si>
    <t>T006-241013-0090</t>
  </si>
  <si>
    <t xml:space="preserve">OJ232912790GB	</t>
  </si>
  <si>
    <t>2024-10-13 10:58:30</t>
  </si>
  <si>
    <t>ST-PO-210-04737559922471824</t>
  </si>
  <si>
    <t>T006-241013-0091</t>
  </si>
  <si>
    <t xml:space="preserve">OJ233013356GB	</t>
  </si>
  <si>
    <t>2024-10-13 14:13:54</t>
  </si>
  <si>
    <t>2024-10-14 23:14:15</t>
  </si>
  <si>
    <t>shein-GSONE257200NLU5</t>
  </si>
  <si>
    <t>T006-241013-0092</t>
  </si>
  <si>
    <t xml:space="preserve">OJ233013427GB	</t>
  </si>
  <si>
    <t>2024-10-13 14:13:55</t>
  </si>
  <si>
    <t>shein-GSONE24610013PK</t>
  </si>
  <si>
    <t>0.960KG</t>
  </si>
  <si>
    <t>T006-241013-0093</t>
  </si>
  <si>
    <t xml:space="preserve">OJ233013550GB	</t>
  </si>
  <si>
    <t>2024-10-13 14:13:56</t>
  </si>
  <si>
    <t>shein-GSONE227M001CT7</t>
  </si>
  <si>
    <t>T006-241013-0094</t>
  </si>
  <si>
    <t xml:space="preserve">OJ233013736GB	</t>
  </si>
  <si>
    <t>2024-10-13 14:13:58</t>
  </si>
  <si>
    <t>shein-GSONE143S001UCP</t>
  </si>
  <si>
    <t>T006-241013-0095</t>
  </si>
  <si>
    <t xml:space="preserve">OJ233019359GB	</t>
  </si>
  <si>
    <t>2024-10-13 14:23:56</t>
  </si>
  <si>
    <t>2024-10-14 23:14:14</t>
  </si>
  <si>
    <t>shein-GSONE102R0021EV</t>
  </si>
  <si>
    <t>T006-241013-0096</t>
  </si>
  <si>
    <t xml:space="preserve">OJ233310014GB	</t>
  </si>
  <si>
    <t>2024-10-13 22:01:17</t>
  </si>
  <si>
    <t>2024-10-14 23:13:56</t>
  </si>
  <si>
    <t>ST-PO-210-15356757473833299</t>
  </si>
  <si>
    <t>T006-241013-0097</t>
  </si>
  <si>
    <t xml:space="preserve">OJ233310155GB	</t>
  </si>
  <si>
    <t>2024-10-13 22:01:19</t>
  </si>
  <si>
    <t>ST-PO-210-15411899090474024</t>
  </si>
  <si>
    <t>T006-241013-0099</t>
  </si>
  <si>
    <t xml:space="preserve">OJ233310178GB	</t>
  </si>
  <si>
    <t>2024-10-13 22:01:22</t>
  </si>
  <si>
    <t>ST-PO-210-15569645253671004</t>
  </si>
  <si>
    <t>3.600KG</t>
  </si>
  <si>
    <t>T006-241013-0100</t>
  </si>
  <si>
    <t xml:space="preserve">OJ233310221GB	</t>
  </si>
  <si>
    <t>2024-10-13 22:01:23</t>
  </si>
  <si>
    <t>2024-10-14 23:13:55</t>
  </si>
  <si>
    <t>ST-PO-210-15197778401832231</t>
  </si>
  <si>
    <t>T006-241013-0101</t>
  </si>
  <si>
    <t xml:space="preserve">OJ233310310GB	</t>
  </si>
  <si>
    <t>2024-10-13 22:01:24</t>
  </si>
  <si>
    <t>ST-PO-210-15407559153194050</t>
  </si>
  <si>
    <t>T006-241013-0102</t>
  </si>
  <si>
    <t xml:space="preserve">OJ233310345GB	</t>
  </si>
  <si>
    <t>2024-10-13 22:01:26</t>
  </si>
  <si>
    <t>ST-PO-210-15443156716073838</t>
  </si>
  <si>
    <t>T006-241013-0103</t>
  </si>
  <si>
    <t xml:space="preserve">OJ233310385GB	</t>
  </si>
  <si>
    <t>2024-10-13 22:01:27</t>
  </si>
  <si>
    <t>2024-10-14 23:13:54</t>
  </si>
  <si>
    <t>ST-PO-210-15442983736873809</t>
  </si>
  <si>
    <t>T006-241013-0104</t>
  </si>
  <si>
    <t xml:space="preserve">OJ233310411GB	</t>
  </si>
  <si>
    <t>2024-10-13 22:01:28</t>
  </si>
  <si>
    <t>ST-PO-210-15179054162472052</t>
  </si>
  <si>
    <t>T006-241013-0110</t>
  </si>
  <si>
    <t xml:space="preserve">OJ233311638GB	</t>
  </si>
  <si>
    <t>2024-10-13 22:01:37</t>
  </si>
  <si>
    <t>ST-PO-210-15499929487910396</t>
  </si>
  <si>
    <t>T006-241013-0111</t>
  </si>
  <si>
    <t xml:space="preserve">OJ233311669GB	</t>
  </si>
  <si>
    <t>2024-10-13 22:01:38</t>
  </si>
  <si>
    <t>2024-10-14 23:13:53</t>
  </si>
  <si>
    <t>ST-PO-210-15363069901353293</t>
  </si>
  <si>
    <t>T006-241013-0112</t>
  </si>
  <si>
    <t xml:space="preserve">OJ233311726GB	</t>
  </si>
  <si>
    <t>2024-10-13 22:01:39</t>
  </si>
  <si>
    <t>ST-PO-210-15406372316714059</t>
  </si>
  <si>
    <t>T006-241013-0121</t>
  </si>
  <si>
    <t xml:space="preserve">OJ233322627GB	</t>
  </si>
  <si>
    <t>2024-10-13 22:21:16</t>
  </si>
  <si>
    <t>WEC0272410130001</t>
  </si>
  <si>
    <t>T006-241013-0130</t>
  </si>
  <si>
    <t xml:space="preserve">OJ233332451GB	</t>
  </si>
  <si>
    <t>2024-10-13 22:31:10</t>
  </si>
  <si>
    <t>WEC0422410130004</t>
  </si>
  <si>
    <t>T006-241013-0137</t>
  </si>
  <si>
    <t xml:space="preserve">OJ233332540GB	</t>
  </si>
  <si>
    <t>2024-10-13 22:31:23</t>
  </si>
  <si>
    <t>2024-10-14 23:13:52</t>
  </si>
  <si>
    <t>ST-PO-210-15122754729512420</t>
  </si>
  <si>
    <t>T006-241013-0138</t>
  </si>
  <si>
    <t xml:space="preserve">OJ233332686GB	</t>
  </si>
  <si>
    <t>2024-10-13 22:31:24</t>
  </si>
  <si>
    <t>ST-PO-210-15548157962790876</t>
  </si>
  <si>
    <t>T006-241013-0139</t>
  </si>
  <si>
    <t xml:space="preserve">OJ233332828GB	</t>
  </si>
  <si>
    <t>2024-10-13 22:31:25</t>
  </si>
  <si>
    <t>ST-PO-210-15394204078633842</t>
  </si>
  <si>
    <t>T006-241014-0001</t>
  </si>
  <si>
    <t xml:space="preserve">OJ233709328GB	</t>
  </si>
  <si>
    <t>2024-10-14 08:47:34</t>
  </si>
  <si>
    <t>2024-10-14 23:13:45</t>
  </si>
  <si>
    <t>shein-GSONEU40C001653</t>
  </si>
  <si>
    <t>T006-241014-0002</t>
  </si>
  <si>
    <t xml:space="preserve">OJ233709455GB	</t>
  </si>
  <si>
    <t>2024-10-14 08:47:35</t>
  </si>
  <si>
    <t>shein-GSONE238S0019AM</t>
  </si>
  <si>
    <t>T006-241014-0005</t>
  </si>
  <si>
    <t xml:space="preserve">OJ233768595GB	</t>
  </si>
  <si>
    <t>2024-10-14 09:19:32</t>
  </si>
  <si>
    <t>2024-10-14 23:13:38</t>
  </si>
  <si>
    <t>ST-PO-210-15495509847590422</t>
  </si>
  <si>
    <t>T006-241014-0006</t>
  </si>
  <si>
    <t xml:space="preserve">OJ233768621GB	</t>
  </si>
  <si>
    <t>2024-10-14 09:19:34</t>
  </si>
  <si>
    <t>2024-10-14 23:13:39</t>
  </si>
  <si>
    <t>ST-PO-210-15791895588391729</t>
  </si>
  <si>
    <t>T006-241014-0007</t>
  </si>
  <si>
    <t xml:space="preserve">OJ233768768GB	</t>
  </si>
  <si>
    <t>2024-10-14 09:19:35</t>
  </si>
  <si>
    <t>2024-10-14 23:13:36</t>
  </si>
  <si>
    <t>ST-PO-210-15166151532072163</t>
  </si>
  <si>
    <t>T006-241014-0008</t>
  </si>
  <si>
    <t xml:space="preserve">OJ233768785GB	</t>
  </si>
  <si>
    <t>2024-10-14 09:19:36</t>
  </si>
  <si>
    <t>2024-10-14 23:13:37</t>
  </si>
  <si>
    <t>ST-PO-210-15791270805031733</t>
  </si>
  <si>
    <t>T006-241014-0009</t>
  </si>
  <si>
    <t xml:space="preserve">OJ233768992GB	</t>
  </si>
  <si>
    <t>2024-10-14 09:19:37</t>
  </si>
  <si>
    <t>ST-PO-210-15699529795111254</t>
  </si>
  <si>
    <t>T006-241014-0011</t>
  </si>
  <si>
    <t xml:space="preserve">OJ233769009GB	</t>
  </si>
  <si>
    <t>2024-10-14 09:19:44</t>
  </si>
  <si>
    <t>ST-PO-210-15803151857191692</t>
  </si>
  <si>
    <t>3.800KG</t>
  </si>
  <si>
    <t>T006-241014-0013</t>
  </si>
  <si>
    <t xml:space="preserve">OJ233769180GB	</t>
  </si>
  <si>
    <t>2024-10-14 09:19:50</t>
  </si>
  <si>
    <t>2024-10-14 23:13:35</t>
  </si>
  <si>
    <t>ST-PO-210-15662749286951475</t>
  </si>
  <si>
    <t>T006-241014-0014</t>
  </si>
  <si>
    <t xml:space="preserve">OJ233769255GB	</t>
  </si>
  <si>
    <t>2024-10-14 09:19:51</t>
  </si>
  <si>
    <t>2024-10-14 23:13:34</t>
  </si>
  <si>
    <t>ST-PO-210-15740275615271813</t>
  </si>
  <si>
    <t>T006-241014-0015</t>
  </si>
  <si>
    <t xml:space="preserve">OJ233769454GB	</t>
  </si>
  <si>
    <t>2024-10-14 09:19:52</t>
  </si>
  <si>
    <t>2024-10-14 23:13:32</t>
  </si>
  <si>
    <t>ST-PO-210-15267389532712582</t>
  </si>
  <si>
    <t>T006-241014-0016</t>
  </si>
  <si>
    <t xml:space="preserve">OJ233769471GB	</t>
  </si>
  <si>
    <t>2024-10-14 09:19:53</t>
  </si>
  <si>
    <t>2024-10-14 23:13:33</t>
  </si>
  <si>
    <t>ST-PO-210-15228865989673069</t>
  </si>
  <si>
    <t>T006-241014-0017</t>
  </si>
  <si>
    <t xml:space="preserve">OJ233769763GB	</t>
  </si>
  <si>
    <t>2024-10-14 09:19:54</t>
  </si>
  <si>
    <t>ST-PO-210-15613528620070745</t>
  </si>
  <si>
    <t>T006-241014-0018</t>
  </si>
  <si>
    <t xml:space="preserve">OJ233768428GB	</t>
  </si>
  <si>
    <t>2024-10-14 09:19:55</t>
  </si>
  <si>
    <t>ST-PO-210-15750362084392009</t>
  </si>
  <si>
    <t>T006-241014-0019</t>
  </si>
  <si>
    <t xml:space="preserve">OJ233768343GB	</t>
  </si>
  <si>
    <t>2024-10-14 09:19:56</t>
  </si>
  <si>
    <t>2024-10-14 23:13:31</t>
  </si>
  <si>
    <t>ST-PO-210-15748323328551989</t>
  </si>
  <si>
    <t>T006-241014-0020</t>
  </si>
  <si>
    <t xml:space="preserve">OJ233768136GB	</t>
  </si>
  <si>
    <t>2024-10-14 09:19:58</t>
  </si>
  <si>
    <t>ST-PO-210-15372003768873206</t>
  </si>
  <si>
    <t>T006-241014-0023</t>
  </si>
  <si>
    <t xml:space="preserve">OJ233764593GB	</t>
  </si>
  <si>
    <t>2024-10-14 09:20:02</t>
  </si>
  <si>
    <t>ST-PO-210-15477939077670305</t>
  </si>
  <si>
    <t>T006-241014-0026</t>
  </si>
  <si>
    <t xml:space="preserve">OJ233764956GB	</t>
  </si>
  <si>
    <t>2024-10-14 09:20:20</t>
  </si>
  <si>
    <t>2024-10-14 23:13:30</t>
  </si>
  <si>
    <t>ST-PO-210-15651881907751282</t>
  </si>
  <si>
    <t>T006-241014-0027</t>
  </si>
  <si>
    <t xml:space="preserve">OJ233765347GB	</t>
  </si>
  <si>
    <t>2024-10-14 09:20:22</t>
  </si>
  <si>
    <t>2024-10-14 23:13:29</t>
  </si>
  <si>
    <t>ST-PO-210-15151251438632474</t>
  </si>
  <si>
    <t>T006-241014-0028</t>
  </si>
  <si>
    <t xml:space="preserve">OJ233765700GB	</t>
  </si>
  <si>
    <t>2024-10-14 09:20:24</t>
  </si>
  <si>
    <t>ST-PO-210-15236919419432989</t>
  </si>
  <si>
    <t>T006-241014-0029</t>
  </si>
  <si>
    <t xml:space="preserve">OJ233766064GB	</t>
  </si>
  <si>
    <t>2024-10-14 09:20:25</t>
  </si>
  <si>
    <t>ST-PO-210-15269539937832795</t>
  </si>
  <si>
    <t>T006-241014-0030</t>
  </si>
  <si>
    <t xml:space="preserve">OJ233766461GB	</t>
  </si>
  <si>
    <t>2024-10-14 09:20:27</t>
  </si>
  <si>
    <t>2024-10-14 23:13:27</t>
  </si>
  <si>
    <t>ST-PO-210-15472009380390338</t>
  </si>
  <si>
    <t>T006-241014-0034</t>
  </si>
  <si>
    <t xml:space="preserve">OJ233766767GB	</t>
  </si>
  <si>
    <t>2024-10-14 09:20:49</t>
  </si>
  <si>
    <t>ST-PO-210-15781930089511565</t>
  </si>
  <si>
    <t>T006-241014-0035</t>
  </si>
  <si>
    <t xml:space="preserve">OJ233766991GB	</t>
  </si>
  <si>
    <t>2024-10-14 09:20:50</t>
  </si>
  <si>
    <t>2024-10-14 23:13:28</t>
  </si>
  <si>
    <t>ST-PO-210-15501205668390388</t>
  </si>
  <si>
    <t>T006-241014-0036</t>
  </si>
  <si>
    <t xml:space="preserve">OJ233767158GB	</t>
  </si>
  <si>
    <t>2024-10-14 09:20:58</t>
  </si>
  <si>
    <t>ST-PO-210-15147539479592496</t>
  </si>
  <si>
    <t>T006-241014-0039</t>
  </si>
  <si>
    <t xml:space="preserve">OJ233767419GB	</t>
  </si>
  <si>
    <t>2024-10-14 09:21:09</t>
  </si>
  <si>
    <t>ST-PO-210-15481240433190285</t>
  </si>
  <si>
    <t>T006-241014-0040</t>
  </si>
  <si>
    <t xml:space="preserve">OJ233767665GB	</t>
  </si>
  <si>
    <t>2024-10-14 09:21:12</t>
  </si>
  <si>
    <t>2024-10-14 23:13:26</t>
  </si>
  <si>
    <t>ST-PO-210-15535862513190214</t>
  </si>
  <si>
    <t>T006-241014-0041</t>
  </si>
  <si>
    <t xml:space="preserve">OJ233767952GB	</t>
  </si>
  <si>
    <t>2024-10-14 09:21:14</t>
  </si>
  <si>
    <t>2024-10-14 23:13:25</t>
  </si>
  <si>
    <t>ST-PO-210-15231075226153022</t>
  </si>
  <si>
    <t>T006-241014-0042</t>
  </si>
  <si>
    <t xml:space="preserve">OJ233769777GB	</t>
  </si>
  <si>
    <t>2024-10-14 09:21:16</t>
  </si>
  <si>
    <t>2024-10-14 23:13:23</t>
  </si>
  <si>
    <t>ST-PO-210-15674015990311438</t>
  </si>
  <si>
    <t>T006-241014-0043</t>
  </si>
  <si>
    <t xml:space="preserve">OJ233780145GB	</t>
  </si>
  <si>
    <t>2024-10-14 09:23:58</t>
  </si>
  <si>
    <t>2024-10-14 23:13:24</t>
  </si>
  <si>
    <t>ST-PO-210-15381056187433952</t>
  </si>
  <si>
    <t>T006-241014-0044</t>
  </si>
  <si>
    <t xml:space="preserve">OJ233780503GB	</t>
  </si>
  <si>
    <t>2024-10-14 09:23:59</t>
  </si>
  <si>
    <t>ST-PO-210-15430145272873628</t>
  </si>
  <si>
    <t>T006-241014-0046</t>
  </si>
  <si>
    <t xml:space="preserve">OJ233780769GB	</t>
  </si>
  <si>
    <t>2024-10-14 09:24:04</t>
  </si>
  <si>
    <t>2024-10-14 23:13:21</t>
  </si>
  <si>
    <t>ST-PO-210-15222871107112817</t>
  </si>
  <si>
    <t>0.500</t>
  </si>
  <si>
    <t>T006-241014-0047</t>
  </si>
  <si>
    <t xml:space="preserve">OJ233784788GB	</t>
  </si>
  <si>
    <t>2024-10-14 09:28:22</t>
  </si>
  <si>
    <t>2024-10-14 23:13:22</t>
  </si>
  <si>
    <t>ST-PO-210-10232552632871872</t>
  </si>
  <si>
    <t>T006-241014-0048</t>
  </si>
  <si>
    <t xml:space="preserve">OJ233787444GB	</t>
  </si>
  <si>
    <t>2024-10-14 09:28:24</t>
  </si>
  <si>
    <t>ST-PO-210-15682536059431101</t>
  </si>
  <si>
    <t>T006-241014-0049</t>
  </si>
  <si>
    <t xml:space="preserve">OJ233787634GB	</t>
  </si>
  <si>
    <t>2024-10-14 09:28:25</t>
  </si>
  <si>
    <t>ST-PO-210-15751515940392000</t>
  </si>
  <si>
    <t>T006-241014-0050</t>
  </si>
  <si>
    <t xml:space="preserve">OJ233787841GB	</t>
  </si>
  <si>
    <t>2024-10-14 09:28:29</t>
  </si>
  <si>
    <t>2024-10-14 23:13:20</t>
  </si>
  <si>
    <t>ST-PO-210-15615973018150760</t>
  </si>
  <si>
    <t>T006-241014-0051</t>
  </si>
  <si>
    <t xml:space="preserve">OJ233787974GB	</t>
  </si>
  <si>
    <t>2024-10-14 09:28:31</t>
  </si>
  <si>
    <t>ST-PO-210-15317823427113531</t>
  </si>
  <si>
    <t>T006-241014-0052</t>
  </si>
  <si>
    <t xml:space="preserve">OJ233788334GB	</t>
  </si>
  <si>
    <t>2024-10-14 09:28:32</t>
  </si>
  <si>
    <t>2024-10-14 23:13:19</t>
  </si>
  <si>
    <t>ST-PO-210-15511405837350073</t>
  </si>
  <si>
    <t>T006-241014-0053</t>
  </si>
  <si>
    <t xml:space="preserve">OJ233788453GB	</t>
  </si>
  <si>
    <t>2024-10-14 09:28:33</t>
  </si>
  <si>
    <t>ST-PO-210-15323987144233492</t>
  </si>
  <si>
    <t>T006-241014-0054</t>
  </si>
  <si>
    <t xml:space="preserve">OJ233788665GB	</t>
  </si>
  <si>
    <t>2024-10-14 09:28:34</t>
  </si>
  <si>
    <t>2024-10-14 23:13:18</t>
  </si>
  <si>
    <t>ST-PO-210-15590178120230914</t>
  </si>
  <si>
    <t>T006-241014-0055</t>
  </si>
  <si>
    <t xml:space="preserve">OJ233788759GB	</t>
  </si>
  <si>
    <t>2024-10-14 09:28:37</t>
  </si>
  <si>
    <t>ST-PO-210-15748742866471987</t>
  </si>
  <si>
    <t>T006-241014-0056</t>
  </si>
  <si>
    <t xml:space="preserve">OJ233787206GB	</t>
  </si>
  <si>
    <t>2024-10-14 09:28:39</t>
  </si>
  <si>
    <t>ST-PO-210-15228368430633070</t>
  </si>
  <si>
    <t>T006-241014-0057</t>
  </si>
  <si>
    <t xml:space="preserve">OJ233787002GB	</t>
  </si>
  <si>
    <t>2024-10-14 09:28:40</t>
  </si>
  <si>
    <t>2024-10-14 23:13:17</t>
  </si>
  <si>
    <t>ST-PO-210-15499754701350399</t>
  </si>
  <si>
    <t>T006-241014-0058</t>
  </si>
  <si>
    <t xml:space="preserve">OJ233785267GB	</t>
  </si>
  <si>
    <t>2024-10-14 09:28:42</t>
  </si>
  <si>
    <t>2024-10-14 23:13:16</t>
  </si>
  <si>
    <t>ST-PO-210-15126704274472396</t>
  </si>
  <si>
    <t>T006-241014-0059</t>
  </si>
  <si>
    <t xml:space="preserve">OJ233785633GB	</t>
  </si>
  <si>
    <t>2024-10-14 09:28:43</t>
  </si>
  <si>
    <t>2024-10-14 23:13:15</t>
  </si>
  <si>
    <t>ST-PO-210-15196581801512236</t>
  </si>
  <si>
    <t>T006-241014-0061</t>
  </si>
  <si>
    <t xml:space="preserve">OJ233785885GB	</t>
  </si>
  <si>
    <t>2024-10-14 09:28:46</t>
  </si>
  <si>
    <t>2024-10-14 23:13:13</t>
  </si>
  <si>
    <t>ST-PO-210-15444818074153828</t>
  </si>
  <si>
    <t>4.600KG</t>
  </si>
  <si>
    <t>T006-241014-0062</t>
  </si>
  <si>
    <t xml:space="preserve">OJ233786126GB	</t>
  </si>
  <si>
    <t>2024-10-14 09:28:47</t>
  </si>
  <si>
    <t>ST-PO-210-15133827221032354</t>
  </si>
  <si>
    <t>T006-241014-0063</t>
  </si>
  <si>
    <t xml:space="preserve">OJ233786364GB	</t>
  </si>
  <si>
    <t>2024-10-14 09:28:48</t>
  </si>
  <si>
    <t>2024-10-14 23:13:11</t>
  </si>
  <si>
    <t>ST-PO-210-15235862487593026</t>
  </si>
  <si>
    <t>T006-241014-0064</t>
  </si>
  <si>
    <t xml:space="preserve">OJ233786470GB	</t>
  </si>
  <si>
    <t>2024-10-14 09:28:50</t>
  </si>
  <si>
    <t>2024-10-14 23:13:12</t>
  </si>
  <si>
    <t>ST-PO-210-15163211044392149</t>
  </si>
  <si>
    <t>T006-241014-0065</t>
  </si>
  <si>
    <t xml:space="preserve">OJ233786642GB	</t>
  </si>
  <si>
    <t>2024-10-14 09:28:53</t>
  </si>
  <si>
    <t>ST-PO-210-15500527534630392</t>
  </si>
  <si>
    <t>T006-241014-0066</t>
  </si>
  <si>
    <t xml:space="preserve">OJ233786846GB	</t>
  </si>
  <si>
    <t>2024-10-14 09:28:54</t>
  </si>
  <si>
    <t>ST-PO-210-15181147791912072</t>
  </si>
  <si>
    <t>0.900KG</t>
  </si>
  <si>
    <t>T006-241014-0067</t>
  </si>
  <si>
    <t xml:space="preserve">OJ233788820GB	</t>
  </si>
  <si>
    <t>2024-10-14 09:28:55</t>
  </si>
  <si>
    <t>ST-PO-210-15617460024870753</t>
  </si>
  <si>
    <t>T006-241014-0108</t>
  </si>
  <si>
    <t xml:space="preserve">OJ234261093GB	</t>
  </si>
  <si>
    <t>2024-10-14 14:23:43</t>
  </si>
  <si>
    <t>2024-10-14 23:12:56</t>
  </si>
  <si>
    <t>ST-PO-210-09955987722793744</t>
  </si>
  <si>
    <t>T006-241014-0109</t>
  </si>
  <si>
    <t xml:space="preserve">OJ234295295GB	</t>
  </si>
  <si>
    <t>2024-10-14 14:23:44</t>
  </si>
  <si>
    <t>2024-10-14 23:12:55</t>
  </si>
  <si>
    <t>ST-PO-210-15760693903911947</t>
  </si>
  <si>
    <t>T006-241014-0110</t>
  </si>
  <si>
    <t xml:space="preserve">OJ234295450GB	</t>
  </si>
  <si>
    <t>2024-10-14 14:23:45</t>
  </si>
  <si>
    <t>2024-10-14 23:12:54</t>
  </si>
  <si>
    <t>ST-PO-210-15497640310310443</t>
  </si>
  <si>
    <t>T006-241014-0111</t>
  </si>
  <si>
    <t xml:space="preserve">OJ234295640GB	</t>
  </si>
  <si>
    <t>2024-10-14 14:23:46</t>
  </si>
  <si>
    <t>ST-PO-210-15301729674793371</t>
  </si>
  <si>
    <t>T006-241014-0112</t>
  </si>
  <si>
    <t xml:space="preserve">OJ234295769GB	</t>
  </si>
  <si>
    <t>2024-10-14 14:23:47</t>
  </si>
  <si>
    <t>ST-PO-210-15557525504550852</t>
  </si>
  <si>
    <t>T006-241014-0113</t>
  </si>
  <si>
    <t xml:space="preserve">OJ234296000GB	</t>
  </si>
  <si>
    <t>2024-10-14 14:23:49</t>
  </si>
  <si>
    <t>2024-10-14 23:12:53</t>
  </si>
  <si>
    <t>ST-PO-210-15770652319271630</t>
  </si>
  <si>
    <t>T006-241014-0114</t>
  </si>
  <si>
    <t xml:space="preserve">OJ234296132GB	</t>
  </si>
  <si>
    <t>2024-10-14 14:23:50</t>
  </si>
  <si>
    <t>2024-10-14 23:12:52</t>
  </si>
  <si>
    <t>ST-PO-210-15796811433511698</t>
  </si>
  <si>
    <t>T006-241014-0115</t>
  </si>
  <si>
    <t xml:space="preserve">OJ234296177GB	</t>
  </si>
  <si>
    <t>2024-10-14 14:23:51</t>
  </si>
  <si>
    <t>2024-10-14 23:12:51</t>
  </si>
  <si>
    <t>ST-PO-210-15415926508073968</t>
  </si>
  <si>
    <t>T006-241014-0116</t>
  </si>
  <si>
    <t xml:space="preserve">JJD0002247226236613	</t>
  </si>
  <si>
    <t>2024-10-14 14:28:07</t>
  </si>
  <si>
    <t>3042766089204659</t>
  </si>
  <si>
    <t>T006-241014-0117</t>
  </si>
  <si>
    <t xml:space="preserve">OJ234264744GB	</t>
  </si>
  <si>
    <t>2024-10-14 14:28:08</t>
  </si>
  <si>
    <t>3043234471082783</t>
  </si>
  <si>
    <t>T006-241014-0118</t>
  </si>
  <si>
    <t xml:space="preserve">OJ234295110GB	</t>
  </si>
  <si>
    <t>2024-10-14 14:44:27</t>
  </si>
  <si>
    <t>WEC0712410140006</t>
  </si>
  <si>
    <t>T006-241014-0123</t>
  </si>
  <si>
    <t xml:space="preserve">OJ234466905GB	</t>
  </si>
  <si>
    <t>2024-10-14 16:53:44</t>
  </si>
  <si>
    <t>2024-10-14 23:12:44</t>
  </si>
  <si>
    <t>ST-PO-210-09737852324393028</t>
  </si>
  <si>
    <t>T006-241014-0125</t>
  </si>
  <si>
    <t xml:space="preserve">OJ234467092GB	</t>
  </si>
  <si>
    <t>2024-10-14 16:53:48</t>
  </si>
  <si>
    <t>2024-10-14 23:12:45</t>
  </si>
  <si>
    <t>ST-PO-210-09698319631912208</t>
  </si>
  <si>
    <t>T006-241014-0126</t>
  </si>
  <si>
    <t xml:space="preserve">OJ234467013GB	</t>
  </si>
  <si>
    <t>2024-10-14 16:53:49</t>
  </si>
  <si>
    <t>ST-PO-210-10079879450150990</t>
  </si>
  <si>
    <t>T006-241014-0127</t>
  </si>
  <si>
    <t xml:space="preserve">OJ234474782GB	</t>
  </si>
  <si>
    <t>2024-10-14 16:58:16</t>
  </si>
  <si>
    <t>ST-PO-210-09899000141353860</t>
  </si>
  <si>
    <t>T006-241014-0128</t>
  </si>
  <si>
    <t xml:space="preserve">OJ234475425GB	</t>
  </si>
  <si>
    <t>2024-10-14 16:58:17</t>
  </si>
  <si>
    <t>ST-PO-210-10297084964391745</t>
  </si>
  <si>
    <t>T006-241014-0131</t>
  </si>
  <si>
    <t xml:space="preserve">OJ234475346GB	</t>
  </si>
  <si>
    <t>2024-10-14 16:58:22</t>
  </si>
  <si>
    <t>2024-10-14 23:12:43</t>
  </si>
  <si>
    <t>ST-PO-210-10023381146150014</t>
  </si>
  <si>
    <t>T006-241014-0132</t>
  </si>
  <si>
    <t xml:space="preserve">OJ234475139GB	</t>
  </si>
  <si>
    <t>2024-10-14 16:58:23</t>
  </si>
  <si>
    <t>ST-PO-210-09689224499752294</t>
  </si>
  <si>
    <t>T006-241014-0133</t>
  </si>
  <si>
    <t xml:space="preserve">OJ234474969GB	</t>
  </si>
  <si>
    <t>2024-10-14 16:58:24</t>
  </si>
  <si>
    <t>ST-PO-210-09644782633512529</t>
  </si>
  <si>
    <t>T006-241014-0139</t>
  </si>
  <si>
    <t xml:space="preserve">OJ234525762GB	</t>
  </si>
  <si>
    <t>2024-10-14 17:34:49</t>
  </si>
  <si>
    <t>2024-10-14 23:12:40</t>
  </si>
  <si>
    <t>ST-PO-210-09802162540073415</t>
  </si>
  <si>
    <t>T006-241014-0140</t>
  </si>
  <si>
    <t xml:space="preserve">OJ234547839GB	</t>
  </si>
  <si>
    <t>2024-10-14 17:34:52</t>
  </si>
  <si>
    <t>2024-10-14 23:12:39</t>
  </si>
  <si>
    <t>WEC0812410140008</t>
  </si>
  <si>
    <t>T006-241014-0141</t>
  </si>
  <si>
    <t xml:space="preserve">OJ234614175GB	</t>
  </si>
  <si>
    <t>2024-10-14 18:53:58</t>
  </si>
  <si>
    <t>2024-10-14 23:12:20</t>
  </si>
  <si>
    <t>ST-PO-210-10061839076390811</t>
  </si>
  <si>
    <t>T006-241014-0142</t>
  </si>
  <si>
    <t xml:space="preserve">OJ234615542GB	</t>
  </si>
  <si>
    <t>2024-10-14 18:53:59</t>
  </si>
  <si>
    <t>2024-10-14 23:12:19</t>
  </si>
  <si>
    <t>ST-PO-210-09964044518953728</t>
  </si>
  <si>
    <t>T006-241014-0143</t>
  </si>
  <si>
    <t xml:space="preserve">OJ234615255GB	</t>
  </si>
  <si>
    <t>2024-10-14 18:54:00</t>
  </si>
  <si>
    <t>ST-PO-210-10258269404711974</t>
  </si>
  <si>
    <t>T006-241014-0144</t>
  </si>
  <si>
    <t xml:space="preserve">OJ234615030GB	</t>
  </si>
  <si>
    <t>2024-10-14 18:54:01</t>
  </si>
  <si>
    <t>ST-PO-210-15580798536230938</t>
  </si>
  <si>
    <t>4.400KG</t>
  </si>
  <si>
    <t>T006-241014-0145</t>
  </si>
  <si>
    <t xml:space="preserve">OJ234614745GB	</t>
  </si>
  <si>
    <t>2024-10-14 18:54:02</t>
  </si>
  <si>
    <t>ST-PO-210-15630887578150641</t>
  </si>
  <si>
    <t>T006-241014-0146</t>
  </si>
  <si>
    <t xml:space="preserve">OJ234614343GB	</t>
  </si>
  <si>
    <t>2024-10-14 18:54:03</t>
  </si>
  <si>
    <t>2024-10-14 23:12:18</t>
  </si>
  <si>
    <t>ST-PO-210-15491927030310477</t>
  </si>
  <si>
    <t>5.200KG</t>
  </si>
  <si>
    <t>T006-241014-0147</t>
  </si>
  <si>
    <t xml:space="preserve">OJ234615763GB	</t>
  </si>
  <si>
    <t>2024-10-14 18:54:04</t>
  </si>
  <si>
    <t>ST-PO-210-15359489208873315</t>
  </si>
  <si>
    <t>T006-241014-0148</t>
  </si>
  <si>
    <t xml:space="preserve">OJ234615423GB	</t>
  </si>
  <si>
    <t>2024-10-14 18:54:05</t>
  </si>
  <si>
    <t>2024-10-14 23:12:17</t>
  </si>
  <si>
    <t>ST-PO-210-09750469560872667</t>
  </si>
  <si>
    <t>T006-241014-0149</t>
  </si>
  <si>
    <t xml:space="preserve">OJ234615162GB	</t>
  </si>
  <si>
    <t>2024-10-14 18:54:06</t>
  </si>
  <si>
    <t>ST-PO-210-09781751240232769</t>
  </si>
  <si>
    <t>T006-241014-0150</t>
  </si>
  <si>
    <t xml:space="preserve">OJ234614900GB	</t>
  </si>
  <si>
    <t>2024-10-14 18:54:07</t>
  </si>
  <si>
    <t>2024-10-14 23:12:16</t>
  </si>
  <si>
    <t>ST-PO-210-10160485130791535</t>
  </si>
  <si>
    <t>T006-241014-0151</t>
  </si>
  <si>
    <t xml:space="preserve">OJ234614459GB	</t>
  </si>
  <si>
    <t>2024-10-14 18:54:08</t>
  </si>
  <si>
    <t>ST-PO-210-09897430490153871</t>
  </si>
  <si>
    <t>T006-241014-0152</t>
  </si>
  <si>
    <t xml:space="preserve">OJ234615984GB	</t>
  </si>
  <si>
    <t>2024-10-14 18:54:09</t>
  </si>
  <si>
    <t>2024-10-14 23:12:15</t>
  </si>
  <si>
    <t>WEC0952410140009</t>
  </si>
  <si>
    <t>5.850KG</t>
  </si>
  <si>
    <t>RVT006-241014-0001</t>
  </si>
  <si>
    <t>2024-10-14 19:08:38</t>
  </si>
  <si>
    <t>7460.450KG</t>
  </si>
  <si>
    <t>T006-241014-0153</t>
  </si>
  <si>
    <t xml:space="preserve">OJ234839783GB	</t>
  </si>
  <si>
    <t>2024-10-14 22:52:27</t>
  </si>
  <si>
    <t>2024-10-15 23:26:53</t>
  </si>
  <si>
    <t>ST-PO-210-09763339295272620</t>
  </si>
  <si>
    <t>T006-241014-0154</t>
  </si>
  <si>
    <t xml:space="preserve">OJ234841005GB	</t>
  </si>
  <si>
    <t>2024-10-14 22:52:28</t>
  </si>
  <si>
    <t>2024-10-15 23:26:51</t>
  </si>
  <si>
    <t>ST-PO-210-09635077284392363</t>
  </si>
  <si>
    <t>T006-241014-0155</t>
  </si>
  <si>
    <t xml:space="preserve">OJ234840747GB	</t>
  </si>
  <si>
    <t>2024-10-14 22:52:29</t>
  </si>
  <si>
    <t>ST-PO-210-10063927419430831</t>
  </si>
  <si>
    <t>T006-241014-0156</t>
  </si>
  <si>
    <t xml:space="preserve">OJ234840469GB	</t>
  </si>
  <si>
    <t>2024-10-14 22:52:30</t>
  </si>
  <si>
    <t>ST-PO-210-10067558454310777</t>
  </si>
  <si>
    <t>T006-241014-0157</t>
  </si>
  <si>
    <t xml:space="preserve">OJ234840225GB	</t>
  </si>
  <si>
    <t>2024-10-14 22:52:31</t>
  </si>
  <si>
    <t>ST-PO-210-09673031734312137</t>
  </si>
  <si>
    <t>T006-241014-0158</t>
  </si>
  <si>
    <t xml:space="preserve">OJ234839939GB	</t>
  </si>
  <si>
    <t>2024-10-14 22:52:32</t>
  </si>
  <si>
    <t>2024-10-15 23:26:50</t>
  </si>
  <si>
    <t>ST-PO-210-09798640015913402</t>
  </si>
  <si>
    <t>T006-241014-0159</t>
  </si>
  <si>
    <t xml:space="preserve">OJ234841155GB	</t>
  </si>
  <si>
    <t>2024-10-14 22:52:34</t>
  </si>
  <si>
    <t>2024-10-15 23:26:48</t>
  </si>
  <si>
    <t>ST-PO-210-09982635274790259</t>
  </si>
  <si>
    <t>T006-241014-0160</t>
  </si>
  <si>
    <t xml:space="preserve">OJ234840870GB	</t>
  </si>
  <si>
    <t>2024-10-14 22:52:37</t>
  </si>
  <si>
    <t>ST-PO-210-10170590344231443</t>
  </si>
  <si>
    <t>T006-241014-0161</t>
  </si>
  <si>
    <t xml:space="preserve">OJ234840605GB	</t>
  </si>
  <si>
    <t>2024-10-14 22:52:38</t>
  </si>
  <si>
    <t>ST-PO-210-09744063654952993</t>
  </si>
  <si>
    <t>T006-241014-0162</t>
  </si>
  <si>
    <t xml:space="preserve">OJ234840340GB	</t>
  </si>
  <si>
    <t>2024-10-14 22:52:48</t>
  </si>
  <si>
    <t>ST-PO-210-10016482739750088</t>
  </si>
  <si>
    <t>T006-241014-0163</t>
  </si>
  <si>
    <t xml:space="preserve">OJ234840058GB	</t>
  </si>
  <si>
    <t>2024-10-14 22:52:49</t>
  </si>
  <si>
    <t>2024-10-15 23:26:47</t>
  </si>
  <si>
    <t>ST-PO-210-10110554368550521</t>
  </si>
  <si>
    <t>T006-241014-0164</t>
  </si>
  <si>
    <t xml:space="preserve">OJ234846395GB	</t>
  </si>
  <si>
    <t>2024-10-14 23:03:48</t>
  </si>
  <si>
    <t>2024-10-15 23:26:46</t>
  </si>
  <si>
    <t>ST-PO-210-10159625902631506</t>
  </si>
  <si>
    <t>T006-241015-0001</t>
  </si>
  <si>
    <t xml:space="preserve">OJ234929705GB	</t>
  </si>
  <si>
    <t>2024-10-15 00:23:21</t>
  </si>
  <si>
    <t>ST-PO-210-10301055918631721</t>
  </si>
  <si>
    <t>T006-241015-0002</t>
  </si>
  <si>
    <t xml:space="preserve">OJ234930062GB	</t>
  </si>
  <si>
    <t>2024-10-15 00:23:23</t>
  </si>
  <si>
    <t>ST-PO-210-10085382712870959</t>
  </si>
  <si>
    <t>T006-241015-0003</t>
  </si>
  <si>
    <t xml:space="preserve">OJ234929974GB	</t>
  </si>
  <si>
    <t>2024-10-15 00:23:24</t>
  </si>
  <si>
    <t>2024-10-15 23:26:45</t>
  </si>
  <si>
    <t>ST-PO-210-10092181105190916</t>
  </si>
  <si>
    <t>T006-241015-0004</t>
  </si>
  <si>
    <t xml:space="preserve">OJ234929841GB	</t>
  </si>
  <si>
    <t>2024-10-15 00:23:25</t>
  </si>
  <si>
    <t>2024-10-15 23:26:44</t>
  </si>
  <si>
    <t>ST-PO-210-09645048238632558</t>
  </si>
  <si>
    <t>T006-241015-0005</t>
  </si>
  <si>
    <t xml:space="preserve">OJ234929784GB	</t>
  </si>
  <si>
    <t>2024-10-15 00:23:26</t>
  </si>
  <si>
    <t>ST-PO-210-10187799363111114</t>
  </si>
  <si>
    <t>T006-241015-0006</t>
  </si>
  <si>
    <t xml:space="preserve">OJ235322267GB	</t>
  </si>
  <si>
    <t>2024-10-15 08:53:53</t>
  </si>
  <si>
    <t>2024-10-15 23:26:39</t>
  </si>
  <si>
    <t>shein-GSONEC11C000BMT</t>
  </si>
  <si>
    <t>T006-241015-0007</t>
  </si>
  <si>
    <t xml:space="preserve">OJ235322562GB	</t>
  </si>
  <si>
    <t>2024-10-15 08:53:54</t>
  </si>
  <si>
    <t>shein-GSONEC38U00NFQU</t>
  </si>
  <si>
    <t>1.250KG</t>
  </si>
  <si>
    <t>T006-241015-0008</t>
  </si>
  <si>
    <t xml:space="preserve">OJ235322341GB	</t>
  </si>
  <si>
    <t>2024-10-15 08:53:55</t>
  </si>
  <si>
    <t>shein-GSONEC44U00M391</t>
  </si>
  <si>
    <t>T006-241015-0009</t>
  </si>
  <si>
    <t xml:space="preserve">OJ235353074GB	</t>
  </si>
  <si>
    <t>2024-10-15 09:13:37</t>
  </si>
  <si>
    <t>2024-10-15 23:26:38</t>
  </si>
  <si>
    <t>ST-PO-210-10278254633511569</t>
  </si>
  <si>
    <t>T006-241015-0010</t>
  </si>
  <si>
    <t xml:space="preserve">OJ235354551GB	</t>
  </si>
  <si>
    <t>2024-10-15 09:13:38</t>
  </si>
  <si>
    <t>ST-PO-210-10209483287591243</t>
  </si>
  <si>
    <t>T006-241015-0011</t>
  </si>
  <si>
    <t xml:space="preserve">OJ235354083GB	</t>
  </si>
  <si>
    <t>2024-10-15 09:13:50</t>
  </si>
  <si>
    <t>2024-10-15 23:26:36</t>
  </si>
  <si>
    <t>ST-PO-210-10155820585511307</t>
  </si>
  <si>
    <t>T006-241015-0012</t>
  </si>
  <si>
    <t xml:space="preserve">OJ235353729GB	</t>
  </si>
  <si>
    <t>2024-10-15 09:13:57</t>
  </si>
  <si>
    <t>ST-PO-210-09685624425512284</t>
  </si>
  <si>
    <t>T006-241015-0013</t>
  </si>
  <si>
    <t xml:space="preserve">OJ235353468GB	</t>
  </si>
  <si>
    <t>2024-10-15 09:13:58</t>
  </si>
  <si>
    <t>ST-PO-210-09848016704553108</t>
  </si>
  <si>
    <t>T006-241015-0014</t>
  </si>
  <si>
    <t xml:space="preserve">OJ235353247GB	</t>
  </si>
  <si>
    <t>2024-10-15 09:14:00</t>
  </si>
  <si>
    <t>ST-PO-210-10062171356710809</t>
  </si>
  <si>
    <t>T006-241015-0015</t>
  </si>
  <si>
    <t xml:space="preserve">OJ235354755GB	</t>
  </si>
  <si>
    <t>2024-10-15 09:14:08</t>
  </si>
  <si>
    <t>2024-10-15 23:26:35</t>
  </si>
  <si>
    <t>ST-PO-210-10056619884070840</t>
  </si>
  <si>
    <t>T006-241015-0016</t>
  </si>
  <si>
    <t xml:space="preserve">OJ235354313GB	</t>
  </si>
  <si>
    <t>2024-10-15 09:14:17</t>
  </si>
  <si>
    <t>ST-PO-210-09910361109034048</t>
  </si>
  <si>
    <t>T006-241015-0017</t>
  </si>
  <si>
    <t xml:space="preserve">OJ235732457GB	</t>
  </si>
  <si>
    <t>2024-10-15 14:37:51</t>
  </si>
  <si>
    <t>2024-10-15 23:26:16</t>
  </si>
  <si>
    <t>ST-PO-210-21109263834150531</t>
  </si>
  <si>
    <t>T006-241015-0018</t>
  </si>
  <si>
    <t xml:space="preserve">OJ235791441GB	</t>
  </si>
  <si>
    <t>2024-10-15 15:27:52</t>
  </si>
  <si>
    <t>2024-10-15 23:26:12</t>
  </si>
  <si>
    <t>ST-PO-210-21272272100391574</t>
  </si>
  <si>
    <t>T006-241015-0019</t>
  </si>
  <si>
    <t xml:space="preserve">OJ235796228GB	</t>
  </si>
  <si>
    <t>2024-10-15 15:32:35</t>
  </si>
  <si>
    <t>ST-PO-210-20649775770152468</t>
  </si>
  <si>
    <t>T006-241015-0020</t>
  </si>
  <si>
    <t xml:space="preserve">OJ235797356GB	</t>
  </si>
  <si>
    <t>2024-10-15 15:32:36</t>
  </si>
  <si>
    <t>ST-PO-210-10279619576871593</t>
  </si>
  <si>
    <t>T006-241015-0021</t>
  </si>
  <si>
    <t xml:space="preserve">OJ235796846GB	</t>
  </si>
  <si>
    <t>2024-10-15 15:32:37</t>
  </si>
  <si>
    <t>2024-10-15 23:26:09</t>
  </si>
  <si>
    <t>ST-PO-210-09826184648233494</t>
  </si>
  <si>
    <t>T006-241015-0022</t>
  </si>
  <si>
    <t xml:space="preserve">OJ235796608GB	</t>
  </si>
  <si>
    <t>2024-10-15 15:32:38</t>
  </si>
  <si>
    <t>2024-10-15 23:26:10</t>
  </si>
  <si>
    <t>ST-PO-210-09908533893674061</t>
  </si>
  <si>
    <t>T006-241015-0023</t>
  </si>
  <si>
    <t xml:space="preserve">OJ235796497GB	</t>
  </si>
  <si>
    <t>2024-10-15 15:32:40</t>
  </si>
  <si>
    <t>ST-PO-210-10170302956071445</t>
  </si>
  <si>
    <t>T006-241015-0024</t>
  </si>
  <si>
    <t xml:space="preserve">OJ235796355GB	</t>
  </si>
  <si>
    <t>2024-10-15 15:32:41</t>
  </si>
  <si>
    <t>ST-PO-210-10234802517031826</t>
  </si>
  <si>
    <t>T006-241015-0025</t>
  </si>
  <si>
    <t xml:space="preserve">OJ235797577GB	</t>
  </si>
  <si>
    <t>2024-10-15 15:32:42</t>
  </si>
  <si>
    <t>2024-10-15 23:26:08</t>
  </si>
  <si>
    <t>ST-PO-210-09732511939113060</t>
  </si>
  <si>
    <t>T006-241015-0026</t>
  </si>
  <si>
    <t xml:space="preserve">OJ235797118GB	</t>
  </si>
  <si>
    <t>2024-10-15 15:32:43</t>
  </si>
  <si>
    <t>ST-PO-210-09979487611430308</t>
  </si>
  <si>
    <t>T006-241015-0027</t>
  </si>
  <si>
    <t xml:space="preserve">OJ235796758GB	</t>
  </si>
  <si>
    <t>2024-10-15 15:32:44</t>
  </si>
  <si>
    <t>2024-10-15 23:26:06</t>
  </si>
  <si>
    <t>ST-PO-210-09929043052073651</t>
  </si>
  <si>
    <t>T006-241015-0029</t>
  </si>
  <si>
    <t xml:space="preserve">OJ235799391GB	</t>
  </si>
  <si>
    <t>2024-10-15 15:32:46</t>
  </si>
  <si>
    <t>ST-PO-210-09854102244393073</t>
  </si>
  <si>
    <t>T006-241015-0030</t>
  </si>
  <si>
    <t xml:space="preserve">OJ235823759GB	</t>
  </si>
  <si>
    <t>2024-10-15 15:32:47</t>
  </si>
  <si>
    <t>2024-10-15 23:26:07</t>
  </si>
  <si>
    <t>ST-PO-210-10301306801191718</t>
  </si>
  <si>
    <t>T006-241015-0031</t>
  </si>
  <si>
    <t xml:space="preserve">OJ235827680GB	</t>
  </si>
  <si>
    <t>2024-10-15 15:32:48</t>
  </si>
  <si>
    <t>ST-PO-210-09897720671273869</t>
  </si>
  <si>
    <t>T006-241015-0032</t>
  </si>
  <si>
    <t xml:space="preserve">OJ235827146GB	</t>
  </si>
  <si>
    <t>2024-10-15 15:32:49</t>
  </si>
  <si>
    <t>2024-10-15 23:26:05</t>
  </si>
  <si>
    <t>ST-PO-210-09953105142313795</t>
  </si>
  <si>
    <t>T006-241015-0033</t>
  </si>
  <si>
    <t xml:space="preserve">OJ235826208GB	</t>
  </si>
  <si>
    <t>2024-10-15 15:32:50</t>
  </si>
  <si>
    <t>ST-PO-210-10197565251111024</t>
  </si>
  <si>
    <t>T006-241015-0034</t>
  </si>
  <si>
    <t xml:space="preserve">OJ235799825GB	</t>
  </si>
  <si>
    <t>2024-10-15 15:32:51</t>
  </si>
  <si>
    <t>ST-PO-210-09647411456552545</t>
  </si>
  <si>
    <t>T006-241015-0035</t>
  </si>
  <si>
    <t xml:space="preserve">OJ235825352GB	</t>
  </si>
  <si>
    <t>2024-10-15 15:32:52</t>
  </si>
  <si>
    <t>2024-10-15 23:26:04</t>
  </si>
  <si>
    <t>ST-PO-210-09663232576552451</t>
  </si>
  <si>
    <t>T006-241015-0036</t>
  </si>
  <si>
    <t xml:space="preserve">OJ235824105GB	</t>
  </si>
  <si>
    <t>2024-10-15 15:32:55</t>
  </si>
  <si>
    <t>2024-10-15 23:26:03</t>
  </si>
  <si>
    <t>ST-PO-210-10277504814631572</t>
  </si>
  <si>
    <t>T006-241015-0037</t>
  </si>
  <si>
    <t xml:space="preserve">OJ235827821GB	</t>
  </si>
  <si>
    <t>2024-10-15 15:32:56</t>
  </si>
  <si>
    <t>2024-10-15 23:26:02</t>
  </si>
  <si>
    <t>ST-PO-210-09940336860713615</t>
  </si>
  <si>
    <t>T006-241015-0038</t>
  </si>
  <si>
    <t xml:space="preserve">OJ235827296GB	</t>
  </si>
  <si>
    <t>2024-10-15 15:32:57</t>
  </si>
  <si>
    <t>ST-PO-210-09875144492073202</t>
  </si>
  <si>
    <t>T006-241015-0040</t>
  </si>
  <si>
    <t xml:space="preserve">OJ235800280GB	</t>
  </si>
  <si>
    <t>2024-10-15 15:33:00</t>
  </si>
  <si>
    <t>ST-PO-210-09926485903913696</t>
  </si>
  <si>
    <t>T006-241015-0041</t>
  </si>
  <si>
    <t xml:space="preserve">OJ235826358GB	</t>
  </si>
  <si>
    <t>2024-10-15 15:33:01</t>
  </si>
  <si>
    <t>2024-10-15 23:26:00</t>
  </si>
  <si>
    <t>ST-PO-210-10004811400230415</t>
  </si>
  <si>
    <t>T006-241015-0042</t>
  </si>
  <si>
    <t xml:space="preserve">OJ235825644GB	</t>
  </si>
  <si>
    <t>2024-10-15 15:33:02</t>
  </si>
  <si>
    <t>ST-PO-210-09960009334313720</t>
  </si>
  <si>
    <t>T006-241015-0043</t>
  </si>
  <si>
    <t xml:space="preserve">OJ235824652GB	</t>
  </si>
  <si>
    <t>2024-10-15 15:33:05</t>
  </si>
  <si>
    <t>2024-10-15 23:26:01</t>
  </si>
  <si>
    <t>ST-PO-210-09681316867112055</t>
  </si>
  <si>
    <t>T006-241015-0044</t>
  </si>
  <si>
    <t xml:space="preserve">OJ235828036GB	</t>
  </si>
  <si>
    <t>2024-10-15 15:33:06</t>
  </si>
  <si>
    <t>ST-PO-210-09975471565350300</t>
  </si>
  <si>
    <t>T006-241015-0045</t>
  </si>
  <si>
    <t xml:space="preserve">OJ235827486GB	</t>
  </si>
  <si>
    <t>2024-10-15 15:33:07</t>
  </si>
  <si>
    <t>2024-10-15 23:25:58</t>
  </si>
  <si>
    <t>ST-PO-210-09989365873190507</t>
  </si>
  <si>
    <t>T006-241015-0046</t>
  </si>
  <si>
    <t xml:space="preserve">OJ235799649GB	</t>
  </si>
  <si>
    <t>2024-10-15 15:33:08</t>
  </si>
  <si>
    <t>ST-PO-210-10092459052070917</t>
  </si>
  <si>
    <t>T006-241015-0047</t>
  </si>
  <si>
    <t xml:space="preserve">OJ235826755GB	</t>
  </si>
  <si>
    <t>2024-10-15 15:33:09</t>
  </si>
  <si>
    <t>2024-10-15 23:25:59</t>
  </si>
  <si>
    <t>ST-PO-210-09796902881833444</t>
  </si>
  <si>
    <t>T006-241015-0048</t>
  </si>
  <si>
    <t xml:space="preserve">OJ235826018GB	</t>
  </si>
  <si>
    <t>2024-10-15 15:33:10</t>
  </si>
  <si>
    <t>ST-PO-210-10279453299751592</t>
  </si>
  <si>
    <t>T006-241015-0049</t>
  </si>
  <si>
    <t xml:space="preserve">OJ235825026GB	</t>
  </si>
  <si>
    <t>2024-10-15 15:33:13</t>
  </si>
  <si>
    <t>2024-10-15 23:25:57</t>
  </si>
  <si>
    <t>ST-PO-210-09919714514473992</t>
  </si>
  <si>
    <t>T006-241015-0050</t>
  </si>
  <si>
    <t xml:space="preserve">OJ235823921GB	</t>
  </si>
  <si>
    <t>2024-10-15 15:33:15</t>
  </si>
  <si>
    <t>2024-10-15 23:25:56</t>
  </si>
  <si>
    <t>ST-PO-210-10266178918951641</t>
  </si>
  <si>
    <t>T006-241015-0051</t>
  </si>
  <si>
    <t xml:space="preserve">OJ235800038GB	</t>
  </si>
  <si>
    <t>2024-10-15 15:33:16</t>
  </si>
  <si>
    <t>2024-10-15 23:25:55</t>
  </si>
  <si>
    <t>ST-PO-210-09790956375592712</t>
  </si>
  <si>
    <t>T006-241015-0052</t>
  </si>
  <si>
    <t xml:space="preserve">OJ235812314GB	</t>
  </si>
  <si>
    <t>2024-10-15 15:44:27</t>
  </si>
  <si>
    <t>ST-PO-210-10205595863591264</t>
  </si>
  <si>
    <t>T006-241015-0053</t>
  </si>
  <si>
    <t xml:space="preserve">OJ235812535GB	</t>
  </si>
  <si>
    <t>2024-10-15 15:44:28</t>
  </si>
  <si>
    <t>2024-10-15 23:25:54</t>
  </si>
  <si>
    <t>ST-PO-210-09792217132072704</t>
  </si>
  <si>
    <t>T006-241015-0054</t>
  </si>
  <si>
    <t xml:space="preserve">OJ235816877GB	</t>
  </si>
  <si>
    <t>2024-10-15 15:49:28</t>
  </si>
  <si>
    <t>2024-10-15 23:25:53</t>
  </si>
  <si>
    <t>WEC0242410150004</t>
  </si>
  <si>
    <t>T006-241015-0055</t>
  </si>
  <si>
    <t xml:space="preserve">OJ235817020GB	</t>
  </si>
  <si>
    <t>2024-10-15 15:49:33</t>
  </si>
  <si>
    <t>ST-PO-210-20879478582313917</t>
  </si>
  <si>
    <t>T006-241015-0056</t>
  </si>
  <si>
    <t xml:space="preserve">OJ235910118GB	</t>
  </si>
  <si>
    <t>2024-10-15 16:44:06</t>
  </si>
  <si>
    <t>2024-10-15 23:25:50</t>
  </si>
  <si>
    <t>ST-PO-210-20861636142633287</t>
  </si>
  <si>
    <t>T006-241015-0057</t>
  </si>
  <si>
    <t xml:space="preserve">OJ235919355GB	</t>
  </si>
  <si>
    <t>2024-10-15 16:49:20</t>
  </si>
  <si>
    <t>2024-10-15 23:25:49</t>
  </si>
  <si>
    <t>PO-210-09988318945830481</t>
  </si>
  <si>
    <t>T006-241015-0058</t>
  </si>
  <si>
    <t xml:space="preserve">OJ235958209GB	</t>
  </si>
  <si>
    <t>2024-10-15 17:13:52</t>
  </si>
  <si>
    <t>2024-10-15 23:25:37</t>
  </si>
  <si>
    <t>ST-PO-210-20865712236073263</t>
  </si>
  <si>
    <t>T006-241015-0059</t>
  </si>
  <si>
    <t xml:space="preserve">OJ235989149GB	</t>
  </si>
  <si>
    <t>2024-10-15 17:28:08</t>
  </si>
  <si>
    <t>2024-10-15 23:25:35</t>
  </si>
  <si>
    <t>ST-PO-210-20711697956392901</t>
  </si>
  <si>
    <t>T006-241015-0060</t>
  </si>
  <si>
    <t xml:space="preserve">OJ235989387GB	</t>
  </si>
  <si>
    <t>2024-10-15 17:28:10</t>
  </si>
  <si>
    <t>ST-PO-210-21227313326631874</t>
  </si>
  <si>
    <t>T006-241015-0061</t>
  </si>
  <si>
    <t xml:space="preserve">OJ235989237GB	</t>
  </si>
  <si>
    <t>2024-10-15 17:28:13</t>
  </si>
  <si>
    <t>ST-PO-210-21174867610151130</t>
  </si>
  <si>
    <t>5.400KG</t>
  </si>
  <si>
    <t>T006-241015-0062</t>
  </si>
  <si>
    <t xml:space="preserve">OJ236002423GB	</t>
  </si>
  <si>
    <t>2024-10-15 17:44:21</t>
  </si>
  <si>
    <t>2024-10-15 23:25:34</t>
  </si>
  <si>
    <t>ST-PO-210-21255606144551931</t>
  </si>
  <si>
    <t>T006-241015-0063</t>
  </si>
  <si>
    <t xml:space="preserve">OJ236009789GB	</t>
  </si>
  <si>
    <t>2024-10-15 17:44:23</t>
  </si>
  <si>
    <t>ST-PO-210-20965527657510330</t>
  </si>
  <si>
    <t>T006-241015-0064</t>
  </si>
  <si>
    <t xml:space="preserve">OJ236152578GB	</t>
  </si>
  <si>
    <t>2024-10-15 20:20:18</t>
  </si>
  <si>
    <t>2024-10-18 00:28:13</t>
  </si>
  <si>
    <t>ST-PO-210-21192498852391027</t>
  </si>
  <si>
    <t>10.400KG</t>
  </si>
  <si>
    <t>T006-241015-0065</t>
  </si>
  <si>
    <t xml:space="preserve">OJ236157442GB	</t>
  </si>
  <si>
    <t>2024-10-15 20:26:51</t>
  </si>
  <si>
    <t>2024-10-18 00:28:14</t>
  </si>
  <si>
    <t>ST-PO-210-21129547451430667</t>
  </si>
  <si>
    <t>RVT006-241014-0002</t>
  </si>
  <si>
    <t>2024-10-15 20:33:30</t>
  </si>
  <si>
    <t>RVT006-241015-0001</t>
  </si>
  <si>
    <t>2024-10-15 20:59:42</t>
  </si>
  <si>
    <t>5171.445KG</t>
  </si>
  <si>
    <t>T006-241016-0047</t>
  </si>
  <si>
    <t xml:space="preserve">OJ237236138GB	</t>
  </si>
  <si>
    <t>2024-10-16 16:58:16</t>
  </si>
  <si>
    <t>2024-10-18 00:27:35</t>
  </si>
  <si>
    <t>ST-PO-210-01804291041830876</t>
  </si>
  <si>
    <t>T006-241016-0048</t>
  </si>
  <si>
    <t xml:space="preserve">OJ237236314GB	</t>
  </si>
  <si>
    <t>2024-10-16 16:58:18</t>
  </si>
  <si>
    <t>2024-10-18 00:27:34</t>
  </si>
  <si>
    <t>ST-PO-210-01574613770793527</t>
  </si>
  <si>
    <t>T006-241016-0049</t>
  </si>
  <si>
    <t xml:space="preserve">OJ237236186GB	</t>
  </si>
  <si>
    <t>2024-10-16 16:58:19</t>
  </si>
  <si>
    <t>ST-PO-210-21081411389990953</t>
  </si>
  <si>
    <t>T006-241016-0050</t>
  </si>
  <si>
    <t xml:space="preserve">OJ237248895GB	</t>
  </si>
  <si>
    <t>2024-10-16 17:14:12</t>
  </si>
  <si>
    <t>2024-10-18 00:27:32</t>
  </si>
  <si>
    <t>ST-PO-210-01455667674152186</t>
  </si>
  <si>
    <t>T006-241016-0051</t>
  </si>
  <si>
    <t xml:space="preserve">OJ237264947GB	</t>
  </si>
  <si>
    <t>2024-10-16 17:23:39</t>
  </si>
  <si>
    <t>2024-10-18 00:27:31</t>
  </si>
  <si>
    <t>ST-PO-210-20731282455593038</t>
  </si>
  <si>
    <t>T006-241016-0052</t>
  </si>
  <si>
    <t xml:space="preserve">OJ237265386GB	</t>
  </si>
  <si>
    <t>2024-10-16 17:23:41</t>
  </si>
  <si>
    <t>2024-10-18 00:27:30</t>
  </si>
  <si>
    <t>ST-PO-210-20924620703273678</t>
  </si>
  <si>
    <t>T006-241016-0053</t>
  </si>
  <si>
    <t xml:space="preserve">OJ237265236GB	</t>
  </si>
  <si>
    <t>2024-10-16 17:23:42</t>
  </si>
  <si>
    <t>ST-PO-210-21263109038631660</t>
  </si>
  <si>
    <t>T006-241016-0054</t>
  </si>
  <si>
    <t xml:space="preserve">OJ237265032GB	</t>
  </si>
  <si>
    <t>2024-10-16 17:23:43</t>
  </si>
  <si>
    <t>ST-PO-210-21028596616230242</t>
  </si>
  <si>
    <t>T006-241016-0055</t>
  </si>
  <si>
    <t xml:space="preserve">OJ237275499GB	</t>
  </si>
  <si>
    <t>2024-10-16 17:34:15</t>
  </si>
  <si>
    <t>WEC0452410160006</t>
  </si>
  <si>
    <t>0.650KG</t>
  </si>
  <si>
    <t>T006-241016-0056</t>
  </si>
  <si>
    <t xml:space="preserve">OJ237275825GB	</t>
  </si>
  <si>
    <t>2024-10-16 17:37:58</t>
  </si>
  <si>
    <t>2024-10-18 00:27:29</t>
  </si>
  <si>
    <t>shein-GSONEW02100385B</t>
  </si>
  <si>
    <t>T006-241016-0057</t>
  </si>
  <si>
    <t xml:space="preserve">OJ237275644GB	</t>
  </si>
  <si>
    <t>2024-10-16 17:37:59</t>
  </si>
  <si>
    <t>shein-GSONEC20S00M6L4</t>
  </si>
  <si>
    <t>6.000KG</t>
  </si>
  <si>
    <t>T006-241016-0058</t>
  </si>
  <si>
    <t xml:space="preserve">OJ237313095GB	</t>
  </si>
  <si>
    <t>2024-10-16 18:23:56</t>
  </si>
  <si>
    <t>2024-10-19 01:02:24</t>
  </si>
  <si>
    <t>ST-PO-210-01615555405353315</t>
  </si>
  <si>
    <t>T006-241016-0059</t>
  </si>
  <si>
    <t xml:space="preserve">OJ237313912GB	</t>
  </si>
  <si>
    <t>2024-10-16 18:23:58</t>
  </si>
  <si>
    <t>ST-PO-210-02008966085671960</t>
  </si>
  <si>
    <t>T006-241016-0060</t>
  </si>
  <si>
    <t xml:space="preserve">OJ237313753GB	</t>
  </si>
  <si>
    <t>2024-10-16 18:23:59</t>
  </si>
  <si>
    <t>ST-PO-210-01802908759590148</t>
  </si>
  <si>
    <t>T006-241016-0061</t>
  </si>
  <si>
    <t xml:space="preserve">OJ237313435GB	</t>
  </si>
  <si>
    <t>2024-10-16 18:24:00</t>
  </si>
  <si>
    <t>ST-PO-210-01835353088550981</t>
  </si>
  <si>
    <t>T006-241016-0062</t>
  </si>
  <si>
    <t xml:space="preserve">OJ237313325GB	</t>
  </si>
  <si>
    <t>2024-10-16 18:24:01</t>
  </si>
  <si>
    <t>2024-10-19 01:02:25</t>
  </si>
  <si>
    <t>ST-PO-210-01525943834152793</t>
  </si>
  <si>
    <t>T006-241016-0063</t>
  </si>
  <si>
    <t xml:space="preserve">OJ237313152GB	</t>
  </si>
  <si>
    <t>2024-10-16 18:24:02</t>
  </si>
  <si>
    <t>2024-10-20 18:26:12</t>
  </si>
  <si>
    <t>ST-PO-210-01883116442150694</t>
  </si>
  <si>
    <t>T006-241016-0064</t>
  </si>
  <si>
    <t xml:space="preserve">OJ237313965GB	</t>
  </si>
  <si>
    <t>2024-10-16 18:24:03</t>
  </si>
  <si>
    <t>2024-10-19 01:02:23</t>
  </si>
  <si>
    <t>ST-PO-210-01921046989351492</t>
  </si>
  <si>
    <t>T006-241016-0065</t>
  </si>
  <si>
    <t xml:space="preserve">OJ237313824GB	</t>
  </si>
  <si>
    <t>2024-10-16 18:24:04</t>
  </si>
  <si>
    <t>2024-10-20 22:29:23</t>
  </si>
  <si>
    <t>ST-PO-210-01684205128233672</t>
  </si>
  <si>
    <t>T006-241016-0066</t>
  </si>
  <si>
    <t xml:space="preserve">OJ237313532GB	</t>
  </si>
  <si>
    <t>2024-10-16 18:24:06</t>
  </si>
  <si>
    <t>ST-PO-210-20942497805353829</t>
  </si>
  <si>
    <t>仓租规则</t>
  </si>
  <si>
    <t>WTT006-1-20241016</t>
  </si>
  <si>
    <t xml:space="preserve">WTT006-1-20241016	</t>
  </si>
  <si>
    <t>2024-10-16 00:00:00</t>
  </si>
  <si>
    <t>2024-10-17 10:18:45</t>
  </si>
  <si>
    <t>UK</t>
  </si>
  <si>
    <t>T006-241017-0002</t>
  </si>
  <si>
    <t xml:space="preserve">OJ237955783GB	</t>
  </si>
  <si>
    <t>2024-10-17 09:49:38</t>
  </si>
  <si>
    <t>ST-PO-210-01999898107432046</t>
  </si>
  <si>
    <t>T006-241017-0003</t>
  </si>
  <si>
    <t xml:space="preserve">OJ237956086GB	</t>
  </si>
  <si>
    <t>2024-10-17 09:49:39</t>
  </si>
  <si>
    <t>ST-PO-210-01549052442153455</t>
  </si>
  <si>
    <t>T006-241017-0004</t>
  </si>
  <si>
    <t xml:space="preserve">JJD0002247226236990	</t>
  </si>
  <si>
    <t>2024-10-17 09:49:40</t>
  </si>
  <si>
    <t>2024-10-19 01:02:22</t>
  </si>
  <si>
    <t>3043317909569155</t>
  </si>
  <si>
    <t>T006-241017-0007</t>
  </si>
  <si>
    <t xml:space="preserve">OJ237977713GB	</t>
  </si>
  <si>
    <t>2024-10-17 10:08:01</t>
  </si>
  <si>
    <t>2024-10-19 01:02:21</t>
  </si>
  <si>
    <t>ST-PO-210-01800983091750128</t>
  </si>
  <si>
    <t>T006-241017-0008</t>
  </si>
  <si>
    <t xml:space="preserve">OJ237977832GB	</t>
  </si>
  <si>
    <t>2024-10-17 10:08:08</t>
  </si>
  <si>
    <t>2024-10-19 01:02:20</t>
  </si>
  <si>
    <t>ST-PO-210-01414124682792434</t>
  </si>
  <si>
    <t>WTT006-1-20241007</t>
  </si>
  <si>
    <t xml:space="preserve">WTT006-1-20241007	</t>
  </si>
  <si>
    <t>2024-10-07 00:00:00</t>
  </si>
  <si>
    <t>2024-10-17 10:18:23</t>
  </si>
  <si>
    <t>WTT006-1-20241008</t>
  </si>
  <si>
    <t xml:space="preserve">WTT006-1-20241008	</t>
  </si>
  <si>
    <t>2024-10-08 00:00:00</t>
  </si>
  <si>
    <t>WTT006-1-20241009</t>
  </si>
  <si>
    <t xml:space="preserve">WTT006-1-20241009	</t>
  </si>
  <si>
    <t>2024-10-09 00:00:00</t>
  </si>
  <si>
    <t>WTT006-1-20241010</t>
  </si>
  <si>
    <t xml:space="preserve">WTT006-1-20241010	</t>
  </si>
  <si>
    <t>2024-10-10 00:00:00</t>
  </si>
  <si>
    <t>WTT006-1-20241011</t>
  </si>
  <si>
    <t xml:space="preserve">WTT006-1-20241011	</t>
  </si>
  <si>
    <t>2024-10-11 00:00:00</t>
  </si>
  <si>
    <t>2024-10-17 10:18:44</t>
  </si>
  <si>
    <t>WTT006-1-20241012</t>
  </si>
  <si>
    <t xml:space="preserve">WTT006-1-20241012	</t>
  </si>
  <si>
    <t>2024-10-12 00:00:00</t>
  </si>
  <si>
    <t>WTT006-1-20241013</t>
  </si>
  <si>
    <t xml:space="preserve">WTT006-1-20241013	</t>
  </si>
  <si>
    <t>2024-10-13 00:00:00</t>
  </si>
  <si>
    <t>WTT006-1-20241014</t>
  </si>
  <si>
    <t xml:space="preserve">WTT006-1-20241014	</t>
  </si>
  <si>
    <t>2024-10-14 00:00:00</t>
  </si>
  <si>
    <t>WTT006-1-20241015</t>
  </si>
  <si>
    <t xml:space="preserve">WTT006-1-20241015	</t>
  </si>
  <si>
    <t>2024-10-15 00:00:00</t>
  </si>
  <si>
    <t>T006-241017-0010</t>
  </si>
  <si>
    <t xml:space="preserve">OJ237990374GB	</t>
  </si>
  <si>
    <t>2024-10-17 10:19:18</t>
  </si>
  <si>
    <t>ST-PO-210-21133341020711378</t>
  </si>
  <si>
    <t>T006-241017-0012</t>
  </si>
  <si>
    <t xml:space="preserve">OJ237990652GB	</t>
  </si>
  <si>
    <t>2024-10-17 10:19:26</t>
  </si>
  <si>
    <t>ST-PO-210-21165848730151440</t>
  </si>
  <si>
    <t>T006-241017-0013</t>
  </si>
  <si>
    <t xml:space="preserve">OJ238018182GB	</t>
  </si>
  <si>
    <t>2024-10-17 10:23:51</t>
  </si>
  <si>
    <t>ST-PO-210-12459842688552932</t>
  </si>
  <si>
    <t>T006-241017-0014</t>
  </si>
  <si>
    <t xml:space="preserve">OJ238001350GB	</t>
  </si>
  <si>
    <t>2024-10-17 10:23:52</t>
  </si>
  <si>
    <t>ST-PO-210-12480699576873064</t>
  </si>
  <si>
    <t>T006-241017-0015</t>
  </si>
  <si>
    <t xml:space="preserve">OJ238008168GB	</t>
  </si>
  <si>
    <t>2024-10-17 10:23:53</t>
  </si>
  <si>
    <t>2024-10-19 01:02:19</t>
  </si>
  <si>
    <t>ST-PO-210-12796374917670158</t>
  </si>
  <si>
    <t>T006-241017-0016</t>
  </si>
  <si>
    <t xml:space="preserve">OJ238006900GB	</t>
  </si>
  <si>
    <t>2024-10-17 10:23:56</t>
  </si>
  <si>
    <t>ST-PO-210-12731064361510261</t>
  </si>
  <si>
    <t>T006-241017-0017</t>
  </si>
  <si>
    <t xml:space="preserve">OJ238005507GB	</t>
  </si>
  <si>
    <t>2024-10-17 10:23:59</t>
  </si>
  <si>
    <t>2024-10-19 01:02:18</t>
  </si>
  <si>
    <t>ST-PO-210-01767549527590073</t>
  </si>
  <si>
    <t>T006-241017-0018</t>
  </si>
  <si>
    <t xml:space="preserve">OJ238003832GB	</t>
  </si>
  <si>
    <t>2024-10-17 10:24:00</t>
  </si>
  <si>
    <t>ST-PO-210-01676960914473685</t>
  </si>
  <si>
    <t>T006-241017-0020</t>
  </si>
  <si>
    <t xml:space="preserve">OJ238002298GB	</t>
  </si>
  <si>
    <t>2024-10-17 10:24:04</t>
  </si>
  <si>
    <t>ST-PO-210-01999727012392017</t>
  </si>
  <si>
    <t>T006-241017-0022</t>
  </si>
  <si>
    <t xml:space="preserve">OJ238007352GB	</t>
  </si>
  <si>
    <t>2024-10-17 10:24:06</t>
  </si>
  <si>
    <t>ST-PO-210-01538656791592749</t>
  </si>
  <si>
    <t>T006-241017-0024</t>
  </si>
  <si>
    <t xml:space="preserve">OJ238005997GB	</t>
  </si>
  <si>
    <t>2024-10-17 10:24:11</t>
  </si>
  <si>
    <t>ST-PO-210-01385631032872349</t>
  </si>
  <si>
    <t>T006-241017-0025</t>
  </si>
  <si>
    <t xml:space="preserve">OJ238004254GB	</t>
  </si>
  <si>
    <t>2024-10-17 10:24:12</t>
  </si>
  <si>
    <t>2024-10-19 01:02:17</t>
  </si>
  <si>
    <t>ST-PO-210-01400741222952547</t>
  </si>
  <si>
    <t>T006-241017-0026</t>
  </si>
  <si>
    <t xml:space="preserve">OJ238002823GB	</t>
  </si>
  <si>
    <t>2024-10-17 10:24:13</t>
  </si>
  <si>
    <t>ST-PO-210-01927268764711457</t>
  </si>
  <si>
    <t>T006-241017-0027</t>
  </si>
  <si>
    <t xml:space="preserve">OJ238009027GB	</t>
  </si>
  <si>
    <t>2024-10-17 10:24:14</t>
  </si>
  <si>
    <t>ST-PO-210-01754149683750441</t>
  </si>
  <si>
    <t>T006-241017-0028</t>
  </si>
  <si>
    <t xml:space="preserve">OJ238007803GB	</t>
  </si>
  <si>
    <t>2024-10-17 10:24:15</t>
  </si>
  <si>
    <t>2024-10-20 22:32:41</t>
  </si>
  <si>
    <t>ST-PO-210-01741842120230480</t>
  </si>
  <si>
    <t>2.300KG</t>
  </si>
  <si>
    <t>T006-241017-0029</t>
  </si>
  <si>
    <t xml:space="preserve">OJ238006516GB	</t>
  </si>
  <si>
    <t>2024-10-17 10:24:16</t>
  </si>
  <si>
    <t>ST-PO-210-01389853368872354</t>
  </si>
  <si>
    <t>T006-241017-0030</t>
  </si>
  <si>
    <t xml:space="preserve">OJ238004824GB	</t>
  </si>
  <si>
    <t>2024-10-17 10:24:23</t>
  </si>
  <si>
    <t>ST-PO-210-01649278899753848</t>
  </si>
  <si>
    <t>T006-241017-0031</t>
  </si>
  <si>
    <t xml:space="preserve">OJ238003470GB	</t>
  </si>
  <si>
    <t>2024-10-17 10:24:24</t>
  </si>
  <si>
    <t>2024-10-19 01:02:16</t>
  </si>
  <si>
    <t>ST-PO-210-01555138212393419</t>
  </si>
  <si>
    <t>T006-241017-0033</t>
  </si>
  <si>
    <t xml:space="preserve">OJ238018616GB	</t>
  </si>
  <si>
    <t>2024-10-17 10:24:28</t>
  </si>
  <si>
    <t>2024-10-19 01:02:15</t>
  </si>
  <si>
    <t>ST-PO-210-01908775419431311</t>
  </si>
  <si>
    <t>T006-241017-0034</t>
  </si>
  <si>
    <t xml:space="preserve">OJ238018465GB	</t>
  </si>
  <si>
    <t>2024-10-17 10:24:29</t>
  </si>
  <si>
    <t>ST-PO-210-01920556268071497</t>
  </si>
  <si>
    <t>T006-241017-0036</t>
  </si>
  <si>
    <t xml:space="preserve">OJ238008239GB	</t>
  </si>
  <si>
    <t>2024-10-17 10:24:33</t>
  </si>
  <si>
    <t>2024-10-19 01:02:14</t>
  </si>
  <si>
    <t>ST-PO-210-01829779305511012</t>
  </si>
  <si>
    <t>T006-241017-0037</t>
  </si>
  <si>
    <t xml:space="preserve">OJ238006927GB	</t>
  </si>
  <si>
    <t>2024-10-17 10:24:34</t>
  </si>
  <si>
    <t>ST-PO-210-01705814508073801</t>
  </si>
  <si>
    <t>T006-241017-0038</t>
  </si>
  <si>
    <t xml:space="preserve">OJ238005657GB	</t>
  </si>
  <si>
    <t>2024-10-17 10:24:35</t>
  </si>
  <si>
    <t>ST-PO-210-01472062950952856</t>
  </si>
  <si>
    <t>T006-241017-0039</t>
  </si>
  <si>
    <t xml:space="preserve">OJ238003885GB	</t>
  </si>
  <si>
    <t>2024-10-17 10:24:40</t>
  </si>
  <si>
    <t>ST-PO-210-01685612966953665</t>
  </si>
  <si>
    <t>T006-241017-0040</t>
  </si>
  <si>
    <t xml:space="preserve">OJ238002426GB	</t>
  </si>
  <si>
    <t>2024-10-17 10:24:42</t>
  </si>
  <si>
    <t>2024-10-19 01:02:13</t>
  </si>
  <si>
    <t>ST-PO-210-01969512003111205</t>
  </si>
  <si>
    <t>T006-241017-0042</t>
  </si>
  <si>
    <t xml:space="preserve">OJ238007370GB	</t>
  </si>
  <si>
    <t>2024-10-17 10:24:44</t>
  </si>
  <si>
    <t>2024-10-20 18:26:11</t>
  </si>
  <si>
    <t>ST-PO-210-01420871470632171</t>
  </si>
  <si>
    <t>T006-241017-0043</t>
  </si>
  <si>
    <t xml:space="preserve">OJ238006238GB	</t>
  </si>
  <si>
    <t>2024-10-17 10:24:46</t>
  </si>
  <si>
    <t>ST-PO-210-01976367363111898</t>
  </si>
  <si>
    <t>T006-241017-0044</t>
  </si>
  <si>
    <t xml:space="preserve">OJ238004299GB	</t>
  </si>
  <si>
    <t>2024-10-19 01:02:12</t>
  </si>
  <si>
    <t>ST-PO-210-01411371459112482</t>
  </si>
  <si>
    <t>T006-241017-0045</t>
  </si>
  <si>
    <t xml:space="preserve">OJ238002960GB	</t>
  </si>
  <si>
    <t>2024-10-17 10:24:47</t>
  </si>
  <si>
    <t>ST-PO-210-01391616435752312</t>
  </si>
  <si>
    <t>T006-241017-0046</t>
  </si>
  <si>
    <t xml:space="preserve">OJ238009058GB	</t>
  </si>
  <si>
    <t>2024-10-17 10:24:48</t>
  </si>
  <si>
    <t>ST-PO-210-01557131674153375</t>
  </si>
  <si>
    <t>T006-241017-0047</t>
  </si>
  <si>
    <t xml:space="preserve">OJ238007785GB	</t>
  </si>
  <si>
    <t>2024-10-17 10:24:50</t>
  </si>
  <si>
    <t>2024-10-19 01:02:11</t>
  </si>
  <si>
    <t>ST-PO-210-21067048970791007</t>
  </si>
  <si>
    <t>T006-241017-0048</t>
  </si>
  <si>
    <t xml:space="preserve">OJ238006683GB	</t>
  </si>
  <si>
    <t>2024-10-17 10:24:51</t>
  </si>
  <si>
    <t>2024-10-20 22:29:22</t>
  </si>
  <si>
    <t>ST-PO-210-21162973292071491</t>
  </si>
  <si>
    <t>T006-241017-0049</t>
  </si>
  <si>
    <t xml:space="preserve">OJ238004909GB	</t>
  </si>
  <si>
    <t>2024-10-17 10:28:00</t>
  </si>
  <si>
    <t>WEC0682410160001</t>
  </si>
  <si>
    <t>T006-241017-0050</t>
  </si>
  <si>
    <t xml:space="preserve">OJ238003673GB	</t>
  </si>
  <si>
    <t>2024-10-17 10:28:02</t>
  </si>
  <si>
    <t>ST-PO-210-20728191521833059</t>
  </si>
  <si>
    <t>T006-241017-0051</t>
  </si>
  <si>
    <t xml:space="preserve">OJ238001902GB	</t>
  </si>
  <si>
    <t>2024-10-17 10:28:03</t>
  </si>
  <si>
    <t>2024-10-20 18:26:10</t>
  </si>
  <si>
    <t>ST-PO-210-21101635689510545</t>
  </si>
  <si>
    <t>T006-241017-0052</t>
  </si>
  <si>
    <t xml:space="preserve">OJ238008429GB	</t>
  </si>
  <si>
    <t>2024-10-17 10:28:05</t>
  </si>
  <si>
    <t>2024-10-19 01:02:10</t>
  </si>
  <si>
    <t>ST-PO-210-20823910605353510</t>
  </si>
  <si>
    <t>T006-241017-0053</t>
  </si>
  <si>
    <t xml:space="preserve">OJ238007162GB	</t>
  </si>
  <si>
    <t>2024-10-17 10:28:06</t>
  </si>
  <si>
    <t>ST-PO-210-21040711260710138</t>
  </si>
  <si>
    <t>T006-241017-0054</t>
  </si>
  <si>
    <t xml:space="preserve">OJ238005762GB	</t>
  </si>
  <si>
    <t>2024-10-17 10:28:08</t>
  </si>
  <si>
    <t>2024-10-19 01:02:09</t>
  </si>
  <si>
    <t>ST-PO-210-20834518400553193</t>
  </si>
  <si>
    <t>T006-241017-0055</t>
  </si>
  <si>
    <t xml:space="preserve">OJ238004002GB	</t>
  </si>
  <si>
    <t>2024-10-17 10:28:09</t>
  </si>
  <si>
    <t>ST-PO-210-21187067036711058</t>
  </si>
  <si>
    <t>T006-241017-0056</t>
  </si>
  <si>
    <t xml:space="preserve">OJ238002528GB	</t>
  </si>
  <si>
    <t>2024-10-17 10:28:10</t>
  </si>
  <si>
    <t>ST-PO-210-20644883256872499</t>
  </si>
  <si>
    <t>T006-241017-0058</t>
  </si>
  <si>
    <t xml:space="preserve">OJ238007508GB	</t>
  </si>
  <si>
    <t>2024-10-17 10:28:13</t>
  </si>
  <si>
    <t>ST-PO-210-21112343997990737</t>
  </si>
  <si>
    <t>T006-241017-0061</t>
  </si>
  <si>
    <t xml:space="preserve">OJ238003112GB	</t>
  </si>
  <si>
    <t>2024-10-17 10:28:18</t>
  </si>
  <si>
    <t>2024-10-19 01:02:08</t>
  </si>
  <si>
    <t>ST-PO-210-20645045750312496</t>
  </si>
  <si>
    <t>T006-241017-0063</t>
  </si>
  <si>
    <t xml:space="preserve">OJ238008049GB	</t>
  </si>
  <si>
    <t>2024-10-17 10:28:25</t>
  </si>
  <si>
    <t>2024-10-19 02:51:29</t>
  </si>
  <si>
    <t>ST-PO-210-21220217267751916</t>
  </si>
  <si>
    <t>T006-241017-0064</t>
  </si>
  <si>
    <t xml:space="preserve">OJ238006706GB	</t>
  </si>
  <si>
    <t>2024-10-17 10:28:26</t>
  </si>
  <si>
    <t>ST-PO-210-20991384668710464</t>
  </si>
  <si>
    <t>T006-241017-0067</t>
  </si>
  <si>
    <t xml:space="preserve">OJ238002151GB	</t>
  </si>
  <si>
    <t>2024-10-17 10:28:29</t>
  </si>
  <si>
    <t>ST-PO-210-21208317589031189</t>
  </si>
  <si>
    <t>T006-241017-0068</t>
  </si>
  <si>
    <t xml:space="preserve">OJ238008534GB	</t>
  </si>
  <si>
    <t>2024-10-17 10:28:30</t>
  </si>
  <si>
    <t>ST-PO-210-21279559229991562</t>
  </si>
  <si>
    <t>T006-241017-0069</t>
  </si>
  <si>
    <t xml:space="preserve">OJ238007176GB	</t>
  </si>
  <si>
    <t>2024-10-17 10:28:31</t>
  </si>
  <si>
    <t>2024-10-19 01:02:07</t>
  </si>
  <si>
    <t>ST-PO-210-21271864315431576</t>
  </si>
  <si>
    <t>T006-241017-0071</t>
  </si>
  <si>
    <t xml:space="preserve">OJ238004095GB	</t>
  </si>
  <si>
    <t>2024-10-17 10:28:34</t>
  </si>
  <si>
    <t>2024-10-19 01:02:06</t>
  </si>
  <si>
    <t>ST-PO-210-21183242998311115</t>
  </si>
  <si>
    <t>T006-241017-0072</t>
  </si>
  <si>
    <t xml:space="preserve">OJ238002695GB	</t>
  </si>
  <si>
    <t>2024-10-17 10:28:35</t>
  </si>
  <si>
    <t>ST-PO-210-20940829985833839</t>
  </si>
  <si>
    <t>T006-241017-0073</t>
  </si>
  <si>
    <t xml:space="preserve">OJ238008874GB	</t>
  </si>
  <si>
    <t>2024-10-17 10:28:36</t>
  </si>
  <si>
    <t>ST-PO-210-21206573356071199</t>
  </si>
  <si>
    <t>T006-241017-0076</t>
  </si>
  <si>
    <t xml:space="preserve">OJ238004515GB	</t>
  </si>
  <si>
    <t>2024-10-17 10:28:39</t>
  </si>
  <si>
    <t>2024-10-19 01:02:05</t>
  </si>
  <si>
    <t>ST-PO-210-20852675228713309</t>
  </si>
  <si>
    <t>T006-241017-0077</t>
  </si>
  <si>
    <t xml:space="preserve">OJ238003280GB	</t>
  </si>
  <si>
    <t>2024-10-17 10:28:40</t>
  </si>
  <si>
    <t>2024-10-20 18:37:07</t>
  </si>
  <si>
    <t>ST-PO-210-04662436804391504</t>
  </si>
  <si>
    <t>0.150KG</t>
  </si>
  <si>
    <t>T006-241017-0078</t>
  </si>
  <si>
    <t xml:space="preserve">OJ238009132GB	</t>
  </si>
  <si>
    <t>2024-10-17 10:28:44</t>
  </si>
  <si>
    <t>2024-10-20 18:26:09</t>
  </si>
  <si>
    <t>ST-PO-210-21266656502311609</t>
  </si>
  <si>
    <t>T006-241017-0079</t>
  </si>
  <si>
    <t xml:space="preserve">OJ238008083GB	</t>
  </si>
  <si>
    <t>2024-10-17 10:28:45</t>
  </si>
  <si>
    <t>2024-10-19 01:02:04</t>
  </si>
  <si>
    <t>ST-PO-210-20785970691112712</t>
  </si>
  <si>
    <t>T006-241017-0080</t>
  </si>
  <si>
    <t xml:space="preserve">JJD0002247226236991	</t>
  </si>
  <si>
    <t>2024-10-17 10:28:46</t>
  </si>
  <si>
    <t>3043111547984904</t>
  </si>
  <si>
    <t>T006-241017-0081</t>
  </si>
  <si>
    <t xml:space="preserve">OJ238005334GB	</t>
  </si>
  <si>
    <t>2024-10-17 10:28:49</t>
  </si>
  <si>
    <t>ST-PO-210-20688734531112268</t>
  </si>
  <si>
    <t>T006-241017-0082</t>
  </si>
  <si>
    <t xml:space="preserve">OJ238015787GB	</t>
  </si>
  <si>
    <t>2024-10-17 10:33:08</t>
  </si>
  <si>
    <t>ST-PO-210-20983098081830483</t>
  </si>
  <si>
    <t>T006-241017-0083</t>
  </si>
  <si>
    <t xml:space="preserve">OJ238017111GB	</t>
  </si>
  <si>
    <t>2024-10-17 10:33:10</t>
  </si>
  <si>
    <t>2024-10-19 01:02:03</t>
  </si>
  <si>
    <t>WEC0432410160003</t>
  </si>
  <si>
    <t>T006-241017-0084</t>
  </si>
  <si>
    <t xml:space="preserve">OJ238016924GB	</t>
  </si>
  <si>
    <t>2024-10-17 10:33:11</t>
  </si>
  <si>
    <t>2024-10-19 01:02:02</t>
  </si>
  <si>
    <t>WEC0712410160004</t>
  </si>
  <si>
    <t>T006-241017-0091</t>
  </si>
  <si>
    <t xml:space="preserve">OJ238059417GB	</t>
  </si>
  <si>
    <t>2024-10-17 11:14:21</t>
  </si>
  <si>
    <t>ST-PO-210-12932400251431141</t>
  </si>
  <si>
    <t>T006-241017-0094</t>
  </si>
  <si>
    <t xml:space="preserve">OJ238270127GB	</t>
  </si>
  <si>
    <t>2024-10-17 14:37:31</t>
  </si>
  <si>
    <t>2024-10-19 01:02:01</t>
  </si>
  <si>
    <t>ST-PO-210-12633762335273913</t>
  </si>
  <si>
    <t>店铺</t>
  </si>
  <si>
    <t>站点</t>
  </si>
  <si>
    <t>运营</t>
  </si>
  <si>
    <t>日期</t>
  </si>
  <si>
    <t>Asin</t>
  </si>
  <si>
    <t>Sku</t>
  </si>
  <si>
    <t>类别</t>
  </si>
  <si>
    <t>FNSKU</t>
  </si>
  <si>
    <t>品名</t>
  </si>
  <si>
    <t>海外仓库存</t>
  </si>
  <si>
    <t>箱数</t>
  </si>
  <si>
    <t>每箱数量</t>
  </si>
  <si>
    <t>总数</t>
  </si>
  <si>
    <t>追踪号</t>
  </si>
  <si>
    <t>箱唛</t>
  </si>
  <si>
    <t>英国</t>
  </si>
  <si>
    <t>徐子祥</t>
  </si>
  <si>
    <t>B01C7JM7CU</t>
  </si>
  <si>
    <t>SP-BIKECOVERXXL-04</t>
  </si>
  <si>
    <t>运动</t>
  </si>
  <si>
    <t>X0024JELEJ</t>
  </si>
  <si>
    <t>自行车罩</t>
  </si>
  <si>
    <t>47CBQCNL</t>
  </si>
  <si>
    <t>FBA15JJZRQYZ</t>
  </si>
  <si>
    <t>TLB</t>
  </si>
  <si>
    <t>1-5箱</t>
  </si>
  <si>
    <t>重型包裹</t>
  </si>
  <si>
    <t>B01N15DI2V</t>
  </si>
  <si>
    <t>SP-HANDLEBAR-05</t>
  </si>
  <si>
    <t>X0024J5S7X</t>
  </si>
  <si>
    <t>自行车手机支架</t>
  </si>
  <si>
    <t>6箱</t>
  </si>
  <si>
    <t>B07D9V4TWJ</t>
  </si>
  <si>
    <t>SP-BANDSSET-BE4</t>
  </si>
  <si>
    <t>X0024M89U3</t>
  </si>
  <si>
    <t>遮挡带</t>
  </si>
  <si>
    <t>7箱</t>
  </si>
  <si>
    <t>B01C2BAE82</t>
  </si>
  <si>
    <t>SP-BANDSSET-BE2</t>
  </si>
  <si>
    <t>X0024M8AF7</t>
  </si>
  <si>
    <t>8箱</t>
  </si>
  <si>
    <t>B07613TPVL</t>
  </si>
  <si>
    <t>SP-BANDSSET-RE2</t>
  </si>
  <si>
    <t>X0024M8AEN</t>
  </si>
  <si>
    <t>9箱</t>
  </si>
  <si>
    <t>B07QZMM1TC</t>
  </si>
  <si>
    <t>SP-FANNY-GY</t>
  </si>
  <si>
    <t>X0024MSD9Z</t>
  </si>
  <si>
    <t>腰包</t>
  </si>
  <si>
    <t>10箱</t>
  </si>
  <si>
    <t>B07QJ5JLJ9</t>
  </si>
  <si>
    <t>SP-FANNY-PE</t>
  </si>
  <si>
    <t>X0024N282R</t>
  </si>
  <si>
    <t>11箱</t>
  </si>
  <si>
    <t>B00S2AAWD0</t>
  </si>
  <si>
    <t>SP-RINGS-16</t>
  </si>
  <si>
    <t>X0024NCL8X</t>
  </si>
  <si>
    <t>体操吊环</t>
  </si>
  <si>
    <t>12-14箱</t>
  </si>
  <si>
    <t>B07BJGK81P</t>
  </si>
  <si>
    <t>SP-CIRCLES-PK</t>
  </si>
  <si>
    <t>X0024R0W1R</t>
  </si>
  <si>
    <t>普拉提环</t>
  </si>
  <si>
    <t>15-18箱</t>
  </si>
  <si>
    <t>B0749FK1FS</t>
  </si>
  <si>
    <t>SP-RESISTANCEBANDS</t>
  </si>
  <si>
    <t>X0024XLATT</t>
  </si>
  <si>
    <t>拉力带套装</t>
  </si>
  <si>
    <t>19-20箱</t>
  </si>
  <si>
    <t>B072MJSB38</t>
  </si>
  <si>
    <t>SP-BALL65CM-RD</t>
  </si>
  <si>
    <t>X0024XG8JL</t>
  </si>
  <si>
    <t>健身球</t>
  </si>
  <si>
    <t>24-26箱</t>
  </si>
  <si>
    <t>B010MVAMH2</t>
  </si>
  <si>
    <t>SP-BALL65CM-BK</t>
  </si>
  <si>
    <t>X0024XLMBZ</t>
  </si>
  <si>
    <t>21-23箱</t>
  </si>
  <si>
    <t>产品名</t>
  </si>
  <si>
    <t>08sku</t>
  </si>
  <si>
    <t>箱内数量</t>
  </si>
  <si>
    <t>地址</t>
  </si>
  <si>
    <t>B01KBA8EAQ</t>
  </si>
  <si>
    <t>胡须围兜</t>
  </si>
  <si>
    <t>08uk-Beard Bib-Blk</t>
  </si>
  <si>
    <t>X00255QKIR</t>
  </si>
  <si>
    <t>37ONLV3Z</t>
  </si>
  <si>
    <t>FBA15JKD399Z</t>
  </si>
  <si>
    <t>LBA4</t>
  </si>
  <si>
    <t>箱1到箱1</t>
  </si>
  <si>
    <t>B072BM4GGT</t>
  </si>
  <si>
    <t>彩色铅笔</t>
  </si>
  <si>
    <t>08uk-ColorPencil-72pk</t>
  </si>
  <si>
    <t>X0024YME2P</t>
  </si>
  <si>
    <t>箱2到箱5</t>
  </si>
  <si>
    <t>B00Y7QWHUO</t>
  </si>
  <si>
    <t>钩针套装</t>
  </si>
  <si>
    <t>08uk-CroHok-22pc</t>
  </si>
  <si>
    <t>X00255T9ZD</t>
  </si>
  <si>
    <t>箱6到箱7</t>
  </si>
  <si>
    <t>B01KEU5GOA</t>
  </si>
  <si>
    <t>每日计划</t>
  </si>
  <si>
    <t>08uk-Daily Planner-Blue</t>
  </si>
  <si>
    <t>X0024YKKZN</t>
  </si>
  <si>
    <t>箱8到箱9</t>
  </si>
  <si>
    <t>B083JNB3PC</t>
  </si>
  <si>
    <t>感谢卡</t>
  </si>
  <si>
    <t>08uk-Elphtblu card-50pk</t>
  </si>
  <si>
    <t>X0024YNXYD</t>
  </si>
  <si>
    <t>箱10到箱11</t>
  </si>
  <si>
    <t>B07BRQRTDL</t>
  </si>
  <si>
    <t>黄麻线</t>
  </si>
  <si>
    <t>08uk-JutRop-656ft2pk</t>
  </si>
  <si>
    <t>X00255PTMP</t>
  </si>
  <si>
    <t>箱12到箱13</t>
  </si>
  <si>
    <t>B07KGP9G6N</t>
  </si>
  <si>
    <t>指甲钳</t>
  </si>
  <si>
    <t>08uk-Nail Clipper -120L</t>
  </si>
  <si>
    <t>X00254Y2WT</t>
  </si>
  <si>
    <t>箱14到箱15</t>
  </si>
  <si>
    <t>B07DK61BNJ</t>
  </si>
  <si>
    <t>笔记本</t>
  </si>
  <si>
    <t>08uk-Notebook-Grey2pk</t>
  </si>
  <si>
    <t>X0024YMHAJ</t>
  </si>
  <si>
    <t>箱16到箱16</t>
  </si>
  <si>
    <t>B07QRVJQSR</t>
  </si>
  <si>
    <t xml:space="preserve">08uk-Watercolour card- 48pk </t>
  </si>
  <si>
    <t>X0024YPIQT</t>
  </si>
  <si>
    <t>箱17到箱19</t>
  </si>
  <si>
    <t>B07N2VZGYH</t>
  </si>
  <si>
    <t>衣架和分隔器套装</t>
  </si>
  <si>
    <t>08uk-BHanger20-Divder7-Bho</t>
  </si>
  <si>
    <t>X002530XHD</t>
  </si>
  <si>
    <t>3SRLSI8B</t>
  </si>
  <si>
    <t>FBA15JKD5B79</t>
  </si>
  <si>
    <t>箱1到箱8</t>
  </si>
  <si>
    <t>B07W7Q6Q2D</t>
  </si>
  <si>
    <t>08uk-BHanger20-Divder7-Cld</t>
  </si>
  <si>
    <t>X00252XHCH</t>
  </si>
  <si>
    <t>箱9到箱11</t>
  </si>
  <si>
    <t>B07W7PMG68</t>
  </si>
  <si>
    <t>08uk-BHanger20-Divder7-Mlti</t>
  </si>
  <si>
    <t>X002533H7V</t>
  </si>
  <si>
    <t>箱12到箱12</t>
  </si>
  <si>
    <t>B072BXGVWN</t>
  </si>
  <si>
    <t>天鹅绒衣架</t>
  </si>
  <si>
    <t>08uk-CpVHanger-Blk20pk</t>
  </si>
  <si>
    <t>X00255YA1B</t>
  </si>
  <si>
    <t>箱13到箱17</t>
  </si>
  <si>
    <t>B06Y2KFWWR</t>
  </si>
  <si>
    <t>儿童天鹅绒衣架</t>
  </si>
  <si>
    <t>08uk-KHanger-Blk50pk</t>
  </si>
  <si>
    <t>X00255SOSV</t>
  </si>
  <si>
    <t>箱18到箱23</t>
  </si>
  <si>
    <t>B01IRHUV6A</t>
  </si>
  <si>
    <t>08uk-VHanger-Blk50pk</t>
  </si>
  <si>
    <t>X00255YDIV</t>
  </si>
  <si>
    <t>箱24到箱25</t>
  </si>
  <si>
    <t>B01N8TPQC0</t>
  </si>
  <si>
    <t>08uk-VHanger-Pink50pk</t>
  </si>
  <si>
    <t>X00255UIFN</t>
  </si>
  <si>
    <t>箱26到箱28</t>
  </si>
  <si>
    <t>B01091ZF4K</t>
  </si>
  <si>
    <t>足底筋膜炎袜</t>
  </si>
  <si>
    <t>08uk-Compre Sock -Bla/L</t>
  </si>
  <si>
    <t>B0DJ299LC8</t>
  </si>
  <si>
    <t>1LJ1BBVA</t>
  </si>
  <si>
    <t>FBA15JKD7DSL</t>
  </si>
  <si>
    <t>B08CNN2KQT</t>
  </si>
  <si>
    <t>圣诞树收纳袋</t>
  </si>
  <si>
    <t>08uk-DflChrsTreBg-9Blk</t>
  </si>
  <si>
    <t>X00254SKVD</t>
  </si>
  <si>
    <t>箱2到箱6</t>
  </si>
  <si>
    <t>B01KKLVWDM</t>
  </si>
  <si>
    <t>08uk-DflChrsTreBg-9Red</t>
  </si>
  <si>
    <t>X00255320B</t>
  </si>
  <si>
    <t>箱7到箱11</t>
  </si>
  <si>
    <t>B01KKNFTPC</t>
  </si>
  <si>
    <t>08uk-RctChrsTreBg-9Red</t>
  </si>
  <si>
    <t>X00254X5Y5</t>
  </si>
  <si>
    <t>箱12到箱14</t>
  </si>
  <si>
    <t>B08S4CCJ31</t>
  </si>
  <si>
    <t>木树衣帽架</t>
  </si>
  <si>
    <t>08uk-WdCoatRacks-Blk</t>
  </si>
  <si>
    <t>X00253DZ5F</t>
  </si>
  <si>
    <t>箱15到箱17</t>
  </si>
  <si>
    <t>B075RFC6YT</t>
  </si>
  <si>
    <t>08uk-WdCoatRacks-Chy</t>
  </si>
  <si>
    <t>X00253CBKP</t>
  </si>
  <si>
    <t>箱18到箱20</t>
  </si>
  <si>
    <t>B01N199WJ1</t>
  </si>
  <si>
    <t>08uk-WdCoatRacks-Ntl</t>
  </si>
  <si>
    <t>X00253B5M5</t>
  </si>
  <si>
    <t>箱21到箱23</t>
  </si>
  <si>
    <t>B08S5F7MM5</t>
  </si>
  <si>
    <t>08uk-WdCoatRacks-Wht</t>
  </si>
  <si>
    <t>X00253B86X</t>
  </si>
  <si>
    <t>箱24到箱26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</si>
</sst>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£&quot;#,##0.00"/>
    <numFmt numFmtId="177" formatCode="_-&quot;£&quot;* #,##0.00_-;\-&quot;£&quot;* #,##0.00_-;_-&quot;£&quot;* &quot;-&quot;??_-;_-@_-"/>
  </numFmts>
  <fonts count="43">
    <font>
      <sz val="10"/>
      <name val="Arial"/>
      <charset val="1"/>
    </font>
    <font>
      <b/>
      <sz val="8"/>
      <name val="微软雅黑"/>
      <charset val="134"/>
    </font>
    <font>
      <sz val="8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rgb="FFFF0000"/>
      <name val="Arial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i/>
      <sz val="11"/>
      <color theme="1"/>
      <name val="Arial"/>
      <charset val="134"/>
    </font>
    <font>
      <sz val="9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11" borderId="1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20" applyNumberFormat="0" applyAlignment="0" applyProtection="0">
      <alignment vertical="center"/>
    </xf>
    <xf numFmtId="0" fontId="31" fillId="13" borderId="21" applyNumberFormat="0" applyAlignment="0" applyProtection="0">
      <alignment vertical="center"/>
    </xf>
    <xf numFmtId="0" fontId="32" fillId="13" borderId="20" applyNumberFormat="0" applyAlignment="0" applyProtection="0">
      <alignment vertical="center"/>
    </xf>
    <xf numFmtId="0" fontId="33" fillId="14" borderId="22" applyNumberFormat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NumberFormat="1" applyFont="1" applyFill="1" applyAlignment="1"/>
    <xf numFmtId="0" fontId="8" fillId="0" borderId="0" xfId="0" applyNumberFormat="1" applyFont="1" applyFill="1" applyAlignment="1">
      <alignment horizontal="center"/>
    </xf>
    <xf numFmtId="0" fontId="9" fillId="6" borderId="1" xfId="0" applyNumberFormat="1" applyFont="1" applyFill="1" applyBorder="1" applyAlignment="1">
      <alignment horizontal="center"/>
    </xf>
    <xf numFmtId="0" fontId="8" fillId="0" borderId="1" xfId="0" applyNumberFormat="1" applyFont="1" applyFill="1" applyBorder="1" applyAlignment="1"/>
    <xf numFmtId="0" fontId="8" fillId="0" borderId="1" xfId="0" applyNumberFormat="1" applyFont="1" applyFill="1" applyBorder="1" applyAlignment="1">
      <alignment horizontal="center"/>
    </xf>
    <xf numFmtId="0" fontId="8" fillId="7" borderId="1" xfId="0" applyNumberFormat="1" applyFont="1" applyFill="1" applyBorder="1" applyAlignment="1"/>
    <xf numFmtId="0" fontId="8" fillId="8" borderId="1" xfId="0" applyNumberFormat="1" applyFont="1" applyFill="1" applyBorder="1" applyAlignment="1">
      <alignment horizontal="center"/>
    </xf>
    <xf numFmtId="0" fontId="8" fillId="7" borderId="1" xfId="0" applyNumberFormat="1" applyFont="1" applyFill="1" applyBorder="1" applyAlignment="1">
      <alignment horizontal="center"/>
    </xf>
    <xf numFmtId="0" fontId="8" fillId="0" borderId="3" xfId="0" applyNumberFormat="1" applyFont="1" applyFill="1" applyBorder="1" applyAlignment="1"/>
    <xf numFmtId="0" fontId="8" fillId="0" borderId="3" xfId="0" applyNumberFormat="1" applyFont="1" applyFill="1" applyBorder="1" applyAlignment="1">
      <alignment horizontal="center"/>
    </xf>
    <xf numFmtId="0" fontId="8" fillId="0" borderId="2" xfId="0" applyNumberFormat="1" applyFont="1" applyFill="1" applyBorder="1" applyAlignment="1"/>
    <xf numFmtId="0" fontId="8" fillId="9" borderId="1" xfId="0" applyNumberFormat="1" applyFont="1" applyFill="1" applyBorder="1" applyAlignment="1">
      <alignment horizontal="center"/>
    </xf>
    <xf numFmtId="0" fontId="8" fillId="0" borderId="4" xfId="0" applyNumberFormat="1" applyFont="1" applyFill="1" applyBorder="1" applyAlignment="1"/>
    <xf numFmtId="0" fontId="8" fillId="0" borderId="4" xfId="0" applyNumberFormat="1" applyFont="1" applyFill="1" applyBorder="1" applyAlignment="1">
      <alignment horizontal="center"/>
    </xf>
    <xf numFmtId="0" fontId="10" fillId="0" borderId="1" xfId="0" applyNumberFormat="1" applyFont="1" applyFill="1" applyBorder="1" applyAlignment="1"/>
    <xf numFmtId="0" fontId="0" fillId="0" borderId="0" xfId="0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14" fontId="12" fillId="0" borderId="6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right" vertical="center"/>
    </xf>
    <xf numFmtId="0" fontId="12" fillId="0" borderId="8" xfId="0" applyFont="1" applyBorder="1" applyAlignment="1">
      <alignment horizontal="right" vertical="center"/>
    </xf>
    <xf numFmtId="0" fontId="12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right" vertical="center"/>
    </xf>
    <xf numFmtId="0" fontId="12" fillId="0" borderId="10" xfId="0" applyFont="1" applyBorder="1" applyAlignment="1">
      <alignment horizontal="right" vertical="center"/>
    </xf>
    <xf numFmtId="0" fontId="12" fillId="0" borderId="10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11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2" fillId="0" borderId="14" xfId="0" applyFont="1" applyBorder="1" applyAlignment="1">
      <alignment horizontal="left" vertical="top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8" fillId="10" borderId="7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176" fontId="18" fillId="10" borderId="6" xfId="0" applyNumberFormat="1" applyFont="1" applyFill="1" applyBorder="1" applyAlignment="1">
      <alignment horizontal="center" vertical="center"/>
    </xf>
    <xf numFmtId="177" fontId="12" fillId="0" borderId="3" xfId="0" applyNumberFormat="1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177" fontId="19" fillId="0" borderId="6" xfId="0" applyNumberFormat="1" applyFont="1" applyBorder="1" applyAlignment="1">
      <alignment horizontal="center" vertical="center"/>
    </xf>
    <xf numFmtId="177" fontId="19" fillId="0" borderId="12" xfId="0" applyNumberFormat="1" applyFont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177" fontId="12" fillId="0" borderId="16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77" fontId="19" fillId="0" borderId="13" xfId="0" applyNumberFormat="1" applyFont="1" applyBorder="1" applyAlignment="1">
      <alignment horizontal="center" vertical="center"/>
    </xf>
    <xf numFmtId="177" fontId="19" fillId="0" borderId="14" xfId="0" applyNumberFormat="1" applyFont="1" applyBorder="1" applyAlignment="1">
      <alignment horizontal="center" vertical="center"/>
    </xf>
    <xf numFmtId="177" fontId="12" fillId="0" borderId="13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0" fontId="12" fillId="0" borderId="16" xfId="0" applyNumberFormat="1" applyFont="1" applyBorder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7" fontId="12" fillId="0" borderId="14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10" borderId="5" xfId="0" applyFont="1" applyFill="1" applyBorder="1" applyAlignment="1">
      <alignment vertical="center"/>
    </xf>
    <xf numFmtId="0" fontId="12" fillId="10" borderId="6" xfId="0" applyFont="1" applyFill="1" applyBorder="1" applyAlignment="1">
      <alignment vertical="center"/>
    </xf>
    <xf numFmtId="0" fontId="18" fillId="10" borderId="6" xfId="0" applyFont="1" applyFill="1" applyBorder="1" applyAlignment="1">
      <alignment horizontal="right" vertical="center"/>
    </xf>
    <xf numFmtId="177" fontId="18" fillId="10" borderId="6" xfId="0" applyNumberFormat="1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vertical="center"/>
    </xf>
    <xf numFmtId="0" fontId="12" fillId="10" borderId="0" xfId="0" applyFont="1" applyFill="1" applyAlignment="1">
      <alignment vertical="center"/>
    </xf>
    <xf numFmtId="0" fontId="21" fillId="10" borderId="0" xfId="0" applyFont="1" applyFill="1" applyAlignment="1">
      <alignment horizontal="right" vertical="center"/>
    </xf>
    <xf numFmtId="177" fontId="21" fillId="10" borderId="0" xfId="0" applyNumberFormat="1" applyFont="1" applyFill="1" applyAlignment="1">
      <alignment horizontal="center" vertical="center"/>
    </xf>
    <xf numFmtId="0" fontId="12" fillId="10" borderId="9" xfId="0" applyFont="1" applyFill="1" applyBorder="1" applyAlignment="1">
      <alignment vertical="center"/>
    </xf>
    <xf numFmtId="0" fontId="12" fillId="10" borderId="10" xfId="0" applyFont="1" applyFill="1" applyBorder="1" applyAlignment="1">
      <alignment vertical="center"/>
    </xf>
    <xf numFmtId="0" fontId="18" fillId="10" borderId="10" xfId="0" applyFont="1" applyFill="1" applyBorder="1" applyAlignment="1">
      <alignment horizontal="right" vertical="center"/>
    </xf>
    <xf numFmtId="177" fontId="18" fillId="10" borderId="1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top"/>
    </xf>
    <xf numFmtId="0" fontId="12" fillId="0" borderId="1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76" fontId="18" fillId="10" borderId="12" xfId="0" applyNumberFormat="1" applyFont="1" applyFill="1" applyBorder="1" applyAlignment="1">
      <alignment horizontal="center" vertical="center"/>
    </xf>
    <xf numFmtId="177" fontId="12" fillId="0" borderId="12" xfId="0" applyNumberFormat="1" applyFont="1" applyBorder="1" applyAlignment="1">
      <alignment horizontal="center" vertical="center"/>
    </xf>
    <xf numFmtId="177" fontId="12" fillId="0" borderId="15" xfId="0" applyNumberFormat="1" applyFont="1" applyBorder="1" applyAlignment="1">
      <alignment horizontal="center" vertical="center"/>
    </xf>
    <xf numFmtId="177" fontId="18" fillId="10" borderId="12" xfId="0" applyNumberFormat="1" applyFont="1" applyFill="1" applyBorder="1" applyAlignment="1">
      <alignment horizontal="center" vertical="center"/>
    </xf>
    <xf numFmtId="177" fontId="21" fillId="10" borderId="14" xfId="0" applyNumberFormat="1" applyFont="1" applyFill="1" applyBorder="1" applyAlignment="1">
      <alignment horizontal="center" vertical="center"/>
    </xf>
    <xf numFmtId="177" fontId="18" fillId="10" borderId="15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showWhiteSpace="0" topLeftCell="A7" workbookViewId="0">
      <selection activeCell="C28" sqref="C28:E28"/>
    </sheetView>
  </sheetViews>
  <sheetFormatPr defaultColWidth="10.3333333333333" defaultRowHeight="13.5"/>
  <cols>
    <col min="1" max="1" width="15" style="38" customWidth="1"/>
    <col min="2" max="2" width="10.7809523809524" style="38" customWidth="1"/>
    <col min="3" max="3" width="10.3333333333333" style="38"/>
    <col min="4" max="4" width="20" style="38" customWidth="1"/>
    <col min="5" max="16384" width="10.3333333333333" style="38"/>
  </cols>
  <sheetData>
    <row r="1" customHeight="1" spans="1:9">
      <c r="A1" s="39" t="s">
        <v>0</v>
      </c>
      <c r="B1" s="39"/>
      <c r="C1" s="39"/>
      <c r="D1" s="39"/>
      <c r="E1" s="39"/>
      <c r="F1" s="40"/>
      <c r="G1" s="40"/>
      <c r="H1" s="41"/>
      <c r="I1" s="41"/>
    </row>
    <row r="2" customHeight="1" spans="1:9">
      <c r="A2" s="39"/>
      <c r="B2" s="39"/>
      <c r="C2" s="39"/>
      <c r="D2" s="39"/>
      <c r="E2" s="39"/>
      <c r="F2" s="42" t="s">
        <v>1</v>
      </c>
      <c r="G2" s="43"/>
      <c r="H2" s="44" t="s">
        <v>2</v>
      </c>
      <c r="I2" s="119"/>
    </row>
    <row r="3" customHeight="1" spans="1:9">
      <c r="A3" s="39"/>
      <c r="B3" s="39"/>
      <c r="C3" s="39"/>
      <c r="D3" s="39"/>
      <c r="E3" s="39"/>
      <c r="F3" s="45" t="s">
        <v>3</v>
      </c>
      <c r="G3" s="46"/>
      <c r="H3" s="47" t="s">
        <v>4</v>
      </c>
      <c r="I3" s="120"/>
    </row>
    <row r="4" ht="14.25" spans="1:9">
      <c r="A4" s="48"/>
      <c r="B4" s="48"/>
      <c r="C4" s="48"/>
      <c r="D4" s="48"/>
      <c r="E4" s="48"/>
      <c r="F4" s="45" t="s">
        <v>5</v>
      </c>
      <c r="G4" s="46"/>
      <c r="H4" s="49" t="s">
        <v>6</v>
      </c>
      <c r="I4" s="121"/>
    </row>
    <row r="5" ht="15" customHeight="1" spans="1:9">
      <c r="A5" s="38" t="s">
        <v>7</v>
      </c>
      <c r="F5" s="50" t="s">
        <v>8</v>
      </c>
      <c r="G5" s="51"/>
      <c r="H5" s="52" t="s">
        <v>9</v>
      </c>
      <c r="I5" s="122"/>
    </row>
    <row r="6" ht="15" customHeight="1" spans="1:9">
      <c r="A6" s="38" t="s">
        <v>10</v>
      </c>
      <c r="G6" s="53"/>
      <c r="H6" s="53"/>
      <c r="I6" s="53"/>
    </row>
    <row r="7" ht="15" customHeight="1" spans="1:9">
      <c r="A7" s="54" t="s">
        <v>11</v>
      </c>
      <c r="B7" s="54"/>
      <c r="C7" s="54"/>
      <c r="D7" s="54"/>
      <c r="G7" s="53"/>
      <c r="H7" s="53"/>
      <c r="I7" s="53"/>
    </row>
    <row r="8" ht="15.75" customHeight="1" spans="1:9">
      <c r="A8" s="55"/>
      <c r="B8" s="55"/>
      <c r="C8" s="55"/>
      <c r="D8" s="55"/>
      <c r="G8" s="53"/>
      <c r="H8" s="53"/>
      <c r="I8" s="53"/>
    </row>
    <row r="9" ht="15" customHeight="1" spans="7:9">
      <c r="G9" s="56" t="s">
        <v>12</v>
      </c>
      <c r="H9" s="56"/>
      <c r="I9" s="56"/>
    </row>
    <row r="10" ht="15" customHeight="1" spans="1:9">
      <c r="A10" s="57" t="s">
        <v>13</v>
      </c>
      <c r="B10" s="58"/>
      <c r="C10" s="58"/>
      <c r="D10" s="59"/>
      <c r="G10" s="56"/>
      <c r="H10" s="56"/>
      <c r="I10" s="56"/>
    </row>
    <row r="11" ht="15" customHeight="1" spans="1:9">
      <c r="A11" s="60" t="s">
        <v>14</v>
      </c>
      <c r="B11" s="61"/>
      <c r="C11" s="61"/>
      <c r="D11" s="62"/>
      <c r="G11" s="56"/>
      <c r="H11" s="56"/>
      <c r="I11" s="56"/>
    </row>
    <row r="12" spans="1:9">
      <c r="A12" s="60" t="s">
        <v>15</v>
      </c>
      <c r="B12" s="61"/>
      <c r="C12" s="61"/>
      <c r="D12" s="62"/>
      <c r="F12" s="63"/>
      <c r="G12" s="64"/>
      <c r="H12" s="64"/>
      <c r="I12" s="64"/>
    </row>
    <row r="13" spans="1:4">
      <c r="A13" s="65" t="s">
        <v>16</v>
      </c>
      <c r="B13" s="54"/>
      <c r="C13" s="54"/>
      <c r="D13" s="66"/>
    </row>
    <row r="14" spans="1:4">
      <c r="A14" s="65" t="s">
        <v>17</v>
      </c>
      <c r="B14" s="54"/>
      <c r="C14" s="54"/>
      <c r="D14" s="66"/>
    </row>
    <row r="15" spans="1:4">
      <c r="A15" s="67" t="s">
        <v>18</v>
      </c>
      <c r="B15" s="68"/>
      <c r="C15" s="68"/>
      <c r="D15" s="69"/>
    </row>
    <row r="18" ht="18" customHeight="1" spans="1:9">
      <c r="A18" s="70" t="s">
        <v>19</v>
      </c>
      <c r="B18" s="71" t="s">
        <v>20</v>
      </c>
      <c r="C18" s="70" t="s">
        <v>21</v>
      </c>
      <c r="D18" s="72"/>
      <c r="E18" s="73"/>
      <c r="F18" s="70" t="s">
        <v>22</v>
      </c>
      <c r="G18" s="72"/>
      <c r="H18" s="74" t="s">
        <v>23</v>
      </c>
      <c r="I18" s="123"/>
    </row>
    <row r="19" spans="1:9">
      <c r="A19" s="75"/>
      <c r="B19" s="76"/>
      <c r="C19" s="77"/>
      <c r="D19" s="78"/>
      <c r="E19" s="79"/>
      <c r="F19" s="80"/>
      <c r="G19" s="81"/>
      <c r="H19" s="82"/>
      <c r="I19" s="124"/>
    </row>
    <row r="20" spans="1:9">
      <c r="A20" s="83"/>
      <c r="B20" s="84"/>
      <c r="C20" s="85" t="s">
        <v>24</v>
      </c>
      <c r="D20" s="86"/>
      <c r="E20" s="87"/>
      <c r="F20" s="88"/>
      <c r="G20" s="89"/>
      <c r="H20" s="90"/>
      <c r="I20" s="98"/>
    </row>
    <row r="21" spans="1:9">
      <c r="A21" s="83">
        <f>T006明细!I656</f>
        <v>6019.40300000002</v>
      </c>
      <c r="B21" s="91">
        <v>1</v>
      </c>
      <c r="C21" s="92" t="s">
        <v>25</v>
      </c>
      <c r="D21" s="93"/>
      <c r="E21" s="94"/>
      <c r="F21" s="88"/>
      <c r="G21" s="89"/>
      <c r="H21" s="90">
        <f>A21</f>
        <v>6019.40300000002</v>
      </c>
      <c r="I21" s="98"/>
    </row>
    <row r="22" spans="1:9">
      <c r="A22" s="83"/>
      <c r="B22" s="91"/>
      <c r="C22" s="92"/>
      <c r="D22" s="93"/>
      <c r="E22" s="94"/>
      <c r="F22" s="95"/>
      <c r="G22" s="89"/>
      <c r="H22" s="90"/>
      <c r="I22" s="98"/>
    </row>
    <row r="23" spans="1:9">
      <c r="A23" s="83">
        <v>574.8</v>
      </c>
      <c r="B23" s="96">
        <v>-0.15</v>
      </c>
      <c r="C23" s="92" t="s">
        <v>26</v>
      </c>
      <c r="D23" s="93"/>
      <c r="E23" s="94"/>
      <c r="F23" s="95"/>
      <c r="G23" s="89"/>
      <c r="H23" s="90">
        <f>A23*B23</f>
        <v>-86.22</v>
      </c>
      <c r="I23" s="98"/>
    </row>
    <row r="24" spans="1:9">
      <c r="A24" s="83"/>
      <c r="B24" s="91"/>
      <c r="C24" s="92"/>
      <c r="D24" s="93"/>
      <c r="E24" s="94"/>
      <c r="F24" s="95"/>
      <c r="G24" s="89"/>
      <c r="H24" s="90"/>
      <c r="I24" s="98"/>
    </row>
    <row r="25" spans="1:9">
      <c r="A25" s="83"/>
      <c r="B25" s="91"/>
      <c r="C25" s="85"/>
      <c r="D25" s="86"/>
      <c r="E25" s="87"/>
      <c r="F25" s="95"/>
      <c r="G25" s="89"/>
      <c r="H25" s="90"/>
      <c r="I25" s="98"/>
    </row>
    <row r="26" spans="1:9">
      <c r="A26" s="83"/>
      <c r="B26" s="91"/>
      <c r="C26" s="92"/>
      <c r="D26" s="93"/>
      <c r="E26" s="94"/>
      <c r="F26" s="95"/>
      <c r="G26" s="89"/>
      <c r="H26" s="90"/>
      <c r="I26" s="98"/>
    </row>
    <row r="27" spans="1:9">
      <c r="A27" s="83"/>
      <c r="B27" s="91"/>
      <c r="C27" s="92"/>
      <c r="D27" s="93"/>
      <c r="E27" s="94"/>
      <c r="F27" s="95"/>
      <c r="G27" s="89"/>
      <c r="H27" s="90"/>
      <c r="I27" s="98"/>
    </row>
    <row r="28" ht="14.4" customHeight="1" spans="1:9">
      <c r="A28" s="83"/>
      <c r="B28" s="91"/>
      <c r="C28" s="92"/>
      <c r="D28" s="93"/>
      <c r="E28" s="94"/>
      <c r="F28" s="88"/>
      <c r="G28" s="89"/>
      <c r="H28" s="90"/>
      <c r="I28" s="98"/>
    </row>
    <row r="29" spans="1:9">
      <c r="A29" s="83"/>
      <c r="B29" s="91"/>
      <c r="C29" s="92"/>
      <c r="D29" s="93"/>
      <c r="E29" s="94"/>
      <c r="F29" s="97"/>
      <c r="G29" s="98"/>
      <c r="H29" s="90"/>
      <c r="I29" s="98"/>
    </row>
    <row r="30" spans="1:9">
      <c r="A30" s="83"/>
      <c r="B30" s="91"/>
      <c r="C30" s="92"/>
      <c r="D30" s="93"/>
      <c r="E30" s="94"/>
      <c r="F30" s="97"/>
      <c r="G30" s="98"/>
      <c r="H30" s="99"/>
      <c r="I30" s="125"/>
    </row>
    <row r="31" ht="15.9" customHeight="1" spans="1:9">
      <c r="A31" s="100"/>
      <c r="B31" s="101"/>
      <c r="C31" s="101"/>
      <c r="D31" s="101"/>
      <c r="E31" s="101"/>
      <c r="F31" s="102" t="s">
        <v>27</v>
      </c>
      <c r="G31" s="102"/>
      <c r="H31" s="103">
        <f>SUM(H19:I30)</f>
        <v>5933.18300000002</v>
      </c>
      <c r="I31" s="126"/>
    </row>
    <row r="32" ht="15.9" customHeight="1" spans="1:9">
      <c r="A32" s="104"/>
      <c r="B32" s="105"/>
      <c r="C32" s="105"/>
      <c r="D32" s="105"/>
      <c r="E32" s="105"/>
      <c r="F32" s="106" t="s">
        <v>28</v>
      </c>
      <c r="G32" s="106"/>
      <c r="H32" s="107">
        <f>SUM(F19:G30)</f>
        <v>0</v>
      </c>
      <c r="I32" s="127"/>
    </row>
    <row r="33" ht="15.9" customHeight="1" spans="1:9">
      <c r="A33" s="108"/>
      <c r="B33" s="109"/>
      <c r="C33" s="109"/>
      <c r="D33" s="109"/>
      <c r="E33" s="109"/>
      <c r="F33" s="110" t="s">
        <v>29</v>
      </c>
      <c r="G33" s="110"/>
      <c r="H33" s="111">
        <f>H31+H32</f>
        <v>5933.18300000002</v>
      </c>
      <c r="I33" s="128"/>
    </row>
    <row r="34" ht="15" customHeight="1"/>
    <row r="35" ht="15" customHeight="1"/>
    <row r="36" ht="15" customHeight="1" spans="1:1">
      <c r="A36" s="112" t="s">
        <v>30</v>
      </c>
    </row>
    <row r="37" ht="9.9" customHeight="1" spans="1:1">
      <c r="A37" s="112"/>
    </row>
    <row r="38" ht="15" customHeight="1" spans="1:9">
      <c r="A38" s="113" t="s">
        <v>31</v>
      </c>
      <c r="B38" s="113"/>
      <c r="C38" s="113"/>
      <c r="D38" s="113"/>
      <c r="E38" s="113"/>
      <c r="F38" s="113"/>
      <c r="G38" s="113"/>
      <c r="H38" s="114"/>
      <c r="I38" s="114"/>
    </row>
    <row r="39" ht="9.9" customHeight="1" spans="1:9">
      <c r="A39" s="113"/>
      <c r="B39" s="113"/>
      <c r="C39" s="113"/>
      <c r="D39" s="113"/>
      <c r="E39" s="113"/>
      <c r="F39" s="113"/>
      <c r="G39" s="113"/>
      <c r="H39" s="114"/>
      <c r="I39" s="114"/>
    </row>
    <row r="40" ht="15" customHeight="1" spans="1:9">
      <c r="A40" s="113" t="s">
        <v>32</v>
      </c>
      <c r="B40" s="113"/>
      <c r="C40" s="113"/>
      <c r="D40" s="113"/>
      <c r="E40" s="113"/>
      <c r="F40" s="113"/>
      <c r="G40" s="113"/>
      <c r="H40" s="114"/>
      <c r="I40" s="114"/>
    </row>
    <row r="41" ht="15" customHeight="1" spans="1:9">
      <c r="A41" s="113"/>
      <c r="B41" s="113"/>
      <c r="C41" s="113"/>
      <c r="D41" s="113"/>
      <c r="E41" s="113"/>
      <c r="F41" s="113"/>
      <c r="G41" s="113"/>
      <c r="H41" s="114"/>
      <c r="I41" s="114"/>
    </row>
    <row r="42" ht="15" customHeight="1" spans="1:9">
      <c r="A42" s="115" t="s">
        <v>33</v>
      </c>
      <c r="B42" s="115"/>
      <c r="C42" s="115"/>
      <c r="D42" s="115"/>
      <c r="E42" s="115"/>
      <c r="F42" s="115"/>
      <c r="G42" s="115"/>
      <c r="H42" s="115"/>
      <c r="I42" s="115"/>
    </row>
    <row r="43" s="37" customFormat="1" ht="15" customHeight="1" spans="1:9">
      <c r="A43" s="116" t="s">
        <v>34</v>
      </c>
      <c r="B43" s="117"/>
      <c r="C43" s="117"/>
      <c r="D43" s="117"/>
      <c r="E43" s="117"/>
      <c r="F43" s="117"/>
      <c r="G43" s="113"/>
      <c r="H43" s="113"/>
      <c r="I43" s="113"/>
    </row>
    <row r="44" s="37" customFormat="1" ht="15" customHeight="1" spans="1:9">
      <c r="A44" s="118"/>
      <c r="B44" s="117"/>
      <c r="C44" s="117"/>
      <c r="D44" s="117"/>
      <c r="E44" s="117"/>
      <c r="F44" s="117"/>
      <c r="G44" s="113"/>
      <c r="H44" s="113"/>
      <c r="I44" s="113"/>
    </row>
    <row r="45" ht="15" customHeight="1"/>
    <row r="46" ht="15" customHeight="1"/>
  </sheetData>
  <mergeCells count="62">
    <mergeCell ref="F1:G1"/>
    <mergeCell ref="H1:I1"/>
    <mergeCell ref="F2:G2"/>
    <mergeCell ref="H2:I2"/>
    <mergeCell ref="F3:G3"/>
    <mergeCell ref="H3:I3"/>
    <mergeCell ref="A4:E4"/>
    <mergeCell ref="F4:G4"/>
    <mergeCell ref="H4:I4"/>
    <mergeCell ref="F5:G5"/>
    <mergeCell ref="H5:I5"/>
    <mergeCell ref="A11:D11"/>
    <mergeCell ref="A12:D12"/>
    <mergeCell ref="A13:D13"/>
    <mergeCell ref="A15:D15"/>
    <mergeCell ref="C18:E18"/>
    <mergeCell ref="F18:G18"/>
    <mergeCell ref="H18:I18"/>
    <mergeCell ref="C19:E19"/>
    <mergeCell ref="F19:G19"/>
    <mergeCell ref="H19:I19"/>
    <mergeCell ref="C20:E20"/>
    <mergeCell ref="F20:G20"/>
    <mergeCell ref="H20:I20"/>
    <mergeCell ref="C21:E21"/>
    <mergeCell ref="F21:G21"/>
    <mergeCell ref="H21:I21"/>
    <mergeCell ref="C22:E22"/>
    <mergeCell ref="H22:I22"/>
    <mergeCell ref="C23:E23"/>
    <mergeCell ref="F23:G23"/>
    <mergeCell ref="H23:I23"/>
    <mergeCell ref="C24:E24"/>
    <mergeCell ref="F24:G24"/>
    <mergeCell ref="H24:I24"/>
    <mergeCell ref="C25:E25"/>
    <mergeCell ref="F25:G25"/>
    <mergeCell ref="H25:I25"/>
    <mergeCell ref="C26:E26"/>
    <mergeCell ref="F26:G26"/>
    <mergeCell ref="H26:I26"/>
    <mergeCell ref="C27:E27"/>
    <mergeCell ref="F27:G27"/>
    <mergeCell ref="H27:I27"/>
    <mergeCell ref="C28:E28"/>
    <mergeCell ref="F28:G28"/>
    <mergeCell ref="H28:I28"/>
    <mergeCell ref="C29:E29"/>
    <mergeCell ref="F29:G29"/>
    <mergeCell ref="H29:I29"/>
    <mergeCell ref="C30:E30"/>
    <mergeCell ref="F30:G30"/>
    <mergeCell ref="H30:I30"/>
    <mergeCell ref="F31:G31"/>
    <mergeCell ref="H31:I31"/>
    <mergeCell ref="F32:G32"/>
    <mergeCell ref="H32:I32"/>
    <mergeCell ref="F33:G33"/>
    <mergeCell ref="H33:I33"/>
    <mergeCell ref="A42:I42"/>
    <mergeCell ref="A1:E3"/>
    <mergeCell ref="G9:I1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DS1048576"/>
  <sheetViews>
    <sheetView tabSelected="1" workbookViewId="0">
      <pane ySplit="1" topLeftCell="A422" activePane="bottomLeft" state="frozen"/>
      <selection/>
      <selection pane="bottomLeft" activeCell="H439" sqref="H439"/>
    </sheetView>
  </sheetViews>
  <sheetFormatPr defaultColWidth="9.14285714285714" defaultRowHeight="12.75"/>
  <cols>
    <col min="1" max="1" width="7.42857142857143" style="21" customWidth="1"/>
    <col min="2" max="2" width="5.85714285714286" style="22" customWidth="1"/>
    <col min="3" max="3" width="6" style="21" customWidth="1"/>
    <col min="4" max="4" width="17.5714285714286" style="21" customWidth="1"/>
    <col min="5" max="5" width="16.5714285714286" style="21" customWidth="1"/>
    <col min="6" max="6" width="15.5714285714286" style="21" customWidth="1"/>
    <col min="7" max="7" width="9.14285714285714" style="21" hidden="1" customWidth="1"/>
    <col min="8" max="8" width="3.28571428571429" style="21" customWidth="1"/>
    <col min="9" max="9" width="8.85714285714286" style="22" customWidth="1"/>
    <col min="10" max="14" width="9.14285714285714" style="21"/>
    <col min="15" max="15" width="9.14285714285714" style="22"/>
    <col min="16" max="16" width="7" style="21" customWidth="1"/>
    <col min="17" max="17" width="8" style="21" customWidth="1"/>
    <col min="18" max="18" width="7.71428571428571" style="21" customWidth="1"/>
    <col min="19" max="19" width="6.14285714285714" style="21" customWidth="1"/>
    <col min="20" max="20" width="7.42857142857143" style="21" customWidth="1"/>
    <col min="21" max="21" width="8" style="21" customWidth="1"/>
    <col min="22" max="22" width="7.14285714285714" style="21" customWidth="1"/>
    <col min="23" max="16342" width="9.14285714285714" style="21"/>
  </cols>
  <sheetData>
    <row r="1" s="21" customFormat="1" spans="1:16347">
      <c r="A1" s="23" t="s">
        <v>35</v>
      </c>
      <c r="B1" s="23" t="s">
        <v>36</v>
      </c>
      <c r="C1" s="23" t="s">
        <v>37</v>
      </c>
      <c r="D1" s="23" t="s">
        <v>38</v>
      </c>
      <c r="E1" s="23" t="s">
        <v>39</v>
      </c>
      <c r="F1" s="23" t="s">
        <v>40</v>
      </c>
      <c r="G1" s="23" t="s">
        <v>41</v>
      </c>
      <c r="H1" s="23" t="s">
        <v>42</v>
      </c>
      <c r="I1" s="23" t="s">
        <v>43</v>
      </c>
      <c r="J1" s="23" t="s">
        <v>44</v>
      </c>
      <c r="K1" s="23" t="s">
        <v>45</v>
      </c>
      <c r="L1" s="23" t="s">
        <v>46</v>
      </c>
      <c r="M1" s="23" t="s">
        <v>47</v>
      </c>
      <c r="N1" s="23" t="s">
        <v>48</v>
      </c>
      <c r="O1" s="23" t="s">
        <v>49</v>
      </c>
      <c r="P1" s="23" t="s">
        <v>50</v>
      </c>
      <c r="Q1" s="23" t="s">
        <v>51</v>
      </c>
      <c r="R1" s="23" t="s">
        <v>52</v>
      </c>
      <c r="S1" s="23" t="s">
        <v>53</v>
      </c>
      <c r="T1" s="23" t="s">
        <v>54</v>
      </c>
      <c r="U1" s="23" t="s">
        <v>55</v>
      </c>
      <c r="V1" s="23" t="s">
        <v>56</v>
      </c>
      <c r="W1" s="23" t="s">
        <v>57</v>
      </c>
      <c r="XDO1"/>
      <c r="XDP1"/>
      <c r="XDQ1"/>
      <c r="XDR1"/>
      <c r="XDS1"/>
    </row>
    <row r="2" s="21" customFormat="1" spans="1:16347">
      <c r="A2" s="24" t="s">
        <v>58</v>
      </c>
      <c r="B2" s="25" t="s">
        <v>59</v>
      </c>
      <c r="C2" s="24" t="s">
        <v>60</v>
      </c>
      <c r="D2" s="24" t="s">
        <v>61</v>
      </c>
      <c r="E2" s="26" t="s">
        <v>62</v>
      </c>
      <c r="F2" s="24" t="s">
        <v>63</v>
      </c>
      <c r="G2" s="24" t="s">
        <v>64</v>
      </c>
      <c r="H2" s="24"/>
      <c r="I2" s="25">
        <v>4.8</v>
      </c>
      <c r="J2" s="24" t="s">
        <v>65</v>
      </c>
      <c r="K2" s="24" t="s">
        <v>66</v>
      </c>
      <c r="L2" s="24" t="s">
        <v>67</v>
      </c>
      <c r="M2" s="24" t="s">
        <v>68</v>
      </c>
      <c r="N2" s="24" t="s">
        <v>68</v>
      </c>
      <c r="O2" s="25">
        <v>2</v>
      </c>
      <c r="P2" s="24"/>
      <c r="Q2" s="24"/>
      <c r="R2" s="24"/>
      <c r="S2" s="24"/>
      <c r="T2" s="24"/>
      <c r="U2" s="24"/>
      <c r="V2" s="24">
        <v>2.8</v>
      </c>
      <c r="W2" s="24"/>
      <c r="XDO2"/>
      <c r="XDP2"/>
      <c r="XDQ2"/>
      <c r="XDR2"/>
      <c r="XDS2"/>
    </row>
    <row r="3" s="21" customFormat="1" spans="1:16347">
      <c r="A3" s="24" t="s">
        <v>58</v>
      </c>
      <c r="B3" s="25" t="s">
        <v>59</v>
      </c>
      <c r="C3" s="24" t="s">
        <v>60</v>
      </c>
      <c r="D3" s="24" t="s">
        <v>69</v>
      </c>
      <c r="E3" s="24" t="s">
        <v>70</v>
      </c>
      <c r="F3" s="24" t="s">
        <v>71</v>
      </c>
      <c r="G3" s="24" t="s">
        <v>72</v>
      </c>
      <c r="H3" s="24"/>
      <c r="I3" s="25">
        <v>3</v>
      </c>
      <c r="J3" s="24" t="s">
        <v>65</v>
      </c>
      <c r="K3" s="24" t="s">
        <v>73</v>
      </c>
      <c r="L3" s="24" t="s">
        <v>67</v>
      </c>
      <c r="M3" s="24" t="s">
        <v>74</v>
      </c>
      <c r="N3" s="24" t="s">
        <v>74</v>
      </c>
      <c r="O3" s="25">
        <v>0.5</v>
      </c>
      <c r="P3" s="24"/>
      <c r="Q3" s="24"/>
      <c r="R3" s="24"/>
      <c r="S3" s="24">
        <v>0.2</v>
      </c>
      <c r="T3" s="24"/>
      <c r="U3" s="24"/>
      <c r="V3" s="24">
        <v>2.3</v>
      </c>
      <c r="W3" s="24"/>
      <c r="XDO3"/>
      <c r="XDP3"/>
      <c r="XDQ3"/>
      <c r="XDR3"/>
      <c r="XDS3"/>
    </row>
    <row r="4" s="21" customFormat="1" spans="1:16347">
      <c r="A4" s="24" t="s">
        <v>58</v>
      </c>
      <c r="B4" s="25" t="s">
        <v>59</v>
      </c>
      <c r="C4" s="24" t="s">
        <v>60</v>
      </c>
      <c r="D4" s="24" t="s">
        <v>75</v>
      </c>
      <c r="E4" s="24" t="s">
        <v>76</v>
      </c>
      <c r="F4" s="24" t="s">
        <v>77</v>
      </c>
      <c r="G4" s="24" t="s">
        <v>72</v>
      </c>
      <c r="H4" s="24"/>
      <c r="I4" s="25">
        <v>3</v>
      </c>
      <c r="J4" s="24" t="s">
        <v>65</v>
      </c>
      <c r="K4" s="24" t="s">
        <v>78</v>
      </c>
      <c r="L4" s="24" t="s">
        <v>67</v>
      </c>
      <c r="M4" s="24" t="s">
        <v>79</v>
      </c>
      <c r="N4" s="24" t="s">
        <v>79</v>
      </c>
      <c r="O4" s="25">
        <v>0.7</v>
      </c>
      <c r="P4" s="24"/>
      <c r="Q4" s="24"/>
      <c r="R4" s="24"/>
      <c r="S4" s="24"/>
      <c r="T4" s="24"/>
      <c r="U4" s="24"/>
      <c r="V4" s="24">
        <v>2.3</v>
      </c>
      <c r="W4" s="24"/>
      <c r="XDO4"/>
      <c r="XDP4"/>
      <c r="XDQ4"/>
      <c r="XDR4"/>
      <c r="XDS4"/>
    </row>
    <row r="5" s="21" customFormat="1" spans="1:16347">
      <c r="A5" s="24" t="s">
        <v>58</v>
      </c>
      <c r="B5" s="25" t="s">
        <v>59</v>
      </c>
      <c r="C5" s="24" t="s">
        <v>60</v>
      </c>
      <c r="D5" s="24" t="s">
        <v>80</v>
      </c>
      <c r="E5" s="24" t="s">
        <v>81</v>
      </c>
      <c r="F5" s="24" t="s">
        <v>82</v>
      </c>
      <c r="G5" s="24" t="s">
        <v>83</v>
      </c>
      <c r="H5" s="24"/>
      <c r="I5" s="27">
        <v>8.5</v>
      </c>
      <c r="J5" s="24" t="s">
        <v>65</v>
      </c>
      <c r="K5" s="24" t="s">
        <v>84</v>
      </c>
      <c r="L5" s="24" t="s">
        <v>67</v>
      </c>
      <c r="M5" s="24" t="s">
        <v>85</v>
      </c>
      <c r="N5" s="24" t="s">
        <v>85</v>
      </c>
      <c r="O5" s="25">
        <v>4</v>
      </c>
      <c r="P5" s="24"/>
      <c r="Q5" s="24"/>
      <c r="R5" s="24"/>
      <c r="S5" s="24">
        <v>1</v>
      </c>
      <c r="T5" s="24"/>
      <c r="U5" s="24"/>
      <c r="V5" s="24">
        <v>3.5</v>
      </c>
      <c r="W5" s="24"/>
      <c r="XDO5"/>
      <c r="XDP5"/>
      <c r="XDQ5"/>
      <c r="XDR5"/>
      <c r="XDS5"/>
    </row>
    <row r="6" s="21" customFormat="1" spans="1:16347">
      <c r="A6" s="24" t="s">
        <v>58</v>
      </c>
      <c r="B6" s="25" t="s">
        <v>59</v>
      </c>
      <c r="C6" s="24" t="s">
        <v>60</v>
      </c>
      <c r="D6" s="24" t="s">
        <v>86</v>
      </c>
      <c r="E6" s="24" t="s">
        <v>87</v>
      </c>
      <c r="F6" s="24" t="s">
        <v>88</v>
      </c>
      <c r="G6" s="24" t="s">
        <v>89</v>
      </c>
      <c r="H6" s="24"/>
      <c r="I6" s="25">
        <v>3</v>
      </c>
      <c r="J6" s="24" t="s">
        <v>65</v>
      </c>
      <c r="K6" s="24" t="s">
        <v>90</v>
      </c>
      <c r="L6" s="24" t="s">
        <v>67</v>
      </c>
      <c r="M6" s="24" t="s">
        <v>79</v>
      </c>
      <c r="N6" s="24" t="s">
        <v>79</v>
      </c>
      <c r="O6" s="25">
        <v>0.7</v>
      </c>
      <c r="P6" s="24"/>
      <c r="Q6" s="24"/>
      <c r="R6" s="24"/>
      <c r="S6" s="24"/>
      <c r="T6" s="24"/>
      <c r="U6" s="24"/>
      <c r="V6" s="24">
        <v>2.3</v>
      </c>
      <c r="W6" s="24"/>
      <c r="XDO6"/>
      <c r="XDP6"/>
      <c r="XDQ6"/>
      <c r="XDR6"/>
      <c r="XDS6"/>
    </row>
    <row r="7" s="21" customFormat="1" spans="1:16347">
      <c r="A7" s="24" t="s">
        <v>58</v>
      </c>
      <c r="B7" s="25" t="s">
        <v>59</v>
      </c>
      <c r="C7" s="24" t="s">
        <v>60</v>
      </c>
      <c r="D7" s="24" t="s">
        <v>91</v>
      </c>
      <c r="E7" s="24" t="s">
        <v>92</v>
      </c>
      <c r="F7" s="24" t="s">
        <v>93</v>
      </c>
      <c r="G7" s="24" t="s">
        <v>89</v>
      </c>
      <c r="H7" s="24"/>
      <c r="I7" s="25">
        <v>3</v>
      </c>
      <c r="J7" s="24" t="s">
        <v>65</v>
      </c>
      <c r="K7" s="24" t="s">
        <v>94</v>
      </c>
      <c r="L7" s="24" t="s">
        <v>67</v>
      </c>
      <c r="M7" s="24" t="s">
        <v>79</v>
      </c>
      <c r="N7" s="24" t="s">
        <v>79</v>
      </c>
      <c r="O7" s="25">
        <v>0.7</v>
      </c>
      <c r="P7" s="24"/>
      <c r="Q7" s="24"/>
      <c r="R7" s="24"/>
      <c r="S7" s="24"/>
      <c r="T7" s="24"/>
      <c r="U7" s="24"/>
      <c r="V7" s="24">
        <v>2.3</v>
      </c>
      <c r="W7" s="24"/>
      <c r="XDO7"/>
      <c r="XDP7"/>
      <c r="XDQ7"/>
      <c r="XDR7"/>
      <c r="XDS7"/>
    </row>
    <row r="8" s="21" customFormat="1" spans="1:16347">
      <c r="A8" s="24" t="s">
        <v>58</v>
      </c>
      <c r="B8" s="25" t="s">
        <v>59</v>
      </c>
      <c r="C8" s="24" t="s">
        <v>95</v>
      </c>
      <c r="D8" s="24" t="s">
        <v>96</v>
      </c>
      <c r="E8" s="24" t="s">
        <v>97</v>
      </c>
      <c r="F8" s="24" t="s">
        <v>98</v>
      </c>
      <c r="G8" s="24" t="s">
        <v>99</v>
      </c>
      <c r="H8" s="24"/>
      <c r="I8" s="27">
        <v>552.35</v>
      </c>
      <c r="J8" s="24" t="s">
        <v>100</v>
      </c>
      <c r="K8" s="24"/>
      <c r="L8" s="24"/>
      <c r="M8" s="24" t="s">
        <v>101</v>
      </c>
      <c r="N8" s="24" t="s">
        <v>102</v>
      </c>
      <c r="O8" s="25"/>
      <c r="P8" s="24"/>
      <c r="Q8" s="24"/>
      <c r="R8" s="24">
        <v>370.35</v>
      </c>
      <c r="S8" s="24"/>
      <c r="T8" s="24"/>
      <c r="U8" s="24">
        <v>65</v>
      </c>
      <c r="V8" s="24">
        <v>117</v>
      </c>
      <c r="W8" s="24"/>
      <c r="XDO8"/>
      <c r="XDP8"/>
      <c r="XDQ8"/>
      <c r="XDR8"/>
      <c r="XDS8"/>
    </row>
    <row r="9" s="21" customFormat="1" spans="1:16347">
      <c r="A9" s="24" t="s">
        <v>58</v>
      </c>
      <c r="B9" s="25" t="s">
        <v>59</v>
      </c>
      <c r="C9" s="24" t="s">
        <v>60</v>
      </c>
      <c r="D9" s="24" t="s">
        <v>103</v>
      </c>
      <c r="E9" s="24" t="s">
        <v>104</v>
      </c>
      <c r="F9" s="24" t="s">
        <v>105</v>
      </c>
      <c r="G9" s="24" t="s">
        <v>106</v>
      </c>
      <c r="H9" s="24"/>
      <c r="I9" s="25">
        <v>3</v>
      </c>
      <c r="J9" s="24" t="s">
        <v>65</v>
      </c>
      <c r="K9" s="24" t="s">
        <v>107</v>
      </c>
      <c r="L9" s="24" t="s">
        <v>67</v>
      </c>
      <c r="M9" s="24" t="s">
        <v>108</v>
      </c>
      <c r="N9" s="24" t="s">
        <v>108</v>
      </c>
      <c r="O9" s="25">
        <v>0.7</v>
      </c>
      <c r="P9" s="24"/>
      <c r="Q9" s="24"/>
      <c r="R9" s="24"/>
      <c r="S9" s="24"/>
      <c r="T9" s="24"/>
      <c r="U9" s="24"/>
      <c r="V9" s="24">
        <v>2.3</v>
      </c>
      <c r="W9" s="24"/>
      <c r="XDO9"/>
      <c r="XDP9"/>
      <c r="XDQ9"/>
      <c r="XDR9"/>
      <c r="XDS9"/>
    </row>
    <row r="10" s="21" customFormat="1" spans="1:16347">
      <c r="A10" s="24" t="s">
        <v>58</v>
      </c>
      <c r="B10" s="25" t="s">
        <v>59</v>
      </c>
      <c r="C10" s="24" t="s">
        <v>109</v>
      </c>
      <c r="D10" s="24" t="s">
        <v>110</v>
      </c>
      <c r="E10" s="24" t="s">
        <v>111</v>
      </c>
      <c r="F10" s="24" t="s">
        <v>112</v>
      </c>
      <c r="G10" s="24" t="s">
        <v>112</v>
      </c>
      <c r="H10" s="24"/>
      <c r="I10" s="25">
        <v>400</v>
      </c>
      <c r="J10" s="24"/>
      <c r="K10" s="24"/>
      <c r="L10" s="24"/>
      <c r="M10" s="24" t="s">
        <v>113</v>
      </c>
      <c r="N10" s="24" t="s">
        <v>102</v>
      </c>
      <c r="O10" s="25"/>
      <c r="P10" s="24"/>
      <c r="Q10" s="24"/>
      <c r="R10" s="24"/>
      <c r="S10" s="24"/>
      <c r="T10" s="24"/>
      <c r="U10" s="24"/>
      <c r="V10" s="24"/>
      <c r="W10" s="24">
        <v>400</v>
      </c>
      <c r="XDO10"/>
      <c r="XDP10"/>
      <c r="XDQ10"/>
      <c r="XDR10"/>
      <c r="XDS10"/>
    </row>
    <row r="11" s="21" customFormat="1" spans="1:16347">
      <c r="A11" s="24" t="s">
        <v>58</v>
      </c>
      <c r="B11" s="25" t="s">
        <v>59</v>
      </c>
      <c r="C11" s="24" t="s">
        <v>60</v>
      </c>
      <c r="D11" s="24" t="s">
        <v>114</v>
      </c>
      <c r="E11" s="24" t="s">
        <v>115</v>
      </c>
      <c r="F11" s="24" t="s">
        <v>116</v>
      </c>
      <c r="G11" s="24" t="s">
        <v>117</v>
      </c>
      <c r="H11" s="24"/>
      <c r="I11" s="25">
        <v>3</v>
      </c>
      <c r="J11" s="24" t="s">
        <v>65</v>
      </c>
      <c r="K11" s="24" t="s">
        <v>118</v>
      </c>
      <c r="L11" s="24" t="s">
        <v>67</v>
      </c>
      <c r="M11" s="24" t="s">
        <v>74</v>
      </c>
      <c r="N11" s="24" t="s">
        <v>74</v>
      </c>
      <c r="O11" s="25">
        <v>0.5</v>
      </c>
      <c r="P11" s="24"/>
      <c r="Q11" s="24"/>
      <c r="R11" s="24"/>
      <c r="S11" s="24">
        <v>0.2</v>
      </c>
      <c r="T11" s="24"/>
      <c r="U11" s="24"/>
      <c r="V11" s="24">
        <v>2.3</v>
      </c>
      <c r="W11" s="24"/>
      <c r="XDO11"/>
      <c r="XDP11"/>
      <c r="XDQ11"/>
      <c r="XDR11"/>
      <c r="XDS11"/>
    </row>
    <row r="12" s="21" customFormat="1" spans="1:16347">
      <c r="A12" s="24" t="s">
        <v>58</v>
      </c>
      <c r="B12" s="25" t="s">
        <v>59</v>
      </c>
      <c r="C12" s="24" t="s">
        <v>60</v>
      </c>
      <c r="D12" s="24" t="s">
        <v>119</v>
      </c>
      <c r="E12" s="24" t="s">
        <v>120</v>
      </c>
      <c r="F12" s="24" t="s">
        <v>121</v>
      </c>
      <c r="G12" s="24" t="s">
        <v>117</v>
      </c>
      <c r="H12" s="24"/>
      <c r="I12" s="25">
        <v>4.8</v>
      </c>
      <c r="J12" s="24" t="s">
        <v>65</v>
      </c>
      <c r="K12" s="24" t="s">
        <v>122</v>
      </c>
      <c r="L12" s="24" t="s">
        <v>67</v>
      </c>
      <c r="M12" s="24" t="s">
        <v>68</v>
      </c>
      <c r="N12" s="24" t="s">
        <v>68</v>
      </c>
      <c r="O12" s="25">
        <v>2</v>
      </c>
      <c r="P12" s="24"/>
      <c r="Q12" s="24"/>
      <c r="R12" s="24"/>
      <c r="S12" s="24"/>
      <c r="T12" s="24"/>
      <c r="U12" s="24"/>
      <c r="V12" s="24">
        <v>2.8</v>
      </c>
      <c r="W12" s="24"/>
      <c r="XDO12"/>
      <c r="XDP12"/>
      <c r="XDQ12"/>
      <c r="XDR12"/>
      <c r="XDS12"/>
    </row>
    <row r="13" s="21" customFormat="1" spans="1:16347">
      <c r="A13" s="24" t="s">
        <v>58</v>
      </c>
      <c r="B13" s="25" t="s">
        <v>59</v>
      </c>
      <c r="C13" s="24" t="s">
        <v>60</v>
      </c>
      <c r="D13" s="24" t="s">
        <v>123</v>
      </c>
      <c r="E13" s="24" t="s">
        <v>124</v>
      </c>
      <c r="F13" s="24" t="s">
        <v>125</v>
      </c>
      <c r="G13" s="24" t="s">
        <v>117</v>
      </c>
      <c r="H13" s="24"/>
      <c r="I13" s="25">
        <v>3</v>
      </c>
      <c r="J13" s="24" t="s">
        <v>65</v>
      </c>
      <c r="K13" s="24" t="s">
        <v>126</v>
      </c>
      <c r="L13" s="24" t="s">
        <v>67</v>
      </c>
      <c r="M13" s="24" t="s">
        <v>79</v>
      </c>
      <c r="N13" s="24" t="s">
        <v>79</v>
      </c>
      <c r="O13" s="25">
        <v>0.7</v>
      </c>
      <c r="P13" s="24"/>
      <c r="Q13" s="24"/>
      <c r="R13" s="24"/>
      <c r="S13" s="24"/>
      <c r="T13" s="24"/>
      <c r="U13" s="24"/>
      <c r="V13" s="24">
        <v>2.3</v>
      </c>
      <c r="W13" s="24"/>
      <c r="XDO13"/>
      <c r="XDP13"/>
      <c r="XDQ13"/>
      <c r="XDR13"/>
      <c r="XDS13"/>
    </row>
    <row r="14" s="21" customFormat="1" spans="1:16347">
      <c r="A14" s="24" t="s">
        <v>58</v>
      </c>
      <c r="B14" s="25" t="s">
        <v>59</v>
      </c>
      <c r="C14" s="24" t="s">
        <v>60</v>
      </c>
      <c r="D14" s="24" t="s">
        <v>127</v>
      </c>
      <c r="E14" s="24" t="s">
        <v>128</v>
      </c>
      <c r="F14" s="24" t="s">
        <v>129</v>
      </c>
      <c r="G14" s="24" t="s">
        <v>130</v>
      </c>
      <c r="H14" s="24"/>
      <c r="I14" s="25">
        <v>3.5</v>
      </c>
      <c r="J14" s="24" t="s">
        <v>65</v>
      </c>
      <c r="K14" s="24" t="s">
        <v>131</v>
      </c>
      <c r="L14" s="24" t="s">
        <v>67</v>
      </c>
      <c r="M14" s="24" t="s">
        <v>132</v>
      </c>
      <c r="N14" s="24" t="s">
        <v>132</v>
      </c>
      <c r="O14" s="25">
        <v>1</v>
      </c>
      <c r="P14" s="24"/>
      <c r="Q14" s="24"/>
      <c r="R14" s="24"/>
      <c r="S14" s="24">
        <v>0.2</v>
      </c>
      <c r="T14" s="24"/>
      <c r="U14" s="24"/>
      <c r="V14" s="24">
        <v>2.3</v>
      </c>
      <c r="W14" s="24"/>
      <c r="XDO14"/>
      <c r="XDP14"/>
      <c r="XDQ14"/>
      <c r="XDR14"/>
      <c r="XDS14"/>
    </row>
    <row r="15" s="21" customFormat="1" spans="1:16347">
      <c r="A15" s="24" t="s">
        <v>58</v>
      </c>
      <c r="B15" s="25" t="s">
        <v>59</v>
      </c>
      <c r="C15" s="24" t="s">
        <v>60</v>
      </c>
      <c r="D15" s="24" t="s">
        <v>133</v>
      </c>
      <c r="E15" s="24" t="s">
        <v>134</v>
      </c>
      <c r="F15" s="24" t="s">
        <v>135</v>
      </c>
      <c r="G15" s="24" t="s">
        <v>130</v>
      </c>
      <c r="H15" s="24"/>
      <c r="I15" s="25">
        <v>2.8</v>
      </c>
      <c r="J15" s="24" t="s">
        <v>65</v>
      </c>
      <c r="K15" s="24" t="s">
        <v>136</v>
      </c>
      <c r="L15" s="24" t="s">
        <v>67</v>
      </c>
      <c r="M15" s="24" t="s">
        <v>137</v>
      </c>
      <c r="N15" s="24" t="s">
        <v>137</v>
      </c>
      <c r="O15" s="25">
        <v>0.5</v>
      </c>
      <c r="P15" s="24"/>
      <c r="Q15" s="24"/>
      <c r="R15" s="24"/>
      <c r="S15" s="24"/>
      <c r="T15" s="24"/>
      <c r="U15" s="24"/>
      <c r="V15" s="24">
        <v>2.3</v>
      </c>
      <c r="W15" s="24"/>
      <c r="XDO15"/>
      <c r="XDP15"/>
      <c r="XDQ15"/>
      <c r="XDR15"/>
      <c r="XDS15"/>
    </row>
    <row r="16" s="21" customFormat="1" spans="1:16347">
      <c r="A16" s="24" t="s">
        <v>58</v>
      </c>
      <c r="B16" s="25" t="s">
        <v>59</v>
      </c>
      <c r="C16" s="24" t="s">
        <v>60</v>
      </c>
      <c r="D16" s="24" t="s">
        <v>138</v>
      </c>
      <c r="E16" s="24" t="s">
        <v>139</v>
      </c>
      <c r="F16" s="24" t="s">
        <v>140</v>
      </c>
      <c r="G16" s="24" t="s">
        <v>141</v>
      </c>
      <c r="H16" s="24"/>
      <c r="I16" s="25">
        <v>4.8</v>
      </c>
      <c r="J16" s="24" t="s">
        <v>65</v>
      </c>
      <c r="K16" s="24" t="s">
        <v>142</v>
      </c>
      <c r="L16" s="24" t="s">
        <v>67</v>
      </c>
      <c r="M16" s="24" t="s">
        <v>68</v>
      </c>
      <c r="N16" s="24" t="s">
        <v>68</v>
      </c>
      <c r="O16" s="25">
        <v>2</v>
      </c>
      <c r="P16" s="24"/>
      <c r="Q16" s="24"/>
      <c r="R16" s="24"/>
      <c r="S16" s="24"/>
      <c r="T16" s="24"/>
      <c r="U16" s="24"/>
      <c r="V16" s="24">
        <v>2.8</v>
      </c>
      <c r="W16" s="24"/>
      <c r="XDO16"/>
      <c r="XDP16"/>
      <c r="XDQ16"/>
      <c r="XDR16"/>
      <c r="XDS16"/>
    </row>
    <row r="17" s="21" customFormat="1" spans="1:16347">
      <c r="A17" s="24" t="s">
        <v>58</v>
      </c>
      <c r="B17" s="25" t="s">
        <v>59</v>
      </c>
      <c r="C17" s="24" t="s">
        <v>60</v>
      </c>
      <c r="D17" s="24" t="s">
        <v>143</v>
      </c>
      <c r="E17" s="24" t="s">
        <v>144</v>
      </c>
      <c r="F17" s="24" t="s">
        <v>145</v>
      </c>
      <c r="G17" s="24" t="s">
        <v>146</v>
      </c>
      <c r="H17" s="24"/>
      <c r="I17" s="25">
        <v>6.5</v>
      </c>
      <c r="J17" s="24" t="s">
        <v>65</v>
      </c>
      <c r="K17" s="24" t="s">
        <v>147</v>
      </c>
      <c r="L17" s="24" t="s">
        <v>67</v>
      </c>
      <c r="M17" s="24" t="s">
        <v>148</v>
      </c>
      <c r="N17" s="24" t="s">
        <v>148</v>
      </c>
      <c r="O17" s="25">
        <v>3</v>
      </c>
      <c r="P17" s="24"/>
      <c r="Q17" s="24"/>
      <c r="R17" s="24"/>
      <c r="S17" s="24"/>
      <c r="T17" s="24"/>
      <c r="U17" s="24"/>
      <c r="V17" s="24">
        <v>3.5</v>
      </c>
      <c r="W17" s="24"/>
      <c r="XDO17"/>
      <c r="XDP17"/>
      <c r="XDQ17"/>
      <c r="XDR17"/>
      <c r="XDS17"/>
    </row>
    <row r="18" s="21" customFormat="1" spans="1:16347">
      <c r="A18" s="24" t="s">
        <v>58</v>
      </c>
      <c r="B18" s="25" t="s">
        <v>59</v>
      </c>
      <c r="C18" s="24" t="s">
        <v>60</v>
      </c>
      <c r="D18" s="24" t="s">
        <v>149</v>
      </c>
      <c r="E18" s="24" t="s">
        <v>150</v>
      </c>
      <c r="F18" s="24" t="s">
        <v>151</v>
      </c>
      <c r="G18" s="24" t="s">
        <v>146</v>
      </c>
      <c r="H18" s="24"/>
      <c r="I18" s="25">
        <v>8.5</v>
      </c>
      <c r="J18" s="24" t="s">
        <v>65</v>
      </c>
      <c r="K18" s="24" t="s">
        <v>152</v>
      </c>
      <c r="L18" s="24" t="s">
        <v>67</v>
      </c>
      <c r="M18" s="24" t="s">
        <v>153</v>
      </c>
      <c r="N18" s="24" t="s">
        <v>153</v>
      </c>
      <c r="O18" s="25">
        <v>4</v>
      </c>
      <c r="P18" s="24"/>
      <c r="Q18" s="24"/>
      <c r="R18" s="24"/>
      <c r="S18" s="24">
        <v>1</v>
      </c>
      <c r="T18" s="24"/>
      <c r="U18" s="24"/>
      <c r="V18" s="24">
        <v>3.5</v>
      </c>
      <c r="W18" s="24"/>
      <c r="XDO18"/>
      <c r="XDP18"/>
      <c r="XDQ18"/>
      <c r="XDR18"/>
      <c r="XDS18"/>
    </row>
    <row r="19" s="21" customFormat="1" spans="1:16347">
      <c r="A19" s="24" t="s">
        <v>58</v>
      </c>
      <c r="B19" s="25" t="s">
        <v>59</v>
      </c>
      <c r="C19" s="24" t="s">
        <v>60</v>
      </c>
      <c r="D19" s="24" t="s">
        <v>154</v>
      </c>
      <c r="E19" s="24" t="s">
        <v>155</v>
      </c>
      <c r="F19" s="24" t="s">
        <v>156</v>
      </c>
      <c r="G19" s="24" t="s">
        <v>157</v>
      </c>
      <c r="H19" s="24"/>
      <c r="I19" s="25">
        <v>2.8</v>
      </c>
      <c r="J19" s="24" t="s">
        <v>65</v>
      </c>
      <c r="K19" s="24" t="s">
        <v>158</v>
      </c>
      <c r="L19" s="24" t="s">
        <v>67</v>
      </c>
      <c r="M19" s="24" t="s">
        <v>74</v>
      </c>
      <c r="N19" s="24" t="s">
        <v>74</v>
      </c>
      <c r="O19" s="25">
        <v>0.5</v>
      </c>
      <c r="P19" s="24"/>
      <c r="Q19" s="24"/>
      <c r="R19" s="24"/>
      <c r="S19" s="24"/>
      <c r="T19" s="24"/>
      <c r="U19" s="24"/>
      <c r="V19" s="24">
        <v>2.3</v>
      </c>
      <c r="W19" s="24"/>
      <c r="XDO19"/>
      <c r="XDP19"/>
      <c r="XDQ19"/>
      <c r="XDR19"/>
      <c r="XDS19"/>
    </row>
    <row r="20" s="21" customFormat="1" spans="1:16347">
      <c r="A20" s="24" t="s">
        <v>58</v>
      </c>
      <c r="B20" s="25" t="s">
        <v>59</v>
      </c>
      <c r="C20" s="24" t="s">
        <v>60</v>
      </c>
      <c r="D20" s="24" t="s">
        <v>159</v>
      </c>
      <c r="E20" s="24" t="s">
        <v>160</v>
      </c>
      <c r="F20" s="24" t="s">
        <v>161</v>
      </c>
      <c r="G20" s="24" t="s">
        <v>162</v>
      </c>
      <c r="H20" s="24"/>
      <c r="I20" s="25">
        <v>4.8</v>
      </c>
      <c r="J20" s="24" t="s">
        <v>65</v>
      </c>
      <c r="K20" s="24" t="s">
        <v>163</v>
      </c>
      <c r="L20" s="24" t="s">
        <v>67</v>
      </c>
      <c r="M20" s="24" t="s">
        <v>164</v>
      </c>
      <c r="N20" s="24" t="s">
        <v>164</v>
      </c>
      <c r="O20" s="25">
        <v>2</v>
      </c>
      <c r="P20" s="24"/>
      <c r="Q20" s="24"/>
      <c r="R20" s="24"/>
      <c r="S20" s="24"/>
      <c r="T20" s="24"/>
      <c r="U20" s="24"/>
      <c r="V20" s="24">
        <v>2.8</v>
      </c>
      <c r="W20" s="24"/>
      <c r="XDO20"/>
      <c r="XDP20"/>
      <c r="XDQ20"/>
      <c r="XDR20"/>
      <c r="XDS20"/>
    </row>
    <row r="21" s="21" customFormat="1" spans="1:16347">
      <c r="A21" s="24" t="s">
        <v>58</v>
      </c>
      <c r="B21" s="25" t="s">
        <v>59</v>
      </c>
      <c r="C21" s="24" t="s">
        <v>60</v>
      </c>
      <c r="D21" s="24" t="s">
        <v>165</v>
      </c>
      <c r="E21" s="24" t="s">
        <v>166</v>
      </c>
      <c r="F21" s="24" t="s">
        <v>167</v>
      </c>
      <c r="G21" s="24" t="s">
        <v>162</v>
      </c>
      <c r="H21" s="24"/>
      <c r="I21" s="25">
        <v>2.8</v>
      </c>
      <c r="J21" s="24" t="s">
        <v>65</v>
      </c>
      <c r="K21" s="24" t="s">
        <v>168</v>
      </c>
      <c r="L21" s="24" t="s">
        <v>67</v>
      </c>
      <c r="M21" s="24" t="s">
        <v>169</v>
      </c>
      <c r="N21" s="24" t="s">
        <v>169</v>
      </c>
      <c r="O21" s="25">
        <v>0.5</v>
      </c>
      <c r="P21" s="24"/>
      <c r="Q21" s="24"/>
      <c r="R21" s="24"/>
      <c r="S21" s="24"/>
      <c r="T21" s="24"/>
      <c r="U21" s="24"/>
      <c r="V21" s="24">
        <v>2.3</v>
      </c>
      <c r="W21" s="24"/>
      <c r="XDO21"/>
      <c r="XDP21"/>
      <c r="XDQ21"/>
      <c r="XDR21"/>
      <c r="XDS21"/>
    </row>
    <row r="22" s="21" customFormat="1" spans="1:16347">
      <c r="A22" s="24" t="s">
        <v>58</v>
      </c>
      <c r="B22" s="25" t="s">
        <v>59</v>
      </c>
      <c r="C22" s="24" t="s">
        <v>60</v>
      </c>
      <c r="D22" s="24" t="s">
        <v>170</v>
      </c>
      <c r="E22" s="24" t="s">
        <v>171</v>
      </c>
      <c r="F22" s="24" t="s">
        <v>172</v>
      </c>
      <c r="G22" s="24" t="s">
        <v>173</v>
      </c>
      <c r="H22" s="24"/>
      <c r="I22" s="25">
        <v>3</v>
      </c>
      <c r="J22" s="24" t="s">
        <v>65</v>
      </c>
      <c r="K22" s="24" t="s">
        <v>174</v>
      </c>
      <c r="L22" s="24" t="s">
        <v>67</v>
      </c>
      <c r="M22" s="24" t="s">
        <v>74</v>
      </c>
      <c r="N22" s="24" t="s">
        <v>74</v>
      </c>
      <c r="O22" s="25">
        <v>0.5</v>
      </c>
      <c r="P22" s="24"/>
      <c r="Q22" s="24"/>
      <c r="R22" s="24"/>
      <c r="S22" s="24">
        <v>0.2</v>
      </c>
      <c r="T22" s="24"/>
      <c r="U22" s="24"/>
      <c r="V22" s="24">
        <v>2.3</v>
      </c>
      <c r="W22" s="24"/>
      <c r="XDO22"/>
      <c r="XDP22"/>
      <c r="XDQ22"/>
      <c r="XDR22"/>
      <c r="XDS22"/>
    </row>
    <row r="23" s="21" customFormat="1" spans="1:16347">
      <c r="A23" s="24" t="s">
        <v>58</v>
      </c>
      <c r="B23" s="25" t="s">
        <v>59</v>
      </c>
      <c r="C23" s="24" t="s">
        <v>60</v>
      </c>
      <c r="D23" s="24" t="s">
        <v>175</v>
      </c>
      <c r="E23" s="24" t="s">
        <v>176</v>
      </c>
      <c r="F23" s="24" t="s">
        <v>177</v>
      </c>
      <c r="G23" s="24" t="s">
        <v>173</v>
      </c>
      <c r="H23" s="24"/>
      <c r="I23" s="25">
        <v>3.1</v>
      </c>
      <c r="J23" s="24" t="s">
        <v>65</v>
      </c>
      <c r="K23" s="24" t="s">
        <v>178</v>
      </c>
      <c r="L23" s="24" t="s">
        <v>67</v>
      </c>
      <c r="M23" s="24" t="s">
        <v>179</v>
      </c>
      <c r="N23" s="24" t="s">
        <v>179</v>
      </c>
      <c r="O23" s="25">
        <v>0.7</v>
      </c>
      <c r="P23" s="24"/>
      <c r="Q23" s="24"/>
      <c r="R23" s="24"/>
      <c r="S23" s="24"/>
      <c r="T23" s="24"/>
      <c r="U23" s="24"/>
      <c r="V23" s="24">
        <v>2.4</v>
      </c>
      <c r="W23" s="24"/>
      <c r="XDO23"/>
      <c r="XDP23"/>
      <c r="XDQ23"/>
      <c r="XDR23"/>
      <c r="XDS23"/>
    </row>
    <row r="24" s="21" customFormat="1" spans="1:16347">
      <c r="A24" s="24" t="s">
        <v>58</v>
      </c>
      <c r="B24" s="25" t="s">
        <v>59</v>
      </c>
      <c r="C24" s="24" t="s">
        <v>60</v>
      </c>
      <c r="D24" s="24" t="s">
        <v>180</v>
      </c>
      <c r="E24" s="24" t="s">
        <v>181</v>
      </c>
      <c r="F24" s="24" t="s">
        <v>182</v>
      </c>
      <c r="G24" s="24" t="s">
        <v>183</v>
      </c>
      <c r="H24" s="24"/>
      <c r="I24" s="25">
        <v>2.8</v>
      </c>
      <c r="J24" s="24" t="s">
        <v>65</v>
      </c>
      <c r="K24" s="24" t="s">
        <v>184</v>
      </c>
      <c r="L24" s="24" t="s">
        <v>67</v>
      </c>
      <c r="M24" s="24" t="s">
        <v>74</v>
      </c>
      <c r="N24" s="24" t="s">
        <v>74</v>
      </c>
      <c r="O24" s="25">
        <v>0.5</v>
      </c>
      <c r="P24" s="24"/>
      <c r="Q24" s="24"/>
      <c r="R24" s="24"/>
      <c r="S24" s="24"/>
      <c r="T24" s="24"/>
      <c r="U24" s="24"/>
      <c r="V24" s="24">
        <v>2.3</v>
      </c>
      <c r="W24" s="24"/>
      <c r="XDO24"/>
      <c r="XDP24"/>
      <c r="XDQ24"/>
      <c r="XDR24"/>
      <c r="XDS24"/>
    </row>
    <row r="25" s="21" customFormat="1" spans="1:16347">
      <c r="A25" s="24" t="s">
        <v>58</v>
      </c>
      <c r="B25" s="25" t="s">
        <v>59</v>
      </c>
      <c r="C25" s="24" t="s">
        <v>60</v>
      </c>
      <c r="D25" s="24" t="s">
        <v>185</v>
      </c>
      <c r="E25" s="24" t="s">
        <v>186</v>
      </c>
      <c r="F25" s="24" t="s">
        <v>187</v>
      </c>
      <c r="G25" s="24" t="s">
        <v>183</v>
      </c>
      <c r="H25" s="24"/>
      <c r="I25" s="25">
        <v>3.1</v>
      </c>
      <c r="J25" s="24" t="s">
        <v>65</v>
      </c>
      <c r="K25" s="24" t="s">
        <v>188</v>
      </c>
      <c r="L25" s="24" t="s">
        <v>67</v>
      </c>
      <c r="M25" s="24" t="s">
        <v>189</v>
      </c>
      <c r="N25" s="24" t="s">
        <v>189</v>
      </c>
      <c r="O25" s="25">
        <v>0.7</v>
      </c>
      <c r="P25" s="24"/>
      <c r="Q25" s="24"/>
      <c r="R25" s="24"/>
      <c r="S25" s="24"/>
      <c r="T25" s="24"/>
      <c r="U25" s="24"/>
      <c r="V25" s="24">
        <v>2.4</v>
      </c>
      <c r="W25" s="24"/>
      <c r="XDO25"/>
      <c r="XDP25"/>
      <c r="XDQ25"/>
      <c r="XDR25"/>
      <c r="XDS25"/>
    </row>
    <row r="26" s="21" customFormat="1" spans="1:16347">
      <c r="A26" s="24" t="s">
        <v>58</v>
      </c>
      <c r="B26" s="25" t="s">
        <v>59</v>
      </c>
      <c r="C26" s="24" t="s">
        <v>60</v>
      </c>
      <c r="D26" s="24" t="s">
        <v>190</v>
      </c>
      <c r="E26" s="24" t="s">
        <v>191</v>
      </c>
      <c r="F26" s="24" t="s">
        <v>192</v>
      </c>
      <c r="G26" s="24" t="s">
        <v>193</v>
      </c>
      <c r="H26" s="24"/>
      <c r="I26" s="25">
        <v>3</v>
      </c>
      <c r="J26" s="24" t="s">
        <v>65</v>
      </c>
      <c r="K26" s="24" t="s">
        <v>194</v>
      </c>
      <c r="L26" s="24" t="s">
        <v>67</v>
      </c>
      <c r="M26" s="24" t="s">
        <v>74</v>
      </c>
      <c r="N26" s="24" t="s">
        <v>74</v>
      </c>
      <c r="O26" s="25">
        <v>0.5</v>
      </c>
      <c r="P26" s="24"/>
      <c r="Q26" s="24"/>
      <c r="R26" s="24"/>
      <c r="S26" s="24">
        <v>0.2</v>
      </c>
      <c r="T26" s="24"/>
      <c r="U26" s="24"/>
      <c r="V26" s="24">
        <v>2.3</v>
      </c>
      <c r="W26" s="24"/>
      <c r="XDO26"/>
      <c r="XDP26"/>
      <c r="XDQ26"/>
      <c r="XDR26"/>
      <c r="XDS26"/>
    </row>
    <row r="27" s="21" customFormat="1" spans="1:16347">
      <c r="A27" s="24" t="s">
        <v>58</v>
      </c>
      <c r="B27" s="25" t="s">
        <v>59</v>
      </c>
      <c r="C27" s="24" t="s">
        <v>60</v>
      </c>
      <c r="D27" s="24" t="s">
        <v>195</v>
      </c>
      <c r="E27" s="24" t="s">
        <v>196</v>
      </c>
      <c r="F27" s="24" t="s">
        <v>197</v>
      </c>
      <c r="G27" s="24" t="s">
        <v>198</v>
      </c>
      <c r="H27" s="24"/>
      <c r="I27" s="25">
        <v>3.1</v>
      </c>
      <c r="J27" s="24" t="s">
        <v>65</v>
      </c>
      <c r="K27" s="24" t="s">
        <v>199</v>
      </c>
      <c r="L27" s="24" t="s">
        <v>67</v>
      </c>
      <c r="M27" s="24" t="s">
        <v>200</v>
      </c>
      <c r="N27" s="24" t="s">
        <v>200</v>
      </c>
      <c r="O27" s="25">
        <v>0.7</v>
      </c>
      <c r="P27" s="24"/>
      <c r="Q27" s="24"/>
      <c r="R27" s="24"/>
      <c r="S27" s="24"/>
      <c r="T27" s="24"/>
      <c r="U27" s="24"/>
      <c r="V27" s="24">
        <v>2.4</v>
      </c>
      <c r="W27" s="24"/>
      <c r="XDO27"/>
      <c r="XDP27"/>
      <c r="XDQ27"/>
      <c r="XDR27"/>
      <c r="XDS27"/>
    </row>
    <row r="28" s="21" customFormat="1" spans="1:16347">
      <c r="A28" s="24" t="s">
        <v>58</v>
      </c>
      <c r="B28" s="25" t="s">
        <v>59</v>
      </c>
      <c r="C28" s="24" t="s">
        <v>60</v>
      </c>
      <c r="D28" s="24" t="s">
        <v>201</v>
      </c>
      <c r="E28" s="24" t="s">
        <v>202</v>
      </c>
      <c r="F28" s="24" t="s">
        <v>203</v>
      </c>
      <c r="G28" s="24" t="s">
        <v>198</v>
      </c>
      <c r="H28" s="24"/>
      <c r="I28" s="25">
        <v>3.1</v>
      </c>
      <c r="J28" s="24" t="s">
        <v>65</v>
      </c>
      <c r="K28" s="24" t="s">
        <v>204</v>
      </c>
      <c r="L28" s="24" t="s">
        <v>67</v>
      </c>
      <c r="M28" s="24" t="s">
        <v>200</v>
      </c>
      <c r="N28" s="24" t="s">
        <v>200</v>
      </c>
      <c r="O28" s="25">
        <v>0.7</v>
      </c>
      <c r="P28" s="24"/>
      <c r="Q28" s="24"/>
      <c r="R28" s="24"/>
      <c r="S28" s="24"/>
      <c r="T28" s="24"/>
      <c r="U28" s="24"/>
      <c r="V28" s="24">
        <v>2.4</v>
      </c>
      <c r="W28" s="24"/>
      <c r="XDO28"/>
      <c r="XDP28"/>
      <c r="XDQ28"/>
      <c r="XDR28"/>
      <c r="XDS28"/>
    </row>
    <row r="29" s="21" customFormat="1" spans="1:16347">
      <c r="A29" s="24" t="s">
        <v>58</v>
      </c>
      <c r="B29" s="25" t="s">
        <v>59</v>
      </c>
      <c r="C29" s="24" t="s">
        <v>60</v>
      </c>
      <c r="D29" s="24" t="s">
        <v>205</v>
      </c>
      <c r="E29" s="24" t="s">
        <v>206</v>
      </c>
      <c r="F29" s="24" t="s">
        <v>207</v>
      </c>
      <c r="G29" s="24" t="s">
        <v>198</v>
      </c>
      <c r="H29" s="24"/>
      <c r="I29" s="25">
        <v>2.8</v>
      </c>
      <c r="J29" s="24" t="s">
        <v>65</v>
      </c>
      <c r="K29" s="24" t="s">
        <v>208</v>
      </c>
      <c r="L29" s="24" t="s">
        <v>67</v>
      </c>
      <c r="M29" s="24" t="s">
        <v>209</v>
      </c>
      <c r="N29" s="24" t="s">
        <v>209</v>
      </c>
      <c r="O29" s="25">
        <v>0.5</v>
      </c>
      <c r="P29" s="24"/>
      <c r="Q29" s="24"/>
      <c r="R29" s="24"/>
      <c r="S29" s="24"/>
      <c r="T29" s="24"/>
      <c r="U29" s="24"/>
      <c r="V29" s="24">
        <v>2.3</v>
      </c>
      <c r="W29" s="24"/>
      <c r="XDO29"/>
      <c r="XDP29"/>
      <c r="XDQ29"/>
      <c r="XDR29"/>
      <c r="XDS29"/>
    </row>
    <row r="30" s="21" customFormat="1" spans="1:16347">
      <c r="A30" s="24" t="s">
        <v>58</v>
      </c>
      <c r="B30" s="25" t="s">
        <v>59</v>
      </c>
      <c r="C30" s="24" t="s">
        <v>60</v>
      </c>
      <c r="D30" s="24" t="s">
        <v>210</v>
      </c>
      <c r="E30" s="24" t="s">
        <v>211</v>
      </c>
      <c r="F30" s="24" t="s">
        <v>212</v>
      </c>
      <c r="G30" s="24" t="s">
        <v>213</v>
      </c>
      <c r="H30" s="24"/>
      <c r="I30" s="25">
        <v>3</v>
      </c>
      <c r="J30" s="24" t="s">
        <v>65</v>
      </c>
      <c r="K30" s="24" t="s">
        <v>214</v>
      </c>
      <c r="L30" s="24" t="s">
        <v>67</v>
      </c>
      <c r="M30" s="24" t="s">
        <v>79</v>
      </c>
      <c r="N30" s="24" t="s">
        <v>79</v>
      </c>
      <c r="O30" s="25">
        <v>0.7</v>
      </c>
      <c r="P30" s="24"/>
      <c r="Q30" s="24"/>
      <c r="R30" s="24"/>
      <c r="S30" s="24"/>
      <c r="T30" s="24"/>
      <c r="U30" s="24"/>
      <c r="V30" s="24">
        <v>2.3</v>
      </c>
      <c r="W30" s="24"/>
      <c r="XDO30"/>
      <c r="XDP30"/>
      <c r="XDQ30"/>
      <c r="XDR30"/>
      <c r="XDS30"/>
    </row>
    <row r="31" s="21" customFormat="1" spans="1:16347">
      <c r="A31" s="24" t="s">
        <v>58</v>
      </c>
      <c r="B31" s="25" t="s">
        <v>59</v>
      </c>
      <c r="C31" s="24" t="s">
        <v>60</v>
      </c>
      <c r="D31" s="24" t="s">
        <v>215</v>
      </c>
      <c r="E31" s="24" t="s">
        <v>216</v>
      </c>
      <c r="F31" s="24" t="s">
        <v>217</v>
      </c>
      <c r="G31" s="24" t="s">
        <v>218</v>
      </c>
      <c r="H31" s="24"/>
      <c r="I31" s="25">
        <v>3.1</v>
      </c>
      <c r="J31" s="24" t="s">
        <v>65</v>
      </c>
      <c r="K31" s="24" t="s">
        <v>219</v>
      </c>
      <c r="L31" s="24" t="s">
        <v>67</v>
      </c>
      <c r="M31" s="24" t="s">
        <v>179</v>
      </c>
      <c r="N31" s="24" t="s">
        <v>179</v>
      </c>
      <c r="O31" s="25">
        <v>0.7</v>
      </c>
      <c r="P31" s="24"/>
      <c r="Q31" s="24"/>
      <c r="R31" s="24"/>
      <c r="S31" s="24"/>
      <c r="T31" s="24"/>
      <c r="U31" s="24"/>
      <c r="V31" s="24">
        <v>2.4</v>
      </c>
      <c r="W31" s="24"/>
      <c r="XDO31"/>
      <c r="XDP31"/>
      <c r="XDQ31"/>
      <c r="XDR31"/>
      <c r="XDS31"/>
    </row>
    <row r="32" s="21" customFormat="1" spans="1:16347">
      <c r="A32" s="24" t="s">
        <v>58</v>
      </c>
      <c r="B32" s="25" t="s">
        <v>59</v>
      </c>
      <c r="C32" s="24" t="s">
        <v>60</v>
      </c>
      <c r="D32" s="24" t="s">
        <v>220</v>
      </c>
      <c r="E32" s="24" t="s">
        <v>221</v>
      </c>
      <c r="F32" s="24" t="s">
        <v>222</v>
      </c>
      <c r="G32" s="24" t="s">
        <v>218</v>
      </c>
      <c r="H32" s="24"/>
      <c r="I32" s="25">
        <v>3</v>
      </c>
      <c r="J32" s="24" t="s">
        <v>65</v>
      </c>
      <c r="K32" s="24" t="s">
        <v>223</v>
      </c>
      <c r="L32" s="24" t="s">
        <v>67</v>
      </c>
      <c r="M32" s="24" t="s">
        <v>74</v>
      </c>
      <c r="N32" s="24" t="s">
        <v>74</v>
      </c>
      <c r="O32" s="25">
        <v>0.5</v>
      </c>
      <c r="P32" s="24"/>
      <c r="Q32" s="24"/>
      <c r="R32" s="24"/>
      <c r="S32" s="24">
        <v>0.2</v>
      </c>
      <c r="T32" s="24"/>
      <c r="U32" s="24"/>
      <c r="V32" s="24">
        <v>2.3</v>
      </c>
      <c r="W32" s="24"/>
      <c r="XDO32"/>
      <c r="XDP32"/>
      <c r="XDQ32"/>
      <c r="XDR32"/>
      <c r="XDS32"/>
    </row>
    <row r="33" s="21" customFormat="1" spans="1:16347">
      <c r="A33" s="24" t="s">
        <v>58</v>
      </c>
      <c r="B33" s="25" t="s">
        <v>59</v>
      </c>
      <c r="C33" s="24" t="s">
        <v>60</v>
      </c>
      <c r="D33" s="24" t="s">
        <v>224</v>
      </c>
      <c r="E33" s="24" t="s">
        <v>225</v>
      </c>
      <c r="F33" s="24" t="s">
        <v>226</v>
      </c>
      <c r="G33" s="24" t="s">
        <v>218</v>
      </c>
      <c r="H33" s="24"/>
      <c r="I33" s="25">
        <v>3</v>
      </c>
      <c r="J33" s="24" t="s">
        <v>65</v>
      </c>
      <c r="K33" s="24" t="s">
        <v>227</v>
      </c>
      <c r="L33" s="24" t="s">
        <v>67</v>
      </c>
      <c r="M33" s="24" t="s">
        <v>74</v>
      </c>
      <c r="N33" s="24" t="s">
        <v>74</v>
      </c>
      <c r="O33" s="25">
        <v>0.5</v>
      </c>
      <c r="P33" s="24"/>
      <c r="Q33" s="24"/>
      <c r="R33" s="24"/>
      <c r="S33" s="24">
        <v>0.2</v>
      </c>
      <c r="T33" s="24"/>
      <c r="U33" s="24"/>
      <c r="V33" s="24">
        <v>2.3</v>
      </c>
      <c r="W33" s="24"/>
      <c r="XDO33"/>
      <c r="XDP33"/>
      <c r="XDQ33"/>
      <c r="XDR33"/>
      <c r="XDS33"/>
    </row>
    <row r="34" s="21" customFormat="1" spans="1:16347">
      <c r="A34" s="24" t="s">
        <v>58</v>
      </c>
      <c r="B34" s="25" t="s">
        <v>59</v>
      </c>
      <c r="C34" s="24" t="s">
        <v>60</v>
      </c>
      <c r="D34" s="24" t="s">
        <v>228</v>
      </c>
      <c r="E34" s="24" t="s">
        <v>229</v>
      </c>
      <c r="F34" s="24" t="s">
        <v>230</v>
      </c>
      <c r="G34" s="24" t="s">
        <v>231</v>
      </c>
      <c r="H34" s="24"/>
      <c r="I34" s="25">
        <v>3</v>
      </c>
      <c r="J34" s="24" t="s">
        <v>65</v>
      </c>
      <c r="K34" s="24" t="s">
        <v>232</v>
      </c>
      <c r="L34" s="24" t="s">
        <v>67</v>
      </c>
      <c r="M34" s="24" t="s">
        <v>74</v>
      </c>
      <c r="N34" s="24" t="s">
        <v>74</v>
      </c>
      <c r="O34" s="25">
        <v>0.5</v>
      </c>
      <c r="P34" s="24"/>
      <c r="Q34" s="24"/>
      <c r="R34" s="24"/>
      <c r="S34" s="24">
        <v>0.2</v>
      </c>
      <c r="T34" s="24"/>
      <c r="U34" s="24"/>
      <c r="V34" s="24">
        <v>2.3</v>
      </c>
      <c r="W34" s="24"/>
      <c r="XDO34"/>
      <c r="XDP34"/>
      <c r="XDQ34"/>
      <c r="XDR34"/>
      <c r="XDS34"/>
    </row>
    <row r="35" s="21" customFormat="1" spans="1:16347">
      <c r="A35" s="24" t="s">
        <v>58</v>
      </c>
      <c r="B35" s="25" t="s">
        <v>59</v>
      </c>
      <c r="C35" s="24" t="s">
        <v>60</v>
      </c>
      <c r="D35" s="24" t="s">
        <v>233</v>
      </c>
      <c r="E35" s="24" t="s">
        <v>234</v>
      </c>
      <c r="F35" s="24" t="s">
        <v>235</v>
      </c>
      <c r="G35" s="24" t="s">
        <v>231</v>
      </c>
      <c r="H35" s="24"/>
      <c r="I35" s="25">
        <v>4.8</v>
      </c>
      <c r="J35" s="24" t="s">
        <v>65</v>
      </c>
      <c r="K35" s="24" t="s">
        <v>236</v>
      </c>
      <c r="L35" s="24" t="s">
        <v>67</v>
      </c>
      <c r="M35" s="24" t="s">
        <v>164</v>
      </c>
      <c r="N35" s="24" t="s">
        <v>164</v>
      </c>
      <c r="O35" s="25">
        <v>2</v>
      </c>
      <c r="P35" s="24"/>
      <c r="Q35" s="24"/>
      <c r="R35" s="24"/>
      <c r="S35" s="24"/>
      <c r="T35" s="24"/>
      <c r="U35" s="24"/>
      <c r="V35" s="24">
        <v>2.8</v>
      </c>
      <c r="W35" s="24"/>
      <c r="XDO35"/>
      <c r="XDP35"/>
      <c r="XDQ35"/>
      <c r="XDR35"/>
      <c r="XDS35"/>
    </row>
    <row r="36" s="21" customFormat="1" spans="1:16347">
      <c r="A36" s="24" t="s">
        <v>58</v>
      </c>
      <c r="B36" s="25" t="s">
        <v>59</v>
      </c>
      <c r="C36" s="24" t="s">
        <v>60</v>
      </c>
      <c r="D36" s="24" t="s">
        <v>237</v>
      </c>
      <c r="E36" s="24" t="s">
        <v>238</v>
      </c>
      <c r="F36" s="24" t="s">
        <v>239</v>
      </c>
      <c r="G36" s="24" t="s">
        <v>231</v>
      </c>
      <c r="H36" s="24"/>
      <c r="I36" s="25">
        <v>4.8</v>
      </c>
      <c r="J36" s="24" t="s">
        <v>65</v>
      </c>
      <c r="K36" s="24" t="s">
        <v>240</v>
      </c>
      <c r="L36" s="24" t="s">
        <v>67</v>
      </c>
      <c r="M36" s="24" t="s">
        <v>241</v>
      </c>
      <c r="N36" s="24" t="s">
        <v>241</v>
      </c>
      <c r="O36" s="25">
        <v>2</v>
      </c>
      <c r="P36" s="24"/>
      <c r="Q36" s="24"/>
      <c r="R36" s="24"/>
      <c r="S36" s="24"/>
      <c r="T36" s="24"/>
      <c r="U36" s="24"/>
      <c r="V36" s="24">
        <v>2.8</v>
      </c>
      <c r="W36" s="24"/>
      <c r="XDO36"/>
      <c r="XDP36"/>
      <c r="XDQ36"/>
      <c r="XDR36"/>
      <c r="XDS36"/>
    </row>
    <row r="37" s="21" customFormat="1" spans="1:16347">
      <c r="A37" s="24" t="s">
        <v>58</v>
      </c>
      <c r="B37" s="25" t="s">
        <v>59</v>
      </c>
      <c r="C37" s="24" t="s">
        <v>60</v>
      </c>
      <c r="D37" s="24" t="s">
        <v>242</v>
      </c>
      <c r="E37" s="24" t="s">
        <v>243</v>
      </c>
      <c r="F37" s="24" t="s">
        <v>244</v>
      </c>
      <c r="G37" s="24" t="s">
        <v>231</v>
      </c>
      <c r="H37" s="24"/>
      <c r="I37" s="25">
        <v>2.8</v>
      </c>
      <c r="J37" s="24" t="s">
        <v>65</v>
      </c>
      <c r="K37" s="24" t="s">
        <v>245</v>
      </c>
      <c r="L37" s="24" t="s">
        <v>67</v>
      </c>
      <c r="M37" s="24" t="s">
        <v>209</v>
      </c>
      <c r="N37" s="24" t="s">
        <v>209</v>
      </c>
      <c r="O37" s="25">
        <v>0.5</v>
      </c>
      <c r="P37" s="24"/>
      <c r="Q37" s="24"/>
      <c r="R37" s="24"/>
      <c r="S37" s="24"/>
      <c r="T37" s="24"/>
      <c r="U37" s="24"/>
      <c r="V37" s="24">
        <v>2.3</v>
      </c>
      <c r="W37" s="24"/>
      <c r="XDO37"/>
      <c r="XDP37"/>
      <c r="XDQ37"/>
      <c r="XDR37"/>
      <c r="XDS37"/>
    </row>
    <row r="38" s="21" customFormat="1" spans="1:16347">
      <c r="A38" s="24" t="s">
        <v>58</v>
      </c>
      <c r="B38" s="25" t="s">
        <v>59</v>
      </c>
      <c r="C38" s="24" t="s">
        <v>60</v>
      </c>
      <c r="D38" s="24" t="s">
        <v>246</v>
      </c>
      <c r="E38" s="24" t="s">
        <v>247</v>
      </c>
      <c r="F38" s="24" t="s">
        <v>248</v>
      </c>
      <c r="G38" s="24" t="s">
        <v>249</v>
      </c>
      <c r="H38" s="24"/>
      <c r="I38" s="25">
        <v>3.1</v>
      </c>
      <c r="J38" s="24" t="s">
        <v>65</v>
      </c>
      <c r="K38" s="24" t="s">
        <v>250</v>
      </c>
      <c r="L38" s="24" t="s">
        <v>67</v>
      </c>
      <c r="M38" s="24" t="s">
        <v>200</v>
      </c>
      <c r="N38" s="24" t="s">
        <v>200</v>
      </c>
      <c r="O38" s="25">
        <v>0.7</v>
      </c>
      <c r="P38" s="24"/>
      <c r="Q38" s="24"/>
      <c r="R38" s="24"/>
      <c r="S38" s="24"/>
      <c r="T38" s="24"/>
      <c r="U38" s="24"/>
      <c r="V38" s="24">
        <v>2.4</v>
      </c>
      <c r="W38" s="24"/>
      <c r="XDO38"/>
      <c r="XDP38"/>
      <c r="XDQ38"/>
      <c r="XDR38"/>
      <c r="XDS38"/>
    </row>
    <row r="39" s="21" customFormat="1" spans="1:16347">
      <c r="A39" s="24" t="s">
        <v>58</v>
      </c>
      <c r="B39" s="25" t="s">
        <v>59</v>
      </c>
      <c r="C39" s="24" t="s">
        <v>60</v>
      </c>
      <c r="D39" s="24" t="s">
        <v>251</v>
      </c>
      <c r="E39" s="24" t="s">
        <v>252</v>
      </c>
      <c r="F39" s="24" t="s">
        <v>253</v>
      </c>
      <c r="G39" s="24" t="s">
        <v>254</v>
      </c>
      <c r="H39" s="24"/>
      <c r="I39" s="25">
        <v>3</v>
      </c>
      <c r="J39" s="24" t="s">
        <v>65</v>
      </c>
      <c r="K39" s="24" t="s">
        <v>255</v>
      </c>
      <c r="L39" s="24" t="s">
        <v>67</v>
      </c>
      <c r="M39" s="24" t="s">
        <v>79</v>
      </c>
      <c r="N39" s="24" t="s">
        <v>79</v>
      </c>
      <c r="O39" s="25">
        <v>0.7</v>
      </c>
      <c r="P39" s="24"/>
      <c r="Q39" s="24"/>
      <c r="R39" s="24"/>
      <c r="S39" s="24"/>
      <c r="T39" s="24"/>
      <c r="U39" s="24"/>
      <c r="V39" s="24">
        <v>2.3</v>
      </c>
      <c r="W39" s="24"/>
      <c r="XDO39"/>
      <c r="XDP39"/>
      <c r="XDQ39"/>
      <c r="XDR39"/>
      <c r="XDS39"/>
    </row>
    <row r="40" s="21" customFormat="1" spans="1:16347">
      <c r="A40" s="24" t="s">
        <v>58</v>
      </c>
      <c r="B40" s="25" t="s">
        <v>59</v>
      </c>
      <c r="C40" s="24" t="s">
        <v>60</v>
      </c>
      <c r="D40" s="24" t="s">
        <v>256</v>
      </c>
      <c r="E40" s="24" t="s">
        <v>257</v>
      </c>
      <c r="F40" s="24" t="s">
        <v>258</v>
      </c>
      <c r="G40" s="24" t="s">
        <v>259</v>
      </c>
      <c r="H40" s="24"/>
      <c r="I40" s="25">
        <v>3</v>
      </c>
      <c r="J40" s="24" t="s">
        <v>65</v>
      </c>
      <c r="K40" s="24" t="s">
        <v>260</v>
      </c>
      <c r="L40" s="24" t="s">
        <v>67</v>
      </c>
      <c r="M40" s="24" t="s">
        <v>79</v>
      </c>
      <c r="N40" s="24" t="s">
        <v>79</v>
      </c>
      <c r="O40" s="25">
        <v>0.7</v>
      </c>
      <c r="P40" s="24"/>
      <c r="Q40" s="24"/>
      <c r="R40" s="24"/>
      <c r="S40" s="24"/>
      <c r="T40" s="24"/>
      <c r="U40" s="24"/>
      <c r="V40" s="24">
        <v>2.3</v>
      </c>
      <c r="W40" s="24"/>
      <c r="XDO40"/>
      <c r="XDP40"/>
      <c r="XDQ40"/>
      <c r="XDR40"/>
      <c r="XDS40"/>
    </row>
    <row r="41" s="21" customFormat="1" spans="1:16347">
      <c r="A41" s="24" t="s">
        <v>58</v>
      </c>
      <c r="B41" s="25" t="s">
        <v>59</v>
      </c>
      <c r="C41" s="24" t="s">
        <v>60</v>
      </c>
      <c r="D41" s="24" t="s">
        <v>261</v>
      </c>
      <c r="E41" s="24" t="s">
        <v>262</v>
      </c>
      <c r="F41" s="24" t="s">
        <v>263</v>
      </c>
      <c r="G41" s="24" t="s">
        <v>254</v>
      </c>
      <c r="H41" s="24"/>
      <c r="I41" s="25">
        <v>3</v>
      </c>
      <c r="J41" s="24" t="s">
        <v>65</v>
      </c>
      <c r="K41" s="24" t="s">
        <v>264</v>
      </c>
      <c r="L41" s="24" t="s">
        <v>67</v>
      </c>
      <c r="M41" s="24" t="s">
        <v>79</v>
      </c>
      <c r="N41" s="24" t="s">
        <v>79</v>
      </c>
      <c r="O41" s="25">
        <v>0.7</v>
      </c>
      <c r="P41" s="24"/>
      <c r="Q41" s="24"/>
      <c r="R41" s="24"/>
      <c r="S41" s="24"/>
      <c r="T41" s="24"/>
      <c r="U41" s="24"/>
      <c r="V41" s="24">
        <v>2.3</v>
      </c>
      <c r="W41" s="24"/>
      <c r="XDO41"/>
      <c r="XDP41"/>
      <c r="XDQ41"/>
      <c r="XDR41"/>
      <c r="XDS41"/>
    </row>
    <row r="42" s="21" customFormat="1" spans="1:16347">
      <c r="A42" s="24" t="s">
        <v>58</v>
      </c>
      <c r="B42" s="25" t="s">
        <v>59</v>
      </c>
      <c r="C42" s="24" t="s">
        <v>60</v>
      </c>
      <c r="D42" s="24" t="s">
        <v>265</v>
      </c>
      <c r="E42" s="24" t="s">
        <v>266</v>
      </c>
      <c r="F42" s="24" t="s">
        <v>267</v>
      </c>
      <c r="G42" s="24" t="s">
        <v>259</v>
      </c>
      <c r="H42" s="24"/>
      <c r="I42" s="25">
        <v>3</v>
      </c>
      <c r="J42" s="24" t="s">
        <v>65</v>
      </c>
      <c r="K42" s="24" t="s">
        <v>268</v>
      </c>
      <c r="L42" s="24" t="s">
        <v>67</v>
      </c>
      <c r="M42" s="24" t="s">
        <v>74</v>
      </c>
      <c r="N42" s="24" t="s">
        <v>74</v>
      </c>
      <c r="O42" s="25">
        <v>0.5</v>
      </c>
      <c r="P42" s="24"/>
      <c r="Q42" s="24"/>
      <c r="R42" s="24"/>
      <c r="S42" s="24">
        <v>0.2</v>
      </c>
      <c r="T42" s="24"/>
      <c r="U42" s="24"/>
      <c r="V42" s="24">
        <v>2.3</v>
      </c>
      <c r="W42" s="24"/>
      <c r="XDO42"/>
      <c r="XDP42"/>
      <c r="XDQ42"/>
      <c r="XDR42"/>
      <c r="XDS42"/>
    </row>
    <row r="43" s="21" customFormat="1" spans="1:16347">
      <c r="A43" s="24" t="s">
        <v>58</v>
      </c>
      <c r="B43" s="25" t="s">
        <v>59</v>
      </c>
      <c r="C43" s="24" t="s">
        <v>60</v>
      </c>
      <c r="D43" s="24" t="s">
        <v>269</v>
      </c>
      <c r="E43" s="24" t="s">
        <v>270</v>
      </c>
      <c r="F43" s="24" t="s">
        <v>271</v>
      </c>
      <c r="G43" s="24" t="s">
        <v>259</v>
      </c>
      <c r="H43" s="24"/>
      <c r="I43" s="25">
        <v>3</v>
      </c>
      <c r="J43" s="24" t="s">
        <v>65</v>
      </c>
      <c r="K43" s="24" t="s">
        <v>272</v>
      </c>
      <c r="L43" s="24" t="s">
        <v>67</v>
      </c>
      <c r="M43" s="24" t="s">
        <v>74</v>
      </c>
      <c r="N43" s="24" t="s">
        <v>74</v>
      </c>
      <c r="O43" s="25">
        <v>0.5</v>
      </c>
      <c r="P43" s="24"/>
      <c r="Q43" s="24"/>
      <c r="R43" s="24"/>
      <c r="S43" s="24">
        <v>0.2</v>
      </c>
      <c r="T43" s="24"/>
      <c r="U43" s="24"/>
      <c r="V43" s="24">
        <v>2.3</v>
      </c>
      <c r="W43" s="24"/>
      <c r="XDO43"/>
      <c r="XDP43"/>
      <c r="XDQ43"/>
      <c r="XDR43"/>
      <c r="XDS43"/>
    </row>
    <row r="44" s="21" customFormat="1" spans="1:16347">
      <c r="A44" s="24" t="s">
        <v>58</v>
      </c>
      <c r="B44" s="25" t="s">
        <v>59</v>
      </c>
      <c r="C44" s="24" t="s">
        <v>60</v>
      </c>
      <c r="D44" s="24" t="s">
        <v>273</v>
      </c>
      <c r="E44" s="24" t="s">
        <v>274</v>
      </c>
      <c r="F44" s="24" t="s">
        <v>275</v>
      </c>
      <c r="G44" s="24" t="s">
        <v>276</v>
      </c>
      <c r="H44" s="24"/>
      <c r="I44" s="25">
        <v>2.8</v>
      </c>
      <c r="J44" s="24" t="s">
        <v>65</v>
      </c>
      <c r="K44" s="24" t="s">
        <v>277</v>
      </c>
      <c r="L44" s="24" t="s">
        <v>67</v>
      </c>
      <c r="M44" s="24" t="s">
        <v>209</v>
      </c>
      <c r="N44" s="24" t="s">
        <v>209</v>
      </c>
      <c r="O44" s="25">
        <v>0.5</v>
      </c>
      <c r="P44" s="24"/>
      <c r="Q44" s="24"/>
      <c r="R44" s="24"/>
      <c r="S44" s="24"/>
      <c r="T44" s="24"/>
      <c r="U44" s="24"/>
      <c r="V44" s="24">
        <v>2.3</v>
      </c>
      <c r="W44" s="24"/>
      <c r="XDO44"/>
      <c r="XDP44"/>
      <c r="XDQ44"/>
      <c r="XDR44"/>
      <c r="XDS44"/>
    </row>
    <row r="45" s="21" customFormat="1" spans="1:16347">
      <c r="A45" s="24" t="s">
        <v>58</v>
      </c>
      <c r="B45" s="25" t="s">
        <v>59</v>
      </c>
      <c r="C45" s="24" t="s">
        <v>60</v>
      </c>
      <c r="D45" s="24" t="s">
        <v>278</v>
      </c>
      <c r="E45" s="24" t="s">
        <v>279</v>
      </c>
      <c r="F45" s="24" t="s">
        <v>280</v>
      </c>
      <c r="G45" s="24" t="s">
        <v>276</v>
      </c>
      <c r="H45" s="24"/>
      <c r="I45" s="25">
        <v>3.3</v>
      </c>
      <c r="J45" s="24" t="s">
        <v>65</v>
      </c>
      <c r="K45" s="24" t="s">
        <v>281</v>
      </c>
      <c r="L45" s="24" t="s">
        <v>67</v>
      </c>
      <c r="M45" s="24" t="s">
        <v>79</v>
      </c>
      <c r="N45" s="24" t="s">
        <v>79</v>
      </c>
      <c r="O45" s="25">
        <v>0.7</v>
      </c>
      <c r="P45" s="24"/>
      <c r="Q45" s="24"/>
      <c r="R45" s="24"/>
      <c r="S45" s="24">
        <v>0.3</v>
      </c>
      <c r="T45" s="24"/>
      <c r="U45" s="24"/>
      <c r="V45" s="24">
        <v>2.3</v>
      </c>
      <c r="W45" s="24"/>
      <c r="XDO45"/>
      <c r="XDP45"/>
      <c r="XDQ45"/>
      <c r="XDR45"/>
      <c r="XDS45"/>
    </row>
    <row r="46" s="21" customFormat="1" spans="1:16347">
      <c r="A46" s="24" t="s">
        <v>58</v>
      </c>
      <c r="B46" s="25" t="s">
        <v>59</v>
      </c>
      <c r="C46" s="24" t="s">
        <v>60</v>
      </c>
      <c r="D46" s="24" t="s">
        <v>282</v>
      </c>
      <c r="E46" s="24" t="s">
        <v>283</v>
      </c>
      <c r="F46" s="24" t="s">
        <v>284</v>
      </c>
      <c r="G46" s="24" t="s">
        <v>285</v>
      </c>
      <c r="H46" s="24"/>
      <c r="I46" s="25">
        <v>3.3</v>
      </c>
      <c r="J46" s="24" t="s">
        <v>65</v>
      </c>
      <c r="K46" s="24" t="s">
        <v>286</v>
      </c>
      <c r="L46" s="24" t="s">
        <v>67</v>
      </c>
      <c r="M46" s="24" t="s">
        <v>209</v>
      </c>
      <c r="N46" s="24" t="s">
        <v>209</v>
      </c>
      <c r="O46" s="25">
        <v>0.5</v>
      </c>
      <c r="P46" s="24"/>
      <c r="Q46" s="24"/>
      <c r="R46" s="24"/>
      <c r="S46" s="24">
        <v>0.5</v>
      </c>
      <c r="T46" s="24"/>
      <c r="U46" s="24"/>
      <c r="V46" s="24">
        <v>2.3</v>
      </c>
      <c r="W46" s="24"/>
      <c r="XDO46"/>
      <c r="XDP46"/>
      <c r="XDQ46"/>
      <c r="XDR46"/>
      <c r="XDS46"/>
    </row>
    <row r="47" s="21" customFormat="1" spans="1:16347">
      <c r="A47" s="24" t="s">
        <v>58</v>
      </c>
      <c r="B47" s="25" t="s">
        <v>59</v>
      </c>
      <c r="C47" s="24" t="s">
        <v>60</v>
      </c>
      <c r="D47" s="24" t="s">
        <v>287</v>
      </c>
      <c r="E47" s="24" t="s">
        <v>288</v>
      </c>
      <c r="F47" s="24" t="s">
        <v>289</v>
      </c>
      <c r="G47" s="24" t="s">
        <v>290</v>
      </c>
      <c r="H47" s="24"/>
      <c r="I47" s="25">
        <v>3</v>
      </c>
      <c r="J47" s="24" t="s">
        <v>65</v>
      </c>
      <c r="K47" s="24" t="s">
        <v>291</v>
      </c>
      <c r="L47" s="24" t="s">
        <v>67</v>
      </c>
      <c r="M47" s="24" t="s">
        <v>74</v>
      </c>
      <c r="N47" s="24" t="s">
        <v>74</v>
      </c>
      <c r="O47" s="25">
        <v>0.5</v>
      </c>
      <c r="P47" s="24"/>
      <c r="Q47" s="24"/>
      <c r="R47" s="24"/>
      <c r="S47" s="24">
        <v>0.2</v>
      </c>
      <c r="T47" s="24"/>
      <c r="U47" s="24"/>
      <c r="V47" s="24">
        <v>2.3</v>
      </c>
      <c r="W47" s="24"/>
      <c r="XDO47"/>
      <c r="XDP47"/>
      <c r="XDQ47"/>
      <c r="XDR47"/>
      <c r="XDS47"/>
    </row>
    <row r="48" s="21" customFormat="1" spans="1:16347">
      <c r="A48" s="24" t="s">
        <v>58</v>
      </c>
      <c r="B48" s="25" t="s">
        <v>59</v>
      </c>
      <c r="C48" s="24" t="s">
        <v>60</v>
      </c>
      <c r="D48" s="24" t="s">
        <v>292</v>
      </c>
      <c r="E48" s="24" t="s">
        <v>293</v>
      </c>
      <c r="F48" s="24" t="s">
        <v>294</v>
      </c>
      <c r="G48" s="24" t="s">
        <v>290</v>
      </c>
      <c r="H48" s="24"/>
      <c r="I48" s="25">
        <v>3.6</v>
      </c>
      <c r="J48" s="24" t="s">
        <v>65</v>
      </c>
      <c r="K48" s="24" t="s">
        <v>295</v>
      </c>
      <c r="L48" s="24" t="s">
        <v>67</v>
      </c>
      <c r="M48" s="24" t="s">
        <v>179</v>
      </c>
      <c r="N48" s="24" t="s">
        <v>179</v>
      </c>
      <c r="O48" s="25">
        <v>0.7</v>
      </c>
      <c r="P48" s="24"/>
      <c r="Q48" s="24"/>
      <c r="R48" s="24"/>
      <c r="S48" s="24">
        <v>0.5</v>
      </c>
      <c r="T48" s="24"/>
      <c r="U48" s="24"/>
      <c r="V48" s="24">
        <v>2.4</v>
      </c>
      <c r="W48" s="24"/>
      <c r="XDO48"/>
      <c r="XDP48"/>
      <c r="XDQ48"/>
      <c r="XDR48"/>
      <c r="XDS48"/>
    </row>
    <row r="49" s="21" customFormat="1" spans="1:16347">
      <c r="A49" s="24" t="s">
        <v>58</v>
      </c>
      <c r="B49" s="25" t="s">
        <v>59</v>
      </c>
      <c r="C49" s="24" t="s">
        <v>60</v>
      </c>
      <c r="D49" s="24" t="s">
        <v>296</v>
      </c>
      <c r="E49" s="24" t="s">
        <v>297</v>
      </c>
      <c r="F49" s="24" t="s">
        <v>298</v>
      </c>
      <c r="G49" s="24" t="s">
        <v>285</v>
      </c>
      <c r="H49" s="24"/>
      <c r="I49" s="25">
        <v>3.3</v>
      </c>
      <c r="J49" s="24" t="s">
        <v>65</v>
      </c>
      <c r="K49" s="24" t="s">
        <v>299</v>
      </c>
      <c r="L49" s="24" t="s">
        <v>67</v>
      </c>
      <c r="M49" s="24" t="s">
        <v>79</v>
      </c>
      <c r="N49" s="24" t="s">
        <v>79</v>
      </c>
      <c r="O49" s="25">
        <v>0.7</v>
      </c>
      <c r="P49" s="24"/>
      <c r="Q49" s="24"/>
      <c r="R49" s="24"/>
      <c r="S49" s="24">
        <v>0.3</v>
      </c>
      <c r="T49" s="24"/>
      <c r="U49" s="24"/>
      <c r="V49" s="24">
        <v>2.3</v>
      </c>
      <c r="W49" s="24"/>
      <c r="XDO49"/>
      <c r="XDP49"/>
      <c r="XDQ49"/>
      <c r="XDR49"/>
      <c r="XDS49"/>
    </row>
    <row r="50" s="21" customFormat="1" spans="1:16347">
      <c r="A50" s="24" t="s">
        <v>58</v>
      </c>
      <c r="B50" s="25" t="s">
        <v>59</v>
      </c>
      <c r="C50" s="24" t="s">
        <v>60</v>
      </c>
      <c r="D50" s="24" t="s">
        <v>300</v>
      </c>
      <c r="E50" s="24" t="s">
        <v>301</v>
      </c>
      <c r="F50" s="24" t="s">
        <v>302</v>
      </c>
      <c r="G50" s="24" t="s">
        <v>303</v>
      </c>
      <c r="H50" s="24"/>
      <c r="I50" s="25">
        <v>3</v>
      </c>
      <c r="J50" s="24" t="s">
        <v>65</v>
      </c>
      <c r="K50" s="24" t="s">
        <v>304</v>
      </c>
      <c r="L50" s="24" t="s">
        <v>67</v>
      </c>
      <c r="M50" s="24" t="s">
        <v>74</v>
      </c>
      <c r="N50" s="24" t="s">
        <v>74</v>
      </c>
      <c r="O50" s="25">
        <v>0.5</v>
      </c>
      <c r="P50" s="24"/>
      <c r="Q50" s="24"/>
      <c r="R50" s="24"/>
      <c r="S50" s="24">
        <v>0.2</v>
      </c>
      <c r="T50" s="24"/>
      <c r="U50" s="24"/>
      <c r="V50" s="24">
        <v>2.3</v>
      </c>
      <c r="W50" s="24"/>
      <c r="XDO50"/>
      <c r="XDP50"/>
      <c r="XDQ50"/>
      <c r="XDR50"/>
      <c r="XDS50"/>
    </row>
    <row r="51" s="21" customFormat="1" spans="1:16347">
      <c r="A51" s="24" t="s">
        <v>58</v>
      </c>
      <c r="B51" s="25" t="s">
        <v>59</v>
      </c>
      <c r="C51" s="24" t="s">
        <v>60</v>
      </c>
      <c r="D51" s="24" t="s">
        <v>305</v>
      </c>
      <c r="E51" s="24" t="s">
        <v>306</v>
      </c>
      <c r="F51" s="24" t="s">
        <v>307</v>
      </c>
      <c r="G51" s="24" t="s">
        <v>308</v>
      </c>
      <c r="H51" s="24"/>
      <c r="I51" s="28">
        <v>6.8</v>
      </c>
      <c r="J51" s="24" t="s">
        <v>65</v>
      </c>
      <c r="K51" s="24" t="s">
        <v>309</v>
      </c>
      <c r="L51" s="24" t="s">
        <v>67</v>
      </c>
      <c r="M51" s="24" t="s">
        <v>310</v>
      </c>
      <c r="N51" s="24" t="s">
        <v>310</v>
      </c>
      <c r="O51" s="25">
        <v>2.8</v>
      </c>
      <c r="P51" s="24"/>
      <c r="Q51" s="24"/>
      <c r="R51" s="24"/>
      <c r="S51" s="24">
        <v>0.5</v>
      </c>
      <c r="T51" s="24"/>
      <c r="U51" s="24"/>
      <c r="V51" s="24">
        <v>3.5</v>
      </c>
      <c r="W51" s="24"/>
      <c r="XDO51"/>
      <c r="XDP51"/>
      <c r="XDQ51"/>
      <c r="XDR51"/>
      <c r="XDS51"/>
    </row>
    <row r="52" s="21" customFormat="1" spans="1:16347">
      <c r="A52" s="24" t="s">
        <v>58</v>
      </c>
      <c r="B52" s="25" t="s">
        <v>59</v>
      </c>
      <c r="C52" s="24" t="s">
        <v>60</v>
      </c>
      <c r="D52" s="24" t="s">
        <v>311</v>
      </c>
      <c r="E52" s="24" t="s">
        <v>312</v>
      </c>
      <c r="F52" s="24" t="s">
        <v>313</v>
      </c>
      <c r="G52" s="24" t="s">
        <v>308</v>
      </c>
      <c r="H52" s="24"/>
      <c r="I52" s="25">
        <v>3</v>
      </c>
      <c r="J52" s="24" t="s">
        <v>65</v>
      </c>
      <c r="K52" s="24" t="s">
        <v>314</v>
      </c>
      <c r="L52" s="24" t="s">
        <v>67</v>
      </c>
      <c r="M52" s="24" t="s">
        <v>74</v>
      </c>
      <c r="N52" s="24" t="s">
        <v>74</v>
      </c>
      <c r="O52" s="25">
        <v>0.5</v>
      </c>
      <c r="P52" s="24"/>
      <c r="Q52" s="24"/>
      <c r="R52" s="24"/>
      <c r="S52" s="24">
        <v>0.2</v>
      </c>
      <c r="T52" s="24"/>
      <c r="U52" s="24"/>
      <c r="V52" s="24">
        <v>2.3</v>
      </c>
      <c r="W52" s="24"/>
      <c r="XDO52"/>
      <c r="XDP52"/>
      <c r="XDQ52"/>
      <c r="XDR52"/>
      <c r="XDS52"/>
    </row>
    <row r="53" s="21" customFormat="1" spans="1:16347">
      <c r="A53" s="24" t="s">
        <v>58</v>
      </c>
      <c r="B53" s="25" t="s">
        <v>59</v>
      </c>
      <c r="C53" s="24" t="s">
        <v>60</v>
      </c>
      <c r="D53" s="24" t="s">
        <v>315</v>
      </c>
      <c r="E53" s="24" t="s">
        <v>316</v>
      </c>
      <c r="F53" s="24" t="s">
        <v>317</v>
      </c>
      <c r="G53" s="24" t="s">
        <v>308</v>
      </c>
      <c r="H53" s="24"/>
      <c r="I53" s="25">
        <v>3.3</v>
      </c>
      <c r="J53" s="24" t="s">
        <v>65</v>
      </c>
      <c r="K53" s="24" t="s">
        <v>318</v>
      </c>
      <c r="L53" s="24" t="s">
        <v>67</v>
      </c>
      <c r="M53" s="24" t="s">
        <v>79</v>
      </c>
      <c r="N53" s="24" t="s">
        <v>79</v>
      </c>
      <c r="O53" s="25">
        <v>0.7</v>
      </c>
      <c r="P53" s="24"/>
      <c r="Q53" s="24"/>
      <c r="R53" s="24"/>
      <c r="S53" s="24">
        <v>0.3</v>
      </c>
      <c r="T53" s="24"/>
      <c r="U53" s="24"/>
      <c r="V53" s="24">
        <v>2.3</v>
      </c>
      <c r="W53" s="24"/>
      <c r="XDO53"/>
      <c r="XDP53"/>
      <c r="XDQ53"/>
      <c r="XDR53"/>
      <c r="XDS53"/>
    </row>
    <row r="54" s="21" customFormat="1" spans="1:16347">
      <c r="A54" s="24" t="s">
        <v>58</v>
      </c>
      <c r="B54" s="25" t="s">
        <v>59</v>
      </c>
      <c r="C54" s="24" t="s">
        <v>60</v>
      </c>
      <c r="D54" s="24" t="s">
        <v>319</v>
      </c>
      <c r="E54" s="24" t="s">
        <v>320</v>
      </c>
      <c r="F54" s="24" t="s">
        <v>321</v>
      </c>
      <c r="G54" s="24" t="s">
        <v>303</v>
      </c>
      <c r="H54" s="24"/>
      <c r="I54" s="25">
        <v>3.3</v>
      </c>
      <c r="J54" s="24" t="s">
        <v>65</v>
      </c>
      <c r="K54" s="24" t="s">
        <v>322</v>
      </c>
      <c r="L54" s="24" t="s">
        <v>67</v>
      </c>
      <c r="M54" s="24" t="s">
        <v>79</v>
      </c>
      <c r="N54" s="24" t="s">
        <v>79</v>
      </c>
      <c r="O54" s="25">
        <v>0.7</v>
      </c>
      <c r="P54" s="24"/>
      <c r="Q54" s="24"/>
      <c r="R54" s="24"/>
      <c r="S54" s="24">
        <v>0.3</v>
      </c>
      <c r="T54" s="24"/>
      <c r="U54" s="24"/>
      <c r="V54" s="24">
        <v>2.3</v>
      </c>
      <c r="W54" s="24"/>
      <c r="XDO54"/>
      <c r="XDP54"/>
      <c r="XDQ54"/>
      <c r="XDR54"/>
      <c r="XDS54"/>
    </row>
    <row r="55" s="21" customFormat="1" spans="1:16347">
      <c r="A55" s="24" t="s">
        <v>58</v>
      </c>
      <c r="B55" s="25" t="s">
        <v>59</v>
      </c>
      <c r="C55" s="24" t="s">
        <v>60</v>
      </c>
      <c r="D55" s="24" t="s">
        <v>323</v>
      </c>
      <c r="E55" s="24" t="s">
        <v>324</v>
      </c>
      <c r="F55" s="24" t="s">
        <v>325</v>
      </c>
      <c r="G55" s="24" t="s">
        <v>308</v>
      </c>
      <c r="H55" s="24"/>
      <c r="I55" s="25">
        <v>3</v>
      </c>
      <c r="J55" s="24" t="s">
        <v>65</v>
      </c>
      <c r="K55" s="24" t="s">
        <v>326</v>
      </c>
      <c r="L55" s="24" t="s">
        <v>67</v>
      </c>
      <c r="M55" s="24" t="s">
        <v>74</v>
      </c>
      <c r="N55" s="24" t="s">
        <v>74</v>
      </c>
      <c r="O55" s="25">
        <v>0.5</v>
      </c>
      <c r="P55" s="24"/>
      <c r="Q55" s="24"/>
      <c r="R55" s="24"/>
      <c r="S55" s="24">
        <v>0.2</v>
      </c>
      <c r="T55" s="24"/>
      <c r="U55" s="24"/>
      <c r="V55" s="24">
        <v>2.3</v>
      </c>
      <c r="W55" s="24"/>
      <c r="XDO55"/>
      <c r="XDP55"/>
      <c r="XDQ55"/>
      <c r="XDR55"/>
      <c r="XDS55"/>
    </row>
    <row r="56" s="21" customFormat="1" spans="1:16347">
      <c r="A56" s="24" t="s">
        <v>58</v>
      </c>
      <c r="B56" s="25" t="s">
        <v>59</v>
      </c>
      <c r="C56" s="24" t="s">
        <v>60</v>
      </c>
      <c r="D56" s="24" t="s">
        <v>327</v>
      </c>
      <c r="E56" s="24" t="s">
        <v>328</v>
      </c>
      <c r="F56" s="24" t="s">
        <v>329</v>
      </c>
      <c r="G56" s="24" t="s">
        <v>330</v>
      </c>
      <c r="H56" s="24"/>
      <c r="I56" s="28">
        <v>6.5</v>
      </c>
      <c r="J56" s="24" t="s">
        <v>65</v>
      </c>
      <c r="K56" s="24" t="s">
        <v>331</v>
      </c>
      <c r="L56" s="24" t="s">
        <v>67</v>
      </c>
      <c r="M56" s="24" t="s">
        <v>148</v>
      </c>
      <c r="N56" s="24" t="s">
        <v>148</v>
      </c>
      <c r="O56" s="25">
        <v>3</v>
      </c>
      <c r="P56" s="24"/>
      <c r="Q56" s="24"/>
      <c r="R56" s="24"/>
      <c r="S56" s="24"/>
      <c r="T56" s="24"/>
      <c r="U56" s="24"/>
      <c r="V56" s="24">
        <v>3.5</v>
      </c>
      <c r="W56" s="24"/>
      <c r="XDO56"/>
      <c r="XDP56"/>
      <c r="XDQ56"/>
      <c r="XDR56"/>
      <c r="XDS56"/>
    </row>
    <row r="57" s="21" customFormat="1" spans="1:16347">
      <c r="A57" s="24" t="s">
        <v>58</v>
      </c>
      <c r="B57" s="25" t="s">
        <v>59</v>
      </c>
      <c r="C57" s="24" t="s">
        <v>60</v>
      </c>
      <c r="D57" s="24" t="s">
        <v>332</v>
      </c>
      <c r="E57" s="24" t="s">
        <v>333</v>
      </c>
      <c r="F57" s="24" t="s">
        <v>334</v>
      </c>
      <c r="G57" s="24" t="s">
        <v>335</v>
      </c>
      <c r="H57" s="24"/>
      <c r="I57" s="25">
        <v>4.8</v>
      </c>
      <c r="J57" s="24" t="s">
        <v>65</v>
      </c>
      <c r="K57" s="24" t="s">
        <v>336</v>
      </c>
      <c r="L57" s="24" t="s">
        <v>67</v>
      </c>
      <c r="M57" s="24" t="s">
        <v>241</v>
      </c>
      <c r="N57" s="24" t="s">
        <v>241</v>
      </c>
      <c r="O57" s="25">
        <v>2</v>
      </c>
      <c r="P57" s="24"/>
      <c r="Q57" s="24"/>
      <c r="R57" s="24"/>
      <c r="S57" s="24"/>
      <c r="T57" s="24"/>
      <c r="U57" s="24"/>
      <c r="V57" s="24">
        <v>2.8</v>
      </c>
      <c r="W57" s="24"/>
      <c r="XDO57"/>
      <c r="XDP57"/>
      <c r="XDQ57"/>
      <c r="XDR57"/>
      <c r="XDS57"/>
    </row>
    <row r="58" s="21" customFormat="1" spans="1:16347">
      <c r="A58" s="24" t="s">
        <v>58</v>
      </c>
      <c r="B58" s="25" t="s">
        <v>59</v>
      </c>
      <c r="C58" s="24" t="s">
        <v>60</v>
      </c>
      <c r="D58" s="24" t="s">
        <v>337</v>
      </c>
      <c r="E58" s="24" t="s">
        <v>338</v>
      </c>
      <c r="F58" s="24" t="s">
        <v>339</v>
      </c>
      <c r="G58" s="24" t="s">
        <v>335</v>
      </c>
      <c r="H58" s="24"/>
      <c r="I58" s="25">
        <v>3</v>
      </c>
      <c r="J58" s="24" t="s">
        <v>65</v>
      </c>
      <c r="K58" s="24" t="s">
        <v>340</v>
      </c>
      <c r="L58" s="24" t="s">
        <v>67</v>
      </c>
      <c r="M58" s="24" t="s">
        <v>74</v>
      </c>
      <c r="N58" s="24" t="s">
        <v>74</v>
      </c>
      <c r="O58" s="25">
        <v>0.5</v>
      </c>
      <c r="P58" s="24"/>
      <c r="Q58" s="24"/>
      <c r="R58" s="24"/>
      <c r="S58" s="24">
        <v>0.2</v>
      </c>
      <c r="T58" s="24"/>
      <c r="U58" s="24"/>
      <c r="V58" s="24">
        <v>2.3</v>
      </c>
      <c r="W58" s="24"/>
      <c r="XDO58"/>
      <c r="XDP58"/>
      <c r="XDQ58"/>
      <c r="XDR58"/>
      <c r="XDS58"/>
    </row>
    <row r="59" s="21" customFormat="1" spans="1:16347">
      <c r="A59" s="24" t="s">
        <v>58</v>
      </c>
      <c r="B59" s="25" t="s">
        <v>59</v>
      </c>
      <c r="C59" s="24" t="s">
        <v>60</v>
      </c>
      <c r="D59" s="24" t="s">
        <v>341</v>
      </c>
      <c r="E59" s="24" t="s">
        <v>342</v>
      </c>
      <c r="F59" s="24" t="s">
        <v>343</v>
      </c>
      <c r="G59" s="24" t="s">
        <v>335</v>
      </c>
      <c r="H59" s="24"/>
      <c r="I59" s="25">
        <v>3</v>
      </c>
      <c r="J59" s="24" t="s">
        <v>65</v>
      </c>
      <c r="K59" s="24" t="s">
        <v>344</v>
      </c>
      <c r="L59" s="24" t="s">
        <v>67</v>
      </c>
      <c r="M59" s="24" t="s">
        <v>74</v>
      </c>
      <c r="N59" s="24" t="s">
        <v>74</v>
      </c>
      <c r="O59" s="25">
        <v>0.5</v>
      </c>
      <c r="P59" s="24"/>
      <c r="Q59" s="24"/>
      <c r="R59" s="24"/>
      <c r="S59" s="24">
        <v>0.2</v>
      </c>
      <c r="T59" s="24"/>
      <c r="U59" s="24"/>
      <c r="V59" s="24">
        <v>2.3</v>
      </c>
      <c r="W59" s="24"/>
      <c r="XDO59"/>
      <c r="XDP59"/>
      <c r="XDQ59"/>
      <c r="XDR59"/>
      <c r="XDS59"/>
    </row>
    <row r="60" s="21" customFormat="1" spans="1:16347">
      <c r="A60" s="24" t="s">
        <v>58</v>
      </c>
      <c r="B60" s="25" t="s">
        <v>59</v>
      </c>
      <c r="C60" s="24" t="s">
        <v>60</v>
      </c>
      <c r="D60" s="24" t="s">
        <v>345</v>
      </c>
      <c r="E60" s="24" t="s">
        <v>346</v>
      </c>
      <c r="F60" s="24" t="s">
        <v>347</v>
      </c>
      <c r="G60" s="24" t="s">
        <v>335</v>
      </c>
      <c r="H60" s="24"/>
      <c r="I60" s="25">
        <v>3.9</v>
      </c>
      <c r="J60" s="24" t="s">
        <v>65</v>
      </c>
      <c r="K60" s="24" t="s">
        <v>348</v>
      </c>
      <c r="L60" s="24" t="s">
        <v>67</v>
      </c>
      <c r="M60" s="24" t="s">
        <v>200</v>
      </c>
      <c r="N60" s="24" t="s">
        <v>200</v>
      </c>
      <c r="O60" s="25">
        <v>1</v>
      </c>
      <c r="P60" s="24"/>
      <c r="Q60" s="24"/>
      <c r="R60" s="24"/>
      <c r="S60" s="24">
        <v>0.5</v>
      </c>
      <c r="T60" s="24"/>
      <c r="U60" s="24"/>
      <c r="V60" s="24">
        <v>2.4</v>
      </c>
      <c r="W60" s="24"/>
      <c r="XDO60"/>
      <c r="XDP60"/>
      <c r="XDQ60"/>
      <c r="XDR60"/>
      <c r="XDS60"/>
    </row>
    <row r="61" s="21" customFormat="1" spans="1:16347">
      <c r="A61" s="24" t="s">
        <v>58</v>
      </c>
      <c r="B61" s="25" t="s">
        <v>59</v>
      </c>
      <c r="C61" s="24" t="s">
        <v>60</v>
      </c>
      <c r="D61" s="24" t="s">
        <v>349</v>
      </c>
      <c r="E61" s="24" t="s">
        <v>350</v>
      </c>
      <c r="F61" s="24" t="s">
        <v>351</v>
      </c>
      <c r="G61" s="24" t="s">
        <v>352</v>
      </c>
      <c r="H61" s="24"/>
      <c r="I61" s="25">
        <v>3</v>
      </c>
      <c r="J61" s="24" t="s">
        <v>65</v>
      </c>
      <c r="K61" s="24" t="s">
        <v>353</v>
      </c>
      <c r="L61" s="24" t="s">
        <v>67</v>
      </c>
      <c r="M61" s="24" t="s">
        <v>74</v>
      </c>
      <c r="N61" s="24" t="s">
        <v>74</v>
      </c>
      <c r="O61" s="25">
        <v>0.5</v>
      </c>
      <c r="P61" s="24"/>
      <c r="Q61" s="24"/>
      <c r="R61" s="24"/>
      <c r="S61" s="24">
        <v>0.2</v>
      </c>
      <c r="T61" s="24"/>
      <c r="U61" s="24"/>
      <c r="V61" s="24">
        <v>2.3</v>
      </c>
      <c r="W61" s="24"/>
      <c r="XDO61"/>
      <c r="XDP61"/>
      <c r="XDQ61"/>
      <c r="XDR61"/>
      <c r="XDS61"/>
    </row>
    <row r="62" s="21" customFormat="1" spans="1:16347">
      <c r="A62" s="24" t="s">
        <v>58</v>
      </c>
      <c r="B62" s="25" t="s">
        <v>59</v>
      </c>
      <c r="C62" s="24" t="s">
        <v>60</v>
      </c>
      <c r="D62" s="24" t="s">
        <v>354</v>
      </c>
      <c r="E62" s="24" t="s">
        <v>355</v>
      </c>
      <c r="F62" s="24" t="s">
        <v>356</v>
      </c>
      <c r="G62" s="24" t="s">
        <v>352</v>
      </c>
      <c r="H62" s="24"/>
      <c r="I62" s="25">
        <v>3</v>
      </c>
      <c r="J62" s="24" t="s">
        <v>65</v>
      </c>
      <c r="K62" s="24" t="s">
        <v>357</v>
      </c>
      <c r="L62" s="24" t="s">
        <v>67</v>
      </c>
      <c r="M62" s="24" t="s">
        <v>74</v>
      </c>
      <c r="N62" s="24" t="s">
        <v>74</v>
      </c>
      <c r="O62" s="25">
        <v>0.5</v>
      </c>
      <c r="P62" s="24"/>
      <c r="Q62" s="24"/>
      <c r="R62" s="24"/>
      <c r="S62" s="24">
        <v>0.2</v>
      </c>
      <c r="T62" s="24"/>
      <c r="U62" s="24"/>
      <c r="V62" s="24">
        <v>2.3</v>
      </c>
      <c r="W62" s="24"/>
      <c r="XDO62"/>
      <c r="XDP62"/>
      <c r="XDQ62"/>
      <c r="XDR62"/>
      <c r="XDS62"/>
    </row>
    <row r="63" s="21" customFormat="1" spans="1:16347">
      <c r="A63" s="24" t="s">
        <v>58</v>
      </c>
      <c r="B63" s="25" t="s">
        <v>59</v>
      </c>
      <c r="C63" s="24" t="s">
        <v>60</v>
      </c>
      <c r="D63" s="24" t="s">
        <v>358</v>
      </c>
      <c r="E63" s="24" t="s">
        <v>359</v>
      </c>
      <c r="F63" s="24" t="s">
        <v>360</v>
      </c>
      <c r="G63" s="24" t="s">
        <v>361</v>
      </c>
      <c r="H63" s="24"/>
      <c r="I63" s="25">
        <v>2.8</v>
      </c>
      <c r="J63" s="24" t="s">
        <v>65</v>
      </c>
      <c r="K63" s="24" t="s">
        <v>362</v>
      </c>
      <c r="L63" s="24" t="s">
        <v>67</v>
      </c>
      <c r="M63" s="24" t="s">
        <v>363</v>
      </c>
      <c r="N63" s="24" t="s">
        <v>363</v>
      </c>
      <c r="O63" s="25">
        <v>0.5</v>
      </c>
      <c r="P63" s="24"/>
      <c r="Q63" s="24"/>
      <c r="R63" s="24"/>
      <c r="S63" s="24"/>
      <c r="T63" s="24"/>
      <c r="U63" s="24"/>
      <c r="V63" s="24">
        <v>2.3</v>
      </c>
      <c r="W63" s="24"/>
      <c r="XDO63"/>
      <c r="XDP63"/>
      <c r="XDQ63"/>
      <c r="XDR63"/>
      <c r="XDS63"/>
    </row>
    <row r="64" s="21" customFormat="1" spans="1:16347">
      <c r="A64" s="24" t="s">
        <v>58</v>
      </c>
      <c r="B64" s="25" t="s">
        <v>59</v>
      </c>
      <c r="C64" s="24" t="s">
        <v>60</v>
      </c>
      <c r="D64" s="24" t="s">
        <v>364</v>
      </c>
      <c r="E64" s="24" t="s">
        <v>365</v>
      </c>
      <c r="F64" s="24" t="s">
        <v>366</v>
      </c>
      <c r="G64" s="24" t="s">
        <v>367</v>
      </c>
      <c r="H64" s="24"/>
      <c r="I64" s="25">
        <v>5.9</v>
      </c>
      <c r="J64" s="24" t="s">
        <v>65</v>
      </c>
      <c r="K64" s="24" t="s">
        <v>368</v>
      </c>
      <c r="L64" s="24" t="s">
        <v>67</v>
      </c>
      <c r="M64" s="24" t="s">
        <v>241</v>
      </c>
      <c r="N64" s="24" t="s">
        <v>241</v>
      </c>
      <c r="O64" s="25">
        <v>2.1</v>
      </c>
      <c r="P64" s="24"/>
      <c r="Q64" s="24"/>
      <c r="R64" s="24"/>
      <c r="S64" s="24">
        <v>1</v>
      </c>
      <c r="T64" s="24"/>
      <c r="U64" s="24"/>
      <c r="V64" s="24">
        <v>2.8</v>
      </c>
      <c r="W64" s="24"/>
      <c r="XDO64"/>
      <c r="XDP64"/>
      <c r="XDQ64"/>
      <c r="XDR64"/>
      <c r="XDS64"/>
    </row>
    <row r="65" s="21" customFormat="1" spans="1:16347">
      <c r="A65" s="24" t="s">
        <v>58</v>
      </c>
      <c r="B65" s="25" t="s">
        <v>59</v>
      </c>
      <c r="C65" s="24" t="s">
        <v>60</v>
      </c>
      <c r="D65" s="24" t="s">
        <v>369</v>
      </c>
      <c r="E65" s="24" t="s">
        <v>370</v>
      </c>
      <c r="F65" s="24" t="s">
        <v>371</v>
      </c>
      <c r="G65" s="24" t="s">
        <v>372</v>
      </c>
      <c r="H65" s="24"/>
      <c r="I65" s="25">
        <v>4.8</v>
      </c>
      <c r="J65" s="24" t="s">
        <v>65</v>
      </c>
      <c r="K65" s="24" t="s">
        <v>373</v>
      </c>
      <c r="L65" s="24" t="s">
        <v>67</v>
      </c>
      <c r="M65" s="24" t="s">
        <v>164</v>
      </c>
      <c r="N65" s="24" t="s">
        <v>164</v>
      </c>
      <c r="O65" s="25">
        <v>2</v>
      </c>
      <c r="P65" s="24"/>
      <c r="Q65" s="24"/>
      <c r="R65" s="24"/>
      <c r="S65" s="24"/>
      <c r="T65" s="24"/>
      <c r="U65" s="24"/>
      <c r="V65" s="24">
        <v>2.8</v>
      </c>
      <c r="W65" s="24"/>
      <c r="XDO65"/>
      <c r="XDP65"/>
      <c r="XDQ65"/>
      <c r="XDR65"/>
      <c r="XDS65"/>
    </row>
    <row r="66" s="21" customFormat="1" spans="1:16347">
      <c r="A66" s="24" t="s">
        <v>58</v>
      </c>
      <c r="B66" s="25" t="s">
        <v>59</v>
      </c>
      <c r="C66" s="24" t="s">
        <v>60</v>
      </c>
      <c r="D66" s="24" t="s">
        <v>374</v>
      </c>
      <c r="E66" s="24" t="s">
        <v>375</v>
      </c>
      <c r="F66" s="24" t="s">
        <v>376</v>
      </c>
      <c r="G66" s="24" t="s">
        <v>372</v>
      </c>
      <c r="H66" s="24"/>
      <c r="I66" s="25">
        <v>3.6</v>
      </c>
      <c r="J66" s="24" t="s">
        <v>65</v>
      </c>
      <c r="K66" s="24" t="s">
        <v>377</v>
      </c>
      <c r="L66" s="24" t="s">
        <v>67</v>
      </c>
      <c r="M66" s="24" t="s">
        <v>200</v>
      </c>
      <c r="N66" s="24" t="s">
        <v>200</v>
      </c>
      <c r="O66" s="25">
        <v>0.7</v>
      </c>
      <c r="P66" s="24"/>
      <c r="Q66" s="24"/>
      <c r="R66" s="24"/>
      <c r="S66" s="24">
        <v>0.5</v>
      </c>
      <c r="T66" s="24"/>
      <c r="U66" s="24"/>
      <c r="V66" s="24">
        <v>2.4</v>
      </c>
      <c r="W66" s="24"/>
      <c r="XDO66"/>
      <c r="XDP66"/>
      <c r="XDQ66"/>
      <c r="XDR66"/>
      <c r="XDS66"/>
    </row>
    <row r="67" s="21" customFormat="1" spans="1:16347">
      <c r="A67" s="24" t="s">
        <v>58</v>
      </c>
      <c r="B67" s="25" t="s">
        <v>59</v>
      </c>
      <c r="C67" s="24" t="s">
        <v>60</v>
      </c>
      <c r="D67" s="24" t="s">
        <v>378</v>
      </c>
      <c r="E67" s="24" t="s">
        <v>379</v>
      </c>
      <c r="F67" s="24" t="s">
        <v>380</v>
      </c>
      <c r="G67" s="24" t="s">
        <v>372</v>
      </c>
      <c r="H67" s="24"/>
      <c r="I67" s="25">
        <v>3.4</v>
      </c>
      <c r="J67" s="24" t="s">
        <v>65</v>
      </c>
      <c r="K67" s="24" t="s">
        <v>381</v>
      </c>
      <c r="L67" s="24" t="s">
        <v>67</v>
      </c>
      <c r="M67" s="24" t="s">
        <v>382</v>
      </c>
      <c r="N67" s="24" t="s">
        <v>382</v>
      </c>
      <c r="O67" s="25">
        <v>0.7</v>
      </c>
      <c r="P67" s="24"/>
      <c r="Q67" s="24"/>
      <c r="R67" s="24"/>
      <c r="S67" s="24">
        <v>0.3</v>
      </c>
      <c r="T67" s="24"/>
      <c r="U67" s="24"/>
      <c r="V67" s="24">
        <v>2.4</v>
      </c>
      <c r="W67" s="24"/>
      <c r="XDO67"/>
      <c r="XDP67"/>
      <c r="XDQ67"/>
      <c r="XDR67"/>
      <c r="XDS67"/>
    </row>
    <row r="68" s="21" customFormat="1" spans="1:16347">
      <c r="A68" s="24" t="s">
        <v>58</v>
      </c>
      <c r="B68" s="25" t="s">
        <v>59</v>
      </c>
      <c r="C68" s="24" t="s">
        <v>60</v>
      </c>
      <c r="D68" s="24" t="s">
        <v>383</v>
      </c>
      <c r="E68" s="24" t="s">
        <v>384</v>
      </c>
      <c r="F68" s="24" t="s">
        <v>385</v>
      </c>
      <c r="G68" s="24" t="s">
        <v>367</v>
      </c>
      <c r="H68" s="24"/>
      <c r="I68" s="25">
        <v>3.6</v>
      </c>
      <c r="J68" s="24" t="s">
        <v>65</v>
      </c>
      <c r="K68" s="24" t="s">
        <v>386</v>
      </c>
      <c r="L68" s="24" t="s">
        <v>67</v>
      </c>
      <c r="M68" s="24" t="s">
        <v>200</v>
      </c>
      <c r="N68" s="24" t="s">
        <v>200</v>
      </c>
      <c r="O68" s="25">
        <v>0.7</v>
      </c>
      <c r="P68" s="24"/>
      <c r="Q68" s="24"/>
      <c r="R68" s="24"/>
      <c r="S68" s="24">
        <v>0.5</v>
      </c>
      <c r="T68" s="24"/>
      <c r="U68" s="24"/>
      <c r="V68" s="24">
        <v>2.4</v>
      </c>
      <c r="W68" s="24"/>
      <c r="XDO68"/>
      <c r="XDP68"/>
      <c r="XDQ68"/>
      <c r="XDR68"/>
      <c r="XDS68"/>
    </row>
    <row r="69" s="21" customFormat="1" spans="1:16347">
      <c r="A69" s="24" t="s">
        <v>58</v>
      </c>
      <c r="B69" s="25" t="s">
        <v>59</v>
      </c>
      <c r="C69" s="24" t="s">
        <v>60</v>
      </c>
      <c r="D69" s="24" t="s">
        <v>387</v>
      </c>
      <c r="E69" s="24" t="s">
        <v>388</v>
      </c>
      <c r="F69" s="24" t="s">
        <v>389</v>
      </c>
      <c r="G69" s="24" t="s">
        <v>390</v>
      </c>
      <c r="H69" s="24"/>
      <c r="I69" s="25">
        <v>3.3</v>
      </c>
      <c r="J69" s="24" t="s">
        <v>65</v>
      </c>
      <c r="K69" s="24" t="s">
        <v>391</v>
      </c>
      <c r="L69" s="24" t="s">
        <v>67</v>
      </c>
      <c r="M69" s="24" t="s">
        <v>79</v>
      </c>
      <c r="N69" s="24" t="s">
        <v>79</v>
      </c>
      <c r="O69" s="25">
        <v>0.7</v>
      </c>
      <c r="P69" s="24"/>
      <c r="Q69" s="24"/>
      <c r="R69" s="24"/>
      <c r="S69" s="24">
        <v>0.3</v>
      </c>
      <c r="T69" s="24"/>
      <c r="U69" s="24"/>
      <c r="V69" s="24">
        <v>2.3</v>
      </c>
      <c r="W69" s="24"/>
      <c r="XDO69"/>
      <c r="XDP69"/>
      <c r="XDQ69"/>
      <c r="XDR69"/>
      <c r="XDS69"/>
    </row>
    <row r="70" s="21" customFormat="1" spans="1:16347">
      <c r="A70" s="24" t="s">
        <v>58</v>
      </c>
      <c r="B70" s="25" t="s">
        <v>59</v>
      </c>
      <c r="C70" s="24" t="s">
        <v>60</v>
      </c>
      <c r="D70" s="24" t="s">
        <v>392</v>
      </c>
      <c r="E70" s="24" t="s">
        <v>393</v>
      </c>
      <c r="F70" s="24" t="s">
        <v>394</v>
      </c>
      <c r="G70" s="24" t="s">
        <v>395</v>
      </c>
      <c r="H70" s="24"/>
      <c r="I70" s="25">
        <v>3.6</v>
      </c>
      <c r="J70" s="24" t="s">
        <v>65</v>
      </c>
      <c r="K70" s="24" t="s">
        <v>396</v>
      </c>
      <c r="L70" s="24" t="s">
        <v>67</v>
      </c>
      <c r="M70" s="24" t="s">
        <v>397</v>
      </c>
      <c r="N70" s="24" t="s">
        <v>397</v>
      </c>
      <c r="O70" s="25">
        <v>1</v>
      </c>
      <c r="P70" s="24"/>
      <c r="Q70" s="24"/>
      <c r="R70" s="24"/>
      <c r="S70" s="24"/>
      <c r="T70" s="24"/>
      <c r="U70" s="24"/>
      <c r="V70" s="24">
        <v>2.6</v>
      </c>
      <c r="W70" s="24"/>
      <c r="XDO70"/>
      <c r="XDP70"/>
      <c r="XDQ70"/>
      <c r="XDR70"/>
      <c r="XDS70"/>
    </row>
    <row r="71" s="21" customFormat="1" spans="1:16347">
      <c r="A71" s="24" t="s">
        <v>58</v>
      </c>
      <c r="B71" s="25" t="s">
        <v>59</v>
      </c>
      <c r="C71" s="24" t="s">
        <v>60</v>
      </c>
      <c r="D71" s="24" t="s">
        <v>398</v>
      </c>
      <c r="E71" s="24" t="s">
        <v>399</v>
      </c>
      <c r="F71" s="24" t="s">
        <v>400</v>
      </c>
      <c r="G71" s="24" t="s">
        <v>390</v>
      </c>
      <c r="H71" s="24"/>
      <c r="I71" s="25">
        <v>2.8</v>
      </c>
      <c r="J71" s="24" t="s">
        <v>65</v>
      </c>
      <c r="K71" s="24" t="s">
        <v>401</v>
      </c>
      <c r="L71" s="24" t="s">
        <v>67</v>
      </c>
      <c r="M71" s="24" t="s">
        <v>137</v>
      </c>
      <c r="N71" s="24" t="s">
        <v>137</v>
      </c>
      <c r="O71" s="25">
        <v>0.5</v>
      </c>
      <c r="P71" s="24"/>
      <c r="Q71" s="24"/>
      <c r="R71" s="24"/>
      <c r="S71" s="24"/>
      <c r="T71" s="24"/>
      <c r="U71" s="24"/>
      <c r="V71" s="24">
        <v>2.3</v>
      </c>
      <c r="W71" s="24"/>
      <c r="XDO71"/>
      <c r="XDP71"/>
      <c r="XDQ71"/>
      <c r="XDR71"/>
      <c r="XDS71"/>
    </row>
    <row r="72" s="21" customFormat="1" spans="1:16347">
      <c r="A72" s="24" t="s">
        <v>58</v>
      </c>
      <c r="B72" s="25" t="s">
        <v>59</v>
      </c>
      <c r="C72" s="24" t="s">
        <v>60</v>
      </c>
      <c r="D72" s="24" t="s">
        <v>402</v>
      </c>
      <c r="E72" s="24" t="s">
        <v>403</v>
      </c>
      <c r="F72" s="24" t="s">
        <v>404</v>
      </c>
      <c r="G72" s="24" t="s">
        <v>405</v>
      </c>
      <c r="H72" s="24"/>
      <c r="I72" s="25">
        <v>3.1</v>
      </c>
      <c r="J72" s="24" t="s">
        <v>65</v>
      </c>
      <c r="K72" s="24" t="s">
        <v>406</v>
      </c>
      <c r="L72" s="24" t="s">
        <v>67</v>
      </c>
      <c r="M72" s="24" t="s">
        <v>179</v>
      </c>
      <c r="N72" s="24" t="s">
        <v>179</v>
      </c>
      <c r="O72" s="25">
        <v>0.7</v>
      </c>
      <c r="P72" s="24"/>
      <c r="Q72" s="24"/>
      <c r="R72" s="24"/>
      <c r="S72" s="24"/>
      <c r="T72" s="24"/>
      <c r="U72" s="24"/>
      <c r="V72" s="24">
        <v>2.4</v>
      </c>
      <c r="W72" s="24"/>
      <c r="XDO72"/>
      <c r="XDP72"/>
      <c r="XDQ72"/>
      <c r="XDR72"/>
      <c r="XDS72"/>
    </row>
    <row r="73" s="21" customFormat="1" spans="1:16347">
      <c r="A73" s="24" t="s">
        <v>58</v>
      </c>
      <c r="B73" s="25" t="s">
        <v>59</v>
      </c>
      <c r="C73" s="24" t="s">
        <v>60</v>
      </c>
      <c r="D73" s="24" t="s">
        <v>407</v>
      </c>
      <c r="E73" s="24" t="s">
        <v>408</v>
      </c>
      <c r="F73" s="24" t="s">
        <v>409</v>
      </c>
      <c r="G73" s="24" t="s">
        <v>405</v>
      </c>
      <c r="H73" s="24"/>
      <c r="I73" s="25">
        <v>3.3</v>
      </c>
      <c r="J73" s="24" t="s">
        <v>65</v>
      </c>
      <c r="K73" s="24" t="s">
        <v>410</v>
      </c>
      <c r="L73" s="24" t="s">
        <v>67</v>
      </c>
      <c r="M73" s="24" t="s">
        <v>79</v>
      </c>
      <c r="N73" s="24" t="s">
        <v>79</v>
      </c>
      <c r="O73" s="25">
        <v>0.7</v>
      </c>
      <c r="P73" s="24"/>
      <c r="Q73" s="24"/>
      <c r="R73" s="24"/>
      <c r="S73" s="24">
        <v>0.3</v>
      </c>
      <c r="T73" s="24"/>
      <c r="U73" s="24"/>
      <c r="V73" s="24">
        <v>2.3</v>
      </c>
      <c r="W73" s="24"/>
      <c r="XDO73"/>
      <c r="XDP73"/>
      <c r="XDQ73"/>
      <c r="XDR73"/>
      <c r="XDS73"/>
    </row>
    <row r="74" s="21" customFormat="1" spans="1:16347">
      <c r="A74" s="24" t="s">
        <v>58</v>
      </c>
      <c r="B74" s="25" t="s">
        <v>59</v>
      </c>
      <c r="C74" s="24" t="s">
        <v>60</v>
      </c>
      <c r="D74" s="24" t="s">
        <v>411</v>
      </c>
      <c r="E74" s="24" t="s">
        <v>412</v>
      </c>
      <c r="F74" s="24" t="s">
        <v>413</v>
      </c>
      <c r="G74" s="24" t="s">
        <v>395</v>
      </c>
      <c r="H74" s="24"/>
      <c r="I74" s="25">
        <v>3.3</v>
      </c>
      <c r="J74" s="24" t="s">
        <v>65</v>
      </c>
      <c r="K74" s="24" t="s">
        <v>414</v>
      </c>
      <c r="L74" s="24" t="s">
        <v>67</v>
      </c>
      <c r="M74" s="24" t="s">
        <v>209</v>
      </c>
      <c r="N74" s="24" t="s">
        <v>209</v>
      </c>
      <c r="O74" s="25">
        <v>0.5</v>
      </c>
      <c r="P74" s="24"/>
      <c r="Q74" s="24"/>
      <c r="R74" s="24"/>
      <c r="S74" s="24">
        <v>0.5</v>
      </c>
      <c r="T74" s="24"/>
      <c r="U74" s="24"/>
      <c r="V74" s="24">
        <v>2.3</v>
      </c>
      <c r="W74" s="24"/>
      <c r="XDO74"/>
      <c r="XDP74"/>
      <c r="XDQ74"/>
      <c r="XDR74"/>
      <c r="XDS74"/>
    </row>
    <row r="75" s="21" customFormat="1" spans="1:16347">
      <c r="A75" s="24" t="s">
        <v>58</v>
      </c>
      <c r="B75" s="25" t="s">
        <v>59</v>
      </c>
      <c r="C75" s="24" t="s">
        <v>60</v>
      </c>
      <c r="D75" s="24" t="s">
        <v>415</v>
      </c>
      <c r="E75" s="24" t="s">
        <v>416</v>
      </c>
      <c r="F75" s="24" t="s">
        <v>417</v>
      </c>
      <c r="G75" s="24" t="s">
        <v>395</v>
      </c>
      <c r="H75" s="24"/>
      <c r="I75" s="25">
        <v>3.6</v>
      </c>
      <c r="J75" s="24" t="s">
        <v>65</v>
      </c>
      <c r="K75" s="24" t="s">
        <v>418</v>
      </c>
      <c r="L75" s="24" t="s">
        <v>67</v>
      </c>
      <c r="M75" s="24" t="s">
        <v>200</v>
      </c>
      <c r="N75" s="24" t="s">
        <v>200</v>
      </c>
      <c r="O75" s="25">
        <v>0.7</v>
      </c>
      <c r="P75" s="24"/>
      <c r="Q75" s="24"/>
      <c r="R75" s="24"/>
      <c r="S75" s="24">
        <v>0.5</v>
      </c>
      <c r="T75" s="24"/>
      <c r="U75" s="24"/>
      <c r="V75" s="24">
        <v>2.4</v>
      </c>
      <c r="W75" s="24"/>
      <c r="XDO75"/>
      <c r="XDP75"/>
      <c r="XDQ75"/>
      <c r="XDR75"/>
      <c r="XDS75"/>
    </row>
    <row r="76" s="21" customFormat="1" spans="1:16347">
      <c r="A76" s="24" t="s">
        <v>58</v>
      </c>
      <c r="B76" s="25" t="s">
        <v>59</v>
      </c>
      <c r="C76" s="24" t="s">
        <v>60</v>
      </c>
      <c r="D76" s="24" t="s">
        <v>419</v>
      </c>
      <c r="E76" s="24" t="s">
        <v>420</v>
      </c>
      <c r="F76" s="24" t="s">
        <v>421</v>
      </c>
      <c r="G76" s="24" t="s">
        <v>422</v>
      </c>
      <c r="H76" s="24"/>
      <c r="I76" s="25">
        <v>4.8</v>
      </c>
      <c r="J76" s="24" t="s">
        <v>65</v>
      </c>
      <c r="K76" s="24" t="s">
        <v>423</v>
      </c>
      <c r="L76" s="24" t="s">
        <v>67</v>
      </c>
      <c r="M76" s="24" t="s">
        <v>164</v>
      </c>
      <c r="N76" s="24" t="s">
        <v>164</v>
      </c>
      <c r="O76" s="25">
        <v>2</v>
      </c>
      <c r="P76" s="24"/>
      <c r="Q76" s="24"/>
      <c r="R76" s="24"/>
      <c r="S76" s="24"/>
      <c r="T76" s="24"/>
      <c r="U76" s="24"/>
      <c r="V76" s="24">
        <v>2.8</v>
      </c>
      <c r="W76" s="24"/>
      <c r="XDO76"/>
      <c r="XDP76"/>
      <c r="XDQ76"/>
      <c r="XDR76"/>
      <c r="XDS76"/>
    </row>
    <row r="77" s="21" customFormat="1" spans="1:16347">
      <c r="A77" s="24" t="s">
        <v>58</v>
      </c>
      <c r="B77" s="25" t="s">
        <v>59</v>
      </c>
      <c r="C77" s="24" t="s">
        <v>60</v>
      </c>
      <c r="D77" s="24" t="s">
        <v>424</v>
      </c>
      <c r="E77" s="24" t="s">
        <v>425</v>
      </c>
      <c r="F77" s="24" t="s">
        <v>426</v>
      </c>
      <c r="G77" s="24" t="s">
        <v>422</v>
      </c>
      <c r="H77" s="24"/>
      <c r="I77" s="25">
        <v>3.6</v>
      </c>
      <c r="J77" s="24" t="s">
        <v>65</v>
      </c>
      <c r="K77" s="24" t="s">
        <v>427</v>
      </c>
      <c r="L77" s="24" t="s">
        <v>67</v>
      </c>
      <c r="M77" s="24" t="s">
        <v>200</v>
      </c>
      <c r="N77" s="24" t="s">
        <v>200</v>
      </c>
      <c r="O77" s="25">
        <v>0.7</v>
      </c>
      <c r="P77" s="24"/>
      <c r="Q77" s="24"/>
      <c r="R77" s="24"/>
      <c r="S77" s="24">
        <v>0.5</v>
      </c>
      <c r="T77" s="24"/>
      <c r="U77" s="24"/>
      <c r="V77" s="24">
        <v>2.4</v>
      </c>
      <c r="W77" s="24"/>
      <c r="XDO77"/>
      <c r="XDP77"/>
      <c r="XDQ77"/>
      <c r="XDR77"/>
      <c r="XDS77"/>
    </row>
    <row r="78" s="21" customFormat="1" spans="1:16347">
      <c r="A78" s="24" t="s">
        <v>58</v>
      </c>
      <c r="B78" s="25" t="s">
        <v>59</v>
      </c>
      <c r="C78" s="24" t="s">
        <v>60</v>
      </c>
      <c r="D78" s="24" t="s">
        <v>428</v>
      </c>
      <c r="E78" s="24" t="s">
        <v>429</v>
      </c>
      <c r="F78" s="24" t="s">
        <v>430</v>
      </c>
      <c r="G78" s="24" t="s">
        <v>422</v>
      </c>
      <c r="H78" s="24"/>
      <c r="I78" s="25">
        <v>3.3</v>
      </c>
      <c r="J78" s="24" t="s">
        <v>65</v>
      </c>
      <c r="K78" s="24" t="s">
        <v>431</v>
      </c>
      <c r="L78" s="24" t="s">
        <v>67</v>
      </c>
      <c r="M78" s="24" t="s">
        <v>79</v>
      </c>
      <c r="N78" s="24" t="s">
        <v>79</v>
      </c>
      <c r="O78" s="25">
        <v>0.7</v>
      </c>
      <c r="P78" s="24"/>
      <c r="Q78" s="24"/>
      <c r="R78" s="24"/>
      <c r="S78" s="24">
        <v>0.3</v>
      </c>
      <c r="T78" s="24"/>
      <c r="U78" s="24"/>
      <c r="V78" s="24">
        <v>2.3</v>
      </c>
      <c r="W78" s="24"/>
      <c r="XDO78"/>
      <c r="XDP78"/>
      <c r="XDQ78"/>
      <c r="XDR78"/>
      <c r="XDS78"/>
    </row>
    <row r="79" s="21" customFormat="1" spans="1:16347">
      <c r="A79" s="24" t="s">
        <v>58</v>
      </c>
      <c r="B79" s="25" t="s">
        <v>59</v>
      </c>
      <c r="C79" s="24" t="s">
        <v>60</v>
      </c>
      <c r="D79" s="24" t="s">
        <v>432</v>
      </c>
      <c r="E79" s="24" t="s">
        <v>433</v>
      </c>
      <c r="F79" s="24" t="s">
        <v>434</v>
      </c>
      <c r="G79" s="24" t="s">
        <v>405</v>
      </c>
      <c r="H79" s="24"/>
      <c r="I79" s="25">
        <v>3</v>
      </c>
      <c r="J79" s="24" t="s">
        <v>65</v>
      </c>
      <c r="K79" s="24" t="s">
        <v>435</v>
      </c>
      <c r="L79" s="24" t="s">
        <v>67</v>
      </c>
      <c r="M79" s="24" t="s">
        <v>74</v>
      </c>
      <c r="N79" s="24" t="s">
        <v>74</v>
      </c>
      <c r="O79" s="25">
        <v>0.5</v>
      </c>
      <c r="P79" s="24"/>
      <c r="Q79" s="24"/>
      <c r="R79" s="24"/>
      <c r="S79" s="24">
        <v>0.2</v>
      </c>
      <c r="T79" s="24"/>
      <c r="U79" s="24"/>
      <c r="V79" s="24">
        <v>2.3</v>
      </c>
      <c r="W79" s="24"/>
      <c r="XDO79"/>
      <c r="XDP79"/>
      <c r="XDQ79"/>
      <c r="XDR79"/>
      <c r="XDS79"/>
    </row>
    <row r="80" s="21" customFormat="1" spans="1:16347">
      <c r="A80" s="24" t="s">
        <v>58</v>
      </c>
      <c r="B80" s="25" t="s">
        <v>59</v>
      </c>
      <c r="C80" s="24" t="s">
        <v>60</v>
      </c>
      <c r="D80" s="24" t="s">
        <v>436</v>
      </c>
      <c r="E80" s="24" t="s">
        <v>437</v>
      </c>
      <c r="F80" s="24" t="s">
        <v>438</v>
      </c>
      <c r="G80" s="24" t="s">
        <v>439</v>
      </c>
      <c r="H80" s="24"/>
      <c r="I80" s="25">
        <v>3</v>
      </c>
      <c r="J80" s="24" t="s">
        <v>65</v>
      </c>
      <c r="K80" s="24" t="s">
        <v>440</v>
      </c>
      <c r="L80" s="24" t="s">
        <v>67</v>
      </c>
      <c r="M80" s="24" t="s">
        <v>74</v>
      </c>
      <c r="N80" s="24" t="s">
        <v>74</v>
      </c>
      <c r="O80" s="25">
        <v>0.5</v>
      </c>
      <c r="P80" s="24"/>
      <c r="Q80" s="24"/>
      <c r="R80" s="24"/>
      <c r="S80" s="24">
        <v>0.2</v>
      </c>
      <c r="T80" s="24"/>
      <c r="U80" s="24"/>
      <c r="V80" s="24">
        <v>2.3</v>
      </c>
      <c r="W80" s="24"/>
      <c r="XDO80"/>
      <c r="XDP80"/>
      <c r="XDQ80"/>
      <c r="XDR80"/>
      <c r="XDS80"/>
    </row>
    <row r="81" s="21" customFormat="1" spans="1:16347">
      <c r="A81" s="24" t="s">
        <v>58</v>
      </c>
      <c r="B81" s="25" t="s">
        <v>59</v>
      </c>
      <c r="C81" s="24" t="s">
        <v>60</v>
      </c>
      <c r="D81" s="24" t="s">
        <v>441</v>
      </c>
      <c r="E81" s="24" t="s">
        <v>442</v>
      </c>
      <c r="F81" s="24" t="s">
        <v>443</v>
      </c>
      <c r="G81" s="24" t="s">
        <v>439</v>
      </c>
      <c r="H81" s="24"/>
      <c r="I81" s="25">
        <v>3</v>
      </c>
      <c r="J81" s="24" t="s">
        <v>65</v>
      </c>
      <c r="K81" s="24" t="s">
        <v>444</v>
      </c>
      <c r="L81" s="24" t="s">
        <v>67</v>
      </c>
      <c r="M81" s="24" t="s">
        <v>445</v>
      </c>
      <c r="N81" s="24" t="s">
        <v>445</v>
      </c>
      <c r="O81" s="25">
        <v>0.5</v>
      </c>
      <c r="P81" s="24"/>
      <c r="Q81" s="24"/>
      <c r="R81" s="24"/>
      <c r="S81" s="24">
        <v>0.2</v>
      </c>
      <c r="T81" s="24"/>
      <c r="U81" s="24"/>
      <c r="V81" s="24">
        <v>2.3</v>
      </c>
      <c r="W81" s="24"/>
      <c r="XDO81"/>
      <c r="XDP81"/>
      <c r="XDQ81"/>
      <c r="XDR81"/>
      <c r="XDS81"/>
    </row>
    <row r="82" s="21" customFormat="1" spans="1:16347">
      <c r="A82" s="24" t="s">
        <v>58</v>
      </c>
      <c r="B82" s="25" t="s">
        <v>59</v>
      </c>
      <c r="C82" s="24" t="s">
        <v>60</v>
      </c>
      <c r="D82" s="24" t="s">
        <v>446</v>
      </c>
      <c r="E82" s="24" t="s">
        <v>447</v>
      </c>
      <c r="F82" s="24" t="s">
        <v>448</v>
      </c>
      <c r="G82" s="24" t="s">
        <v>449</v>
      </c>
      <c r="H82" s="24"/>
      <c r="I82" s="25">
        <v>3</v>
      </c>
      <c r="J82" s="24" t="s">
        <v>65</v>
      </c>
      <c r="K82" s="24" t="s">
        <v>450</v>
      </c>
      <c r="L82" s="24" t="s">
        <v>67</v>
      </c>
      <c r="M82" s="24" t="s">
        <v>445</v>
      </c>
      <c r="N82" s="24" t="s">
        <v>445</v>
      </c>
      <c r="O82" s="25">
        <v>0.5</v>
      </c>
      <c r="P82" s="24"/>
      <c r="Q82" s="24"/>
      <c r="R82" s="24"/>
      <c r="S82" s="24">
        <v>0.2</v>
      </c>
      <c r="T82" s="24"/>
      <c r="U82" s="24"/>
      <c r="V82" s="24">
        <v>2.3</v>
      </c>
      <c r="W82" s="24"/>
      <c r="XDO82"/>
      <c r="XDP82"/>
      <c r="XDQ82"/>
      <c r="XDR82"/>
      <c r="XDS82"/>
    </row>
    <row r="83" s="21" customFormat="1" spans="1:16347">
      <c r="A83" s="24" t="s">
        <v>58</v>
      </c>
      <c r="B83" s="25" t="s">
        <v>59</v>
      </c>
      <c r="C83" s="24" t="s">
        <v>60</v>
      </c>
      <c r="D83" s="24" t="s">
        <v>451</v>
      </c>
      <c r="E83" s="24" t="s">
        <v>452</v>
      </c>
      <c r="F83" s="24" t="s">
        <v>453</v>
      </c>
      <c r="G83" s="24" t="s">
        <v>449</v>
      </c>
      <c r="H83" s="24"/>
      <c r="I83" s="25">
        <v>3</v>
      </c>
      <c r="J83" s="24" t="s">
        <v>65</v>
      </c>
      <c r="K83" s="24" t="s">
        <v>454</v>
      </c>
      <c r="L83" s="24" t="s">
        <v>67</v>
      </c>
      <c r="M83" s="24" t="s">
        <v>74</v>
      </c>
      <c r="N83" s="24" t="s">
        <v>74</v>
      </c>
      <c r="O83" s="25">
        <v>0.5</v>
      </c>
      <c r="P83" s="24"/>
      <c r="Q83" s="24"/>
      <c r="R83" s="24"/>
      <c r="S83" s="24">
        <v>0.2</v>
      </c>
      <c r="T83" s="24"/>
      <c r="U83" s="24"/>
      <c r="V83" s="24">
        <v>2.3</v>
      </c>
      <c r="W83" s="24"/>
      <c r="XDO83"/>
      <c r="XDP83"/>
      <c r="XDQ83"/>
      <c r="XDR83"/>
      <c r="XDS83"/>
    </row>
    <row r="84" s="21" customFormat="1" spans="1:16347">
      <c r="A84" s="24" t="s">
        <v>58</v>
      </c>
      <c r="B84" s="25" t="s">
        <v>59</v>
      </c>
      <c r="C84" s="24" t="s">
        <v>60</v>
      </c>
      <c r="D84" s="24" t="s">
        <v>455</v>
      </c>
      <c r="E84" s="24" t="s">
        <v>456</v>
      </c>
      <c r="F84" s="24" t="s">
        <v>457</v>
      </c>
      <c r="G84" s="24" t="s">
        <v>449</v>
      </c>
      <c r="H84" s="24"/>
      <c r="I84" s="25">
        <v>3</v>
      </c>
      <c r="J84" s="24" t="s">
        <v>65</v>
      </c>
      <c r="K84" s="24" t="s">
        <v>458</v>
      </c>
      <c r="L84" s="24" t="s">
        <v>67</v>
      </c>
      <c r="M84" s="24" t="s">
        <v>74</v>
      </c>
      <c r="N84" s="24" t="s">
        <v>74</v>
      </c>
      <c r="O84" s="25">
        <v>0.5</v>
      </c>
      <c r="P84" s="24"/>
      <c r="Q84" s="24"/>
      <c r="R84" s="24"/>
      <c r="S84" s="24">
        <v>0.2</v>
      </c>
      <c r="T84" s="24"/>
      <c r="U84" s="24"/>
      <c r="V84" s="24">
        <v>2.3</v>
      </c>
      <c r="W84" s="24"/>
      <c r="XDO84"/>
      <c r="XDP84"/>
      <c r="XDQ84"/>
      <c r="XDR84"/>
      <c r="XDS84"/>
    </row>
    <row r="85" s="21" customFormat="1" spans="1:16347">
      <c r="A85" s="24" t="s">
        <v>58</v>
      </c>
      <c r="B85" s="25" t="s">
        <v>59</v>
      </c>
      <c r="C85" s="24" t="s">
        <v>60</v>
      </c>
      <c r="D85" s="24" t="s">
        <v>459</v>
      </c>
      <c r="E85" s="24" t="s">
        <v>460</v>
      </c>
      <c r="F85" s="24" t="s">
        <v>461</v>
      </c>
      <c r="G85" s="24" t="s">
        <v>449</v>
      </c>
      <c r="H85" s="24"/>
      <c r="I85" s="25">
        <v>3.6</v>
      </c>
      <c r="J85" s="24" t="s">
        <v>65</v>
      </c>
      <c r="K85" s="24" t="s">
        <v>462</v>
      </c>
      <c r="L85" s="24" t="s">
        <v>67</v>
      </c>
      <c r="M85" s="24" t="s">
        <v>463</v>
      </c>
      <c r="N85" s="24" t="s">
        <v>463</v>
      </c>
      <c r="O85" s="25">
        <v>1</v>
      </c>
      <c r="P85" s="24"/>
      <c r="Q85" s="24"/>
      <c r="R85" s="24"/>
      <c r="S85" s="24"/>
      <c r="T85" s="24"/>
      <c r="U85" s="24"/>
      <c r="V85" s="24">
        <v>2.6</v>
      </c>
      <c r="W85" s="24"/>
      <c r="XDO85"/>
      <c r="XDP85"/>
      <c r="XDQ85"/>
      <c r="XDR85"/>
      <c r="XDS85"/>
    </row>
    <row r="86" s="21" customFormat="1" spans="1:16347">
      <c r="A86" s="24" t="s">
        <v>58</v>
      </c>
      <c r="B86" s="25" t="s">
        <v>59</v>
      </c>
      <c r="C86" s="24" t="s">
        <v>60</v>
      </c>
      <c r="D86" s="24" t="s">
        <v>464</v>
      </c>
      <c r="E86" s="24" t="s">
        <v>465</v>
      </c>
      <c r="F86" s="24" t="s">
        <v>466</v>
      </c>
      <c r="G86" s="24" t="s">
        <v>467</v>
      </c>
      <c r="H86" s="24"/>
      <c r="I86" s="25">
        <v>3</v>
      </c>
      <c r="J86" s="24" t="s">
        <v>65</v>
      </c>
      <c r="K86" s="24" t="s">
        <v>468</v>
      </c>
      <c r="L86" s="24" t="s">
        <v>67</v>
      </c>
      <c r="M86" s="24" t="s">
        <v>74</v>
      </c>
      <c r="N86" s="24" t="s">
        <v>74</v>
      </c>
      <c r="O86" s="25">
        <v>0.5</v>
      </c>
      <c r="P86" s="24"/>
      <c r="Q86" s="24"/>
      <c r="R86" s="24"/>
      <c r="S86" s="24">
        <v>0.2</v>
      </c>
      <c r="T86" s="24"/>
      <c r="U86" s="24"/>
      <c r="V86" s="24">
        <v>2.3</v>
      </c>
      <c r="W86" s="24"/>
      <c r="XDO86"/>
      <c r="XDP86"/>
      <c r="XDQ86"/>
      <c r="XDR86"/>
      <c r="XDS86"/>
    </row>
    <row r="87" s="21" customFormat="1" spans="1:16347">
      <c r="A87" s="24" t="s">
        <v>58</v>
      </c>
      <c r="B87" s="25" t="s">
        <v>59</v>
      </c>
      <c r="C87" s="24" t="s">
        <v>60</v>
      </c>
      <c r="D87" s="24" t="s">
        <v>469</v>
      </c>
      <c r="E87" s="24" t="s">
        <v>470</v>
      </c>
      <c r="F87" s="24" t="s">
        <v>471</v>
      </c>
      <c r="G87" s="24" t="s">
        <v>472</v>
      </c>
      <c r="H87" s="24"/>
      <c r="I87" s="25">
        <v>3</v>
      </c>
      <c r="J87" s="24" t="s">
        <v>65</v>
      </c>
      <c r="K87" s="24" t="s">
        <v>473</v>
      </c>
      <c r="L87" s="24" t="s">
        <v>67</v>
      </c>
      <c r="M87" s="24" t="s">
        <v>74</v>
      </c>
      <c r="N87" s="24" t="s">
        <v>74</v>
      </c>
      <c r="O87" s="25">
        <v>0.5</v>
      </c>
      <c r="P87" s="24"/>
      <c r="Q87" s="24"/>
      <c r="R87" s="24"/>
      <c r="S87" s="24">
        <v>0.2</v>
      </c>
      <c r="T87" s="24"/>
      <c r="U87" s="24"/>
      <c r="V87" s="24">
        <v>2.3</v>
      </c>
      <c r="W87" s="24"/>
      <c r="XDO87"/>
      <c r="XDP87"/>
      <c r="XDQ87"/>
      <c r="XDR87"/>
      <c r="XDS87"/>
    </row>
    <row r="88" s="21" customFormat="1" spans="1:16347">
      <c r="A88" s="24" t="s">
        <v>58</v>
      </c>
      <c r="B88" s="25" t="s">
        <v>59</v>
      </c>
      <c r="C88" s="24" t="s">
        <v>60</v>
      </c>
      <c r="D88" s="24" t="s">
        <v>474</v>
      </c>
      <c r="E88" s="24" t="s">
        <v>475</v>
      </c>
      <c r="F88" s="24" t="s">
        <v>476</v>
      </c>
      <c r="G88" s="24" t="s">
        <v>477</v>
      </c>
      <c r="H88" s="24"/>
      <c r="I88" s="25">
        <v>3.6</v>
      </c>
      <c r="J88" s="24" t="s">
        <v>65</v>
      </c>
      <c r="K88" s="24" t="s">
        <v>478</v>
      </c>
      <c r="L88" s="24" t="s">
        <v>67</v>
      </c>
      <c r="M88" s="24" t="s">
        <v>479</v>
      </c>
      <c r="N88" s="24" t="s">
        <v>479</v>
      </c>
      <c r="O88" s="25">
        <v>0.7</v>
      </c>
      <c r="P88" s="24"/>
      <c r="Q88" s="24"/>
      <c r="R88" s="24"/>
      <c r="S88" s="24">
        <v>0.5</v>
      </c>
      <c r="T88" s="24"/>
      <c r="U88" s="24"/>
      <c r="V88" s="24">
        <v>2.4</v>
      </c>
      <c r="W88" s="24"/>
      <c r="XDO88"/>
      <c r="XDP88"/>
      <c r="XDQ88"/>
      <c r="XDR88"/>
      <c r="XDS88"/>
    </row>
    <row r="89" s="21" customFormat="1" spans="1:16347">
      <c r="A89" s="24" t="s">
        <v>58</v>
      </c>
      <c r="B89" s="25" t="s">
        <v>59</v>
      </c>
      <c r="C89" s="24" t="s">
        <v>60</v>
      </c>
      <c r="D89" s="24" t="s">
        <v>480</v>
      </c>
      <c r="E89" s="24" t="s">
        <v>481</v>
      </c>
      <c r="F89" s="24" t="s">
        <v>482</v>
      </c>
      <c r="G89" s="24" t="s">
        <v>483</v>
      </c>
      <c r="H89" s="24"/>
      <c r="I89" s="25">
        <v>3.6</v>
      </c>
      <c r="J89" s="24" t="s">
        <v>65</v>
      </c>
      <c r="K89" s="24" t="s">
        <v>484</v>
      </c>
      <c r="L89" s="24" t="s">
        <v>67</v>
      </c>
      <c r="M89" s="24" t="s">
        <v>200</v>
      </c>
      <c r="N89" s="24" t="s">
        <v>200</v>
      </c>
      <c r="O89" s="25">
        <v>0.7</v>
      </c>
      <c r="P89" s="24"/>
      <c r="Q89" s="24"/>
      <c r="R89" s="24"/>
      <c r="S89" s="24">
        <v>0.5</v>
      </c>
      <c r="T89" s="24"/>
      <c r="U89" s="24"/>
      <c r="V89" s="24">
        <v>2.4</v>
      </c>
      <c r="W89" s="24"/>
      <c r="XDO89"/>
      <c r="XDP89"/>
      <c r="XDQ89"/>
      <c r="XDR89"/>
      <c r="XDS89"/>
    </row>
    <row r="90" s="21" customFormat="1" spans="1:16347">
      <c r="A90" s="24" t="s">
        <v>58</v>
      </c>
      <c r="B90" s="25" t="s">
        <v>59</v>
      </c>
      <c r="C90" s="24" t="s">
        <v>60</v>
      </c>
      <c r="D90" s="24" t="s">
        <v>485</v>
      </c>
      <c r="E90" s="24" t="s">
        <v>486</v>
      </c>
      <c r="F90" s="24" t="s">
        <v>487</v>
      </c>
      <c r="G90" s="24" t="s">
        <v>483</v>
      </c>
      <c r="H90" s="24"/>
      <c r="I90" s="25">
        <v>3.6</v>
      </c>
      <c r="J90" s="24" t="s">
        <v>65</v>
      </c>
      <c r="K90" s="24" t="s">
        <v>488</v>
      </c>
      <c r="L90" s="24" t="s">
        <v>67</v>
      </c>
      <c r="M90" s="24" t="s">
        <v>200</v>
      </c>
      <c r="N90" s="24" t="s">
        <v>200</v>
      </c>
      <c r="O90" s="25">
        <v>0.7</v>
      </c>
      <c r="P90" s="24"/>
      <c r="Q90" s="24"/>
      <c r="R90" s="24"/>
      <c r="S90" s="24">
        <v>0.5</v>
      </c>
      <c r="T90" s="24"/>
      <c r="U90" s="24"/>
      <c r="V90" s="24">
        <v>2.4</v>
      </c>
      <c r="W90" s="24"/>
      <c r="XDO90"/>
      <c r="XDP90"/>
      <c r="XDQ90"/>
      <c r="XDR90"/>
      <c r="XDS90"/>
    </row>
    <row r="91" s="21" customFormat="1" spans="1:16347">
      <c r="A91" s="24" t="s">
        <v>58</v>
      </c>
      <c r="B91" s="25" t="s">
        <v>59</v>
      </c>
      <c r="C91" s="24" t="s">
        <v>60</v>
      </c>
      <c r="D91" s="24" t="s">
        <v>489</v>
      </c>
      <c r="E91" s="24" t="s">
        <v>490</v>
      </c>
      <c r="F91" s="24" t="s">
        <v>491</v>
      </c>
      <c r="G91" s="24" t="s">
        <v>483</v>
      </c>
      <c r="H91" s="24"/>
      <c r="I91" s="25">
        <v>3.6</v>
      </c>
      <c r="J91" s="24" t="s">
        <v>65</v>
      </c>
      <c r="K91" s="24" t="s">
        <v>492</v>
      </c>
      <c r="L91" s="24" t="s">
        <v>67</v>
      </c>
      <c r="M91" s="24" t="s">
        <v>200</v>
      </c>
      <c r="N91" s="24" t="s">
        <v>200</v>
      </c>
      <c r="O91" s="25">
        <v>0.7</v>
      </c>
      <c r="P91" s="24"/>
      <c r="Q91" s="24"/>
      <c r="R91" s="24"/>
      <c r="S91" s="24">
        <v>0.5</v>
      </c>
      <c r="T91" s="24"/>
      <c r="U91" s="24"/>
      <c r="V91" s="24">
        <v>2.4</v>
      </c>
      <c r="W91" s="24"/>
      <c r="XDO91"/>
      <c r="XDP91"/>
      <c r="XDQ91"/>
      <c r="XDR91"/>
      <c r="XDS91"/>
    </row>
    <row r="92" s="21" customFormat="1" spans="1:16347">
      <c r="A92" s="24" t="s">
        <v>58</v>
      </c>
      <c r="B92" s="25" t="s">
        <v>59</v>
      </c>
      <c r="C92" s="24" t="s">
        <v>60</v>
      </c>
      <c r="D92" s="24" t="s">
        <v>493</v>
      </c>
      <c r="E92" s="24" t="s">
        <v>494</v>
      </c>
      <c r="F92" s="24" t="s">
        <v>495</v>
      </c>
      <c r="G92" s="24" t="s">
        <v>477</v>
      </c>
      <c r="H92" s="24"/>
      <c r="I92" s="25">
        <v>3.6</v>
      </c>
      <c r="J92" s="24" t="s">
        <v>65</v>
      </c>
      <c r="K92" s="24" t="s">
        <v>496</v>
      </c>
      <c r="L92" s="24" t="s">
        <v>67</v>
      </c>
      <c r="M92" s="24" t="s">
        <v>200</v>
      </c>
      <c r="N92" s="24" t="s">
        <v>200</v>
      </c>
      <c r="O92" s="25">
        <v>0.7</v>
      </c>
      <c r="P92" s="24"/>
      <c r="Q92" s="24"/>
      <c r="R92" s="24"/>
      <c r="S92" s="24">
        <v>0.5</v>
      </c>
      <c r="T92" s="24"/>
      <c r="U92" s="24"/>
      <c r="V92" s="24">
        <v>2.4</v>
      </c>
      <c r="W92" s="24"/>
      <c r="XDO92"/>
      <c r="XDP92"/>
      <c r="XDQ92"/>
      <c r="XDR92"/>
      <c r="XDS92"/>
    </row>
    <row r="93" s="21" customFormat="1" spans="1:16347">
      <c r="A93" s="24" t="s">
        <v>58</v>
      </c>
      <c r="B93" s="25" t="s">
        <v>59</v>
      </c>
      <c r="C93" s="24" t="s">
        <v>60</v>
      </c>
      <c r="D93" s="24" t="s">
        <v>497</v>
      </c>
      <c r="E93" s="24" t="s">
        <v>498</v>
      </c>
      <c r="F93" s="24" t="s">
        <v>499</v>
      </c>
      <c r="G93" s="24" t="s">
        <v>500</v>
      </c>
      <c r="H93" s="24"/>
      <c r="I93" s="25">
        <v>3.6</v>
      </c>
      <c r="J93" s="24" t="s">
        <v>65</v>
      </c>
      <c r="K93" s="24" t="s">
        <v>501</v>
      </c>
      <c r="L93" s="24" t="s">
        <v>67</v>
      </c>
      <c r="M93" s="24" t="s">
        <v>200</v>
      </c>
      <c r="N93" s="24" t="s">
        <v>200</v>
      </c>
      <c r="O93" s="25">
        <v>0.7</v>
      </c>
      <c r="P93" s="24"/>
      <c r="Q93" s="24"/>
      <c r="R93" s="24"/>
      <c r="S93" s="24">
        <v>0.5</v>
      </c>
      <c r="T93" s="24"/>
      <c r="U93" s="24"/>
      <c r="V93" s="24">
        <v>2.4</v>
      </c>
      <c r="W93" s="24"/>
      <c r="XDO93"/>
      <c r="XDP93"/>
      <c r="XDQ93"/>
      <c r="XDR93"/>
      <c r="XDS93"/>
    </row>
    <row r="94" s="21" customFormat="1" spans="1:16347">
      <c r="A94" s="24" t="s">
        <v>58</v>
      </c>
      <c r="B94" s="25" t="s">
        <v>59</v>
      </c>
      <c r="C94" s="24" t="s">
        <v>60</v>
      </c>
      <c r="D94" s="24" t="s">
        <v>502</v>
      </c>
      <c r="E94" s="24" t="s">
        <v>503</v>
      </c>
      <c r="F94" s="24" t="s">
        <v>504</v>
      </c>
      <c r="G94" s="24" t="s">
        <v>500</v>
      </c>
      <c r="H94" s="24"/>
      <c r="I94" s="25">
        <v>3</v>
      </c>
      <c r="J94" s="24" t="s">
        <v>65</v>
      </c>
      <c r="K94" s="24" t="s">
        <v>505</v>
      </c>
      <c r="L94" s="24" t="s">
        <v>67</v>
      </c>
      <c r="M94" s="24" t="s">
        <v>74</v>
      </c>
      <c r="N94" s="24" t="s">
        <v>74</v>
      </c>
      <c r="O94" s="25">
        <v>0.5</v>
      </c>
      <c r="P94" s="24"/>
      <c r="Q94" s="24"/>
      <c r="R94" s="24"/>
      <c r="S94" s="24">
        <v>0.2</v>
      </c>
      <c r="T94" s="24"/>
      <c r="U94" s="24"/>
      <c r="V94" s="24">
        <v>2.3</v>
      </c>
      <c r="W94" s="24"/>
      <c r="XDO94"/>
      <c r="XDP94"/>
      <c r="XDQ94"/>
      <c r="XDR94"/>
      <c r="XDS94"/>
    </row>
    <row r="95" s="21" customFormat="1" spans="1:16347">
      <c r="A95" s="24" t="s">
        <v>58</v>
      </c>
      <c r="B95" s="25" t="s">
        <v>59</v>
      </c>
      <c r="C95" s="24" t="s">
        <v>60</v>
      </c>
      <c r="D95" s="24" t="s">
        <v>506</v>
      </c>
      <c r="E95" s="24" t="s">
        <v>507</v>
      </c>
      <c r="F95" s="24" t="s">
        <v>508</v>
      </c>
      <c r="G95" s="24" t="s">
        <v>500</v>
      </c>
      <c r="H95" s="24"/>
      <c r="I95" s="25">
        <v>3</v>
      </c>
      <c r="J95" s="24" t="s">
        <v>65</v>
      </c>
      <c r="K95" s="24" t="s">
        <v>509</v>
      </c>
      <c r="L95" s="24" t="s">
        <v>67</v>
      </c>
      <c r="M95" s="24" t="s">
        <v>74</v>
      </c>
      <c r="N95" s="24" t="s">
        <v>74</v>
      </c>
      <c r="O95" s="25">
        <v>0.5</v>
      </c>
      <c r="P95" s="24"/>
      <c r="Q95" s="24"/>
      <c r="R95" s="24"/>
      <c r="S95" s="24">
        <v>0.2</v>
      </c>
      <c r="T95" s="24"/>
      <c r="U95" s="24"/>
      <c r="V95" s="24">
        <v>2.3</v>
      </c>
      <c r="W95" s="24"/>
      <c r="XDO95"/>
      <c r="XDP95"/>
      <c r="XDQ95"/>
      <c r="XDR95"/>
      <c r="XDS95"/>
    </row>
    <row r="96" s="21" customFormat="1" spans="1:16347">
      <c r="A96" s="29" t="s">
        <v>58</v>
      </c>
      <c r="B96" s="30" t="s">
        <v>59</v>
      </c>
      <c r="C96" s="29" t="s">
        <v>60</v>
      </c>
      <c r="D96" s="29" t="s">
        <v>510</v>
      </c>
      <c r="E96" s="29" t="s">
        <v>511</v>
      </c>
      <c r="F96" s="29" t="s">
        <v>512</v>
      </c>
      <c r="G96" s="29" t="s">
        <v>513</v>
      </c>
      <c r="H96" s="29"/>
      <c r="I96" s="30">
        <v>3.6</v>
      </c>
      <c r="J96" s="29" t="s">
        <v>65</v>
      </c>
      <c r="K96" s="29" t="s">
        <v>514</v>
      </c>
      <c r="L96" s="29" t="s">
        <v>67</v>
      </c>
      <c r="M96" s="29" t="s">
        <v>200</v>
      </c>
      <c r="N96" s="29" t="s">
        <v>200</v>
      </c>
      <c r="O96" s="30">
        <v>0.7</v>
      </c>
      <c r="P96" s="29"/>
      <c r="Q96" s="24"/>
      <c r="R96" s="24"/>
      <c r="S96" s="24">
        <v>0.5</v>
      </c>
      <c r="T96" s="24"/>
      <c r="U96" s="24"/>
      <c r="V96" s="24">
        <v>2.4</v>
      </c>
      <c r="W96" s="24"/>
      <c r="XDO96"/>
      <c r="XDP96"/>
      <c r="XDQ96"/>
      <c r="XDR96"/>
      <c r="XDS96"/>
    </row>
    <row r="97" s="21" customFormat="1" spans="1:16347">
      <c r="A97" s="24" t="s">
        <v>58</v>
      </c>
      <c r="B97" s="25" t="s">
        <v>59</v>
      </c>
      <c r="C97" s="24" t="s">
        <v>60</v>
      </c>
      <c r="D97" s="24" t="s">
        <v>515</v>
      </c>
      <c r="E97" s="24" t="s">
        <v>516</v>
      </c>
      <c r="F97" s="24" t="s">
        <v>517</v>
      </c>
      <c r="G97" s="24" t="s">
        <v>513</v>
      </c>
      <c r="H97" s="24"/>
      <c r="I97" s="25">
        <v>4.8</v>
      </c>
      <c r="J97" s="24" t="s">
        <v>65</v>
      </c>
      <c r="K97" s="24" t="s">
        <v>518</v>
      </c>
      <c r="L97" s="24" t="s">
        <v>67</v>
      </c>
      <c r="M97" s="24" t="s">
        <v>519</v>
      </c>
      <c r="N97" s="24" t="s">
        <v>519</v>
      </c>
      <c r="O97" s="25">
        <v>2</v>
      </c>
      <c r="P97" s="24"/>
      <c r="Q97" s="24"/>
      <c r="R97" s="24"/>
      <c r="S97" s="24"/>
      <c r="T97" s="24"/>
      <c r="U97" s="24"/>
      <c r="V97" s="24">
        <v>2.8</v>
      </c>
      <c r="W97" s="24"/>
      <c r="XDO97"/>
      <c r="XDP97"/>
      <c r="XDQ97"/>
      <c r="XDR97"/>
      <c r="XDS97"/>
    </row>
    <row r="98" s="21" customFormat="1" spans="1:16347">
      <c r="A98" s="24" t="s">
        <v>58</v>
      </c>
      <c r="B98" s="25" t="s">
        <v>59</v>
      </c>
      <c r="C98" s="24" t="s">
        <v>60</v>
      </c>
      <c r="D98" s="24" t="s">
        <v>520</v>
      </c>
      <c r="E98" s="24" t="s">
        <v>521</v>
      </c>
      <c r="F98" s="24" t="s">
        <v>522</v>
      </c>
      <c r="G98" s="24" t="s">
        <v>513</v>
      </c>
      <c r="H98" s="24"/>
      <c r="I98" s="25">
        <v>3</v>
      </c>
      <c r="J98" s="24" t="s">
        <v>65</v>
      </c>
      <c r="K98" s="24" t="s">
        <v>523</v>
      </c>
      <c r="L98" s="24" t="s">
        <v>67</v>
      </c>
      <c r="M98" s="24" t="s">
        <v>74</v>
      </c>
      <c r="N98" s="24" t="s">
        <v>74</v>
      </c>
      <c r="O98" s="25">
        <v>0.5</v>
      </c>
      <c r="P98" s="24"/>
      <c r="Q98" s="24"/>
      <c r="R98" s="24"/>
      <c r="S98" s="24">
        <v>0.2</v>
      </c>
      <c r="T98" s="24"/>
      <c r="U98" s="24"/>
      <c r="V98" s="24">
        <v>2.3</v>
      </c>
      <c r="W98" s="24"/>
      <c r="XDO98"/>
      <c r="XDP98"/>
      <c r="XDQ98"/>
      <c r="XDR98"/>
      <c r="XDS98"/>
    </row>
    <row r="99" s="21" customFormat="1" spans="1:16347">
      <c r="A99" s="24" t="s">
        <v>58</v>
      </c>
      <c r="B99" s="25" t="s">
        <v>59</v>
      </c>
      <c r="C99" s="24" t="s">
        <v>60</v>
      </c>
      <c r="D99" s="24" t="s">
        <v>524</v>
      </c>
      <c r="E99" s="24" t="s">
        <v>525</v>
      </c>
      <c r="F99" s="24" t="s">
        <v>526</v>
      </c>
      <c r="G99" s="24" t="s">
        <v>513</v>
      </c>
      <c r="H99" s="24"/>
      <c r="I99" s="25">
        <v>3.6</v>
      </c>
      <c r="J99" s="24" t="s">
        <v>65</v>
      </c>
      <c r="K99" s="24" t="s">
        <v>527</v>
      </c>
      <c r="L99" s="24" t="s">
        <v>67</v>
      </c>
      <c r="M99" s="24" t="s">
        <v>200</v>
      </c>
      <c r="N99" s="24" t="s">
        <v>200</v>
      </c>
      <c r="O99" s="25">
        <v>0.7</v>
      </c>
      <c r="P99" s="24"/>
      <c r="Q99" s="24"/>
      <c r="R99" s="24"/>
      <c r="S99" s="24">
        <v>0.5</v>
      </c>
      <c r="T99" s="24"/>
      <c r="U99" s="24"/>
      <c r="V99" s="24">
        <v>2.4</v>
      </c>
      <c r="W99" s="24"/>
      <c r="XDO99"/>
      <c r="XDP99"/>
      <c r="XDQ99"/>
      <c r="XDR99"/>
      <c r="XDS99"/>
    </row>
    <row r="100" s="21" customFormat="1" spans="1:16347">
      <c r="A100" s="24" t="s">
        <v>58</v>
      </c>
      <c r="B100" s="25" t="s">
        <v>59</v>
      </c>
      <c r="C100" s="24" t="s">
        <v>60</v>
      </c>
      <c r="D100" s="24" t="s">
        <v>528</v>
      </c>
      <c r="E100" s="24" t="s">
        <v>529</v>
      </c>
      <c r="F100" s="24" t="s">
        <v>530</v>
      </c>
      <c r="G100" s="24" t="s">
        <v>513</v>
      </c>
      <c r="H100" s="24"/>
      <c r="I100" s="25">
        <v>3.6</v>
      </c>
      <c r="J100" s="24" t="s">
        <v>65</v>
      </c>
      <c r="K100" s="24" t="s">
        <v>531</v>
      </c>
      <c r="L100" s="24" t="s">
        <v>67</v>
      </c>
      <c r="M100" s="24" t="s">
        <v>200</v>
      </c>
      <c r="N100" s="24" t="s">
        <v>200</v>
      </c>
      <c r="O100" s="25">
        <v>0.7</v>
      </c>
      <c r="P100" s="24"/>
      <c r="Q100" s="24"/>
      <c r="R100" s="24"/>
      <c r="S100" s="24">
        <v>0.5</v>
      </c>
      <c r="T100" s="24"/>
      <c r="U100" s="24"/>
      <c r="V100" s="24">
        <v>2.4</v>
      </c>
      <c r="W100" s="24"/>
      <c r="XDO100"/>
      <c r="XDP100"/>
      <c r="XDQ100"/>
      <c r="XDR100"/>
      <c r="XDS100"/>
    </row>
    <row r="101" s="21" customFormat="1" spans="1:16347">
      <c r="A101" s="24" t="s">
        <v>58</v>
      </c>
      <c r="B101" s="25" t="s">
        <v>59</v>
      </c>
      <c r="C101" s="24" t="s">
        <v>60</v>
      </c>
      <c r="D101" s="24" t="s">
        <v>532</v>
      </c>
      <c r="E101" s="24" t="s">
        <v>533</v>
      </c>
      <c r="F101" s="24" t="s">
        <v>534</v>
      </c>
      <c r="G101" s="24" t="s">
        <v>535</v>
      </c>
      <c r="H101" s="24"/>
      <c r="I101" s="25">
        <v>3.6</v>
      </c>
      <c r="J101" s="24" t="s">
        <v>65</v>
      </c>
      <c r="K101" s="24" t="s">
        <v>536</v>
      </c>
      <c r="L101" s="24" t="s">
        <v>67</v>
      </c>
      <c r="M101" s="24" t="s">
        <v>200</v>
      </c>
      <c r="N101" s="24" t="s">
        <v>200</v>
      </c>
      <c r="O101" s="25">
        <v>0.7</v>
      </c>
      <c r="P101" s="24"/>
      <c r="Q101" s="24"/>
      <c r="R101" s="24"/>
      <c r="S101" s="24">
        <v>0.5</v>
      </c>
      <c r="T101" s="24"/>
      <c r="U101" s="24"/>
      <c r="V101" s="24">
        <v>2.4</v>
      </c>
      <c r="W101" s="24"/>
      <c r="XDO101"/>
      <c r="XDP101"/>
      <c r="XDQ101"/>
      <c r="XDR101"/>
      <c r="XDS101"/>
    </row>
    <row r="102" s="21" customFormat="1" spans="1:16347">
      <c r="A102" s="24" t="s">
        <v>58</v>
      </c>
      <c r="B102" s="25" t="s">
        <v>59</v>
      </c>
      <c r="C102" s="24" t="s">
        <v>60</v>
      </c>
      <c r="D102" s="24" t="s">
        <v>537</v>
      </c>
      <c r="E102" s="24" t="s">
        <v>538</v>
      </c>
      <c r="F102" s="24" t="s">
        <v>539</v>
      </c>
      <c r="G102" s="24" t="s">
        <v>535</v>
      </c>
      <c r="H102" s="24"/>
      <c r="I102" s="25">
        <v>4.8</v>
      </c>
      <c r="J102" s="24" t="s">
        <v>65</v>
      </c>
      <c r="K102" s="24" t="s">
        <v>540</v>
      </c>
      <c r="L102" s="24" t="s">
        <v>67</v>
      </c>
      <c r="M102" s="24" t="s">
        <v>164</v>
      </c>
      <c r="N102" s="24" t="s">
        <v>164</v>
      </c>
      <c r="O102" s="25">
        <v>2</v>
      </c>
      <c r="P102" s="24"/>
      <c r="Q102" s="31"/>
      <c r="R102" s="31"/>
      <c r="S102" s="31"/>
      <c r="T102" s="31"/>
      <c r="U102" s="31"/>
      <c r="V102" s="31">
        <v>2.8</v>
      </c>
      <c r="XDO102"/>
      <c r="XDP102"/>
      <c r="XDQ102"/>
      <c r="XDR102"/>
      <c r="XDS102"/>
    </row>
    <row r="103" s="21" customFormat="1" spans="1:16347">
      <c r="A103" s="24" t="s">
        <v>58</v>
      </c>
      <c r="B103" s="25" t="s">
        <v>59</v>
      </c>
      <c r="C103" s="24" t="s">
        <v>60</v>
      </c>
      <c r="D103" s="24" t="s">
        <v>541</v>
      </c>
      <c r="E103" s="24" t="s">
        <v>542</v>
      </c>
      <c r="F103" s="24" t="s">
        <v>543</v>
      </c>
      <c r="G103" s="24" t="s">
        <v>544</v>
      </c>
      <c r="H103" s="24"/>
      <c r="I103" s="25">
        <v>3.6</v>
      </c>
      <c r="J103" s="24" t="s">
        <v>65</v>
      </c>
      <c r="K103" s="24" t="s">
        <v>545</v>
      </c>
      <c r="L103" s="24" t="s">
        <v>67</v>
      </c>
      <c r="M103" s="24" t="s">
        <v>200</v>
      </c>
      <c r="N103" s="24" t="s">
        <v>200</v>
      </c>
      <c r="O103" s="25">
        <v>0.7</v>
      </c>
      <c r="P103" s="24"/>
      <c r="Q103" s="24"/>
      <c r="R103" s="24"/>
      <c r="S103" s="24">
        <v>0.5</v>
      </c>
      <c r="T103" s="24"/>
      <c r="U103" s="24"/>
      <c r="V103" s="24">
        <v>2.4</v>
      </c>
      <c r="XDO103"/>
      <c r="XDP103"/>
      <c r="XDQ103"/>
      <c r="XDR103"/>
      <c r="XDS103"/>
    </row>
    <row r="104" s="21" customFormat="1" spans="1:16347">
      <c r="A104" s="24" t="s">
        <v>58</v>
      </c>
      <c r="B104" s="25" t="s">
        <v>59</v>
      </c>
      <c r="C104" s="24" t="s">
        <v>60</v>
      </c>
      <c r="D104" s="24" t="s">
        <v>546</v>
      </c>
      <c r="E104" s="24" t="s">
        <v>547</v>
      </c>
      <c r="F104" s="24" t="s">
        <v>548</v>
      </c>
      <c r="G104" s="24" t="s">
        <v>544</v>
      </c>
      <c r="H104" s="24"/>
      <c r="I104" s="25">
        <v>3.6</v>
      </c>
      <c r="J104" s="24" t="s">
        <v>65</v>
      </c>
      <c r="K104" s="24" t="s">
        <v>549</v>
      </c>
      <c r="L104" s="24" t="s">
        <v>67</v>
      </c>
      <c r="M104" s="24" t="s">
        <v>200</v>
      </c>
      <c r="N104" s="24" t="s">
        <v>200</v>
      </c>
      <c r="O104" s="25">
        <v>0.7</v>
      </c>
      <c r="P104" s="24"/>
      <c r="Q104" s="24"/>
      <c r="R104" s="24"/>
      <c r="S104" s="24">
        <v>0.5</v>
      </c>
      <c r="T104" s="24"/>
      <c r="U104" s="24"/>
      <c r="V104" s="24">
        <v>2.4</v>
      </c>
      <c r="XDO104"/>
      <c r="XDP104"/>
      <c r="XDQ104"/>
      <c r="XDR104"/>
      <c r="XDS104"/>
    </row>
    <row r="105" s="21" customFormat="1" spans="1:16347">
      <c r="A105" s="24" t="s">
        <v>58</v>
      </c>
      <c r="B105" s="25" t="s">
        <v>59</v>
      </c>
      <c r="C105" s="24" t="s">
        <v>60</v>
      </c>
      <c r="D105" s="24" t="s">
        <v>550</v>
      </c>
      <c r="E105" s="24" t="s">
        <v>551</v>
      </c>
      <c r="F105" s="24" t="s">
        <v>552</v>
      </c>
      <c r="G105" s="24" t="s">
        <v>544</v>
      </c>
      <c r="H105" s="24"/>
      <c r="I105" s="25">
        <v>4.8</v>
      </c>
      <c r="J105" s="24" t="s">
        <v>65</v>
      </c>
      <c r="K105" s="24" t="s">
        <v>553</v>
      </c>
      <c r="L105" s="24" t="s">
        <v>67</v>
      </c>
      <c r="M105" s="24" t="s">
        <v>164</v>
      </c>
      <c r="N105" s="24" t="s">
        <v>164</v>
      </c>
      <c r="O105" s="25">
        <v>2</v>
      </c>
      <c r="P105" s="24"/>
      <c r="Q105" s="24"/>
      <c r="R105" s="24"/>
      <c r="S105" s="24"/>
      <c r="T105" s="24"/>
      <c r="U105" s="24"/>
      <c r="V105" s="24">
        <v>2.8</v>
      </c>
      <c r="XDO105"/>
      <c r="XDP105"/>
      <c r="XDQ105"/>
      <c r="XDR105"/>
      <c r="XDS105"/>
    </row>
    <row r="106" s="21" customFormat="1" spans="1:16347">
      <c r="A106" s="24" t="s">
        <v>58</v>
      </c>
      <c r="B106" s="25" t="s">
        <v>59</v>
      </c>
      <c r="C106" s="24" t="s">
        <v>60</v>
      </c>
      <c r="D106" s="24" t="s">
        <v>554</v>
      </c>
      <c r="E106" s="24" t="s">
        <v>555</v>
      </c>
      <c r="F106" s="24" t="s">
        <v>556</v>
      </c>
      <c r="G106" s="24" t="s">
        <v>557</v>
      </c>
      <c r="H106" s="24"/>
      <c r="I106" s="25">
        <v>3.6</v>
      </c>
      <c r="J106" s="24" t="s">
        <v>65</v>
      </c>
      <c r="K106" s="24" t="s">
        <v>558</v>
      </c>
      <c r="L106" s="24" t="s">
        <v>67</v>
      </c>
      <c r="M106" s="24" t="s">
        <v>200</v>
      </c>
      <c r="N106" s="24" t="s">
        <v>200</v>
      </c>
      <c r="O106" s="25">
        <v>0.7</v>
      </c>
      <c r="P106" s="24"/>
      <c r="Q106" s="24"/>
      <c r="R106" s="24"/>
      <c r="S106" s="24">
        <v>0.5</v>
      </c>
      <c r="T106" s="24"/>
      <c r="U106" s="24"/>
      <c r="V106" s="24">
        <v>2.4</v>
      </c>
      <c r="XDO106"/>
      <c r="XDP106"/>
      <c r="XDQ106"/>
      <c r="XDR106"/>
      <c r="XDS106"/>
    </row>
    <row r="107" s="21" customFormat="1" spans="1:16347">
      <c r="A107" s="24" t="s">
        <v>58</v>
      </c>
      <c r="B107" s="25" t="s">
        <v>59</v>
      </c>
      <c r="C107" s="24" t="s">
        <v>60</v>
      </c>
      <c r="D107" s="24" t="s">
        <v>559</v>
      </c>
      <c r="E107" s="24" t="s">
        <v>560</v>
      </c>
      <c r="F107" s="24" t="s">
        <v>561</v>
      </c>
      <c r="G107" s="24" t="s">
        <v>557</v>
      </c>
      <c r="H107" s="24"/>
      <c r="I107" s="25">
        <v>3.6</v>
      </c>
      <c r="J107" s="24" t="s">
        <v>65</v>
      </c>
      <c r="K107" s="24" t="s">
        <v>562</v>
      </c>
      <c r="L107" s="24" t="s">
        <v>67</v>
      </c>
      <c r="M107" s="24" t="s">
        <v>179</v>
      </c>
      <c r="N107" s="24" t="s">
        <v>179</v>
      </c>
      <c r="O107" s="25">
        <v>0.7</v>
      </c>
      <c r="P107" s="24"/>
      <c r="Q107" s="24"/>
      <c r="R107" s="24"/>
      <c r="S107" s="24">
        <v>0.5</v>
      </c>
      <c r="T107" s="24"/>
      <c r="U107" s="24"/>
      <c r="V107" s="24">
        <v>2.4</v>
      </c>
      <c r="XDO107"/>
      <c r="XDP107"/>
      <c r="XDQ107"/>
      <c r="XDR107"/>
      <c r="XDS107"/>
    </row>
    <row r="108" s="21" customFormat="1" spans="1:16347">
      <c r="A108" s="24" t="s">
        <v>58</v>
      </c>
      <c r="B108" s="25" t="s">
        <v>59</v>
      </c>
      <c r="C108" s="24" t="s">
        <v>60</v>
      </c>
      <c r="D108" s="24" t="s">
        <v>563</v>
      </c>
      <c r="E108" s="24" t="s">
        <v>564</v>
      </c>
      <c r="F108" s="24" t="s">
        <v>565</v>
      </c>
      <c r="G108" s="24" t="s">
        <v>557</v>
      </c>
      <c r="H108" s="24"/>
      <c r="I108" s="25">
        <v>2.8</v>
      </c>
      <c r="J108" s="24" t="s">
        <v>65</v>
      </c>
      <c r="K108" s="24" t="s">
        <v>566</v>
      </c>
      <c r="L108" s="24" t="s">
        <v>67</v>
      </c>
      <c r="M108" s="24" t="s">
        <v>137</v>
      </c>
      <c r="N108" s="24" t="s">
        <v>137</v>
      </c>
      <c r="O108" s="25">
        <v>0.5</v>
      </c>
      <c r="P108" s="24"/>
      <c r="Q108" s="24"/>
      <c r="R108" s="24"/>
      <c r="S108" s="24"/>
      <c r="T108" s="24"/>
      <c r="U108" s="24"/>
      <c r="V108" s="24">
        <v>2.3</v>
      </c>
      <c r="XDO108"/>
      <c r="XDP108"/>
      <c r="XDQ108"/>
      <c r="XDR108"/>
      <c r="XDS108"/>
    </row>
    <row r="109" s="21" customFormat="1" spans="1:16347">
      <c r="A109" s="24" t="s">
        <v>58</v>
      </c>
      <c r="B109" s="25" t="s">
        <v>59</v>
      </c>
      <c r="C109" s="24" t="s">
        <v>60</v>
      </c>
      <c r="D109" s="24" t="s">
        <v>567</v>
      </c>
      <c r="E109" s="24" t="s">
        <v>568</v>
      </c>
      <c r="F109" s="24" t="s">
        <v>569</v>
      </c>
      <c r="G109" s="24" t="s">
        <v>570</v>
      </c>
      <c r="H109" s="24"/>
      <c r="I109" s="25">
        <v>3.6</v>
      </c>
      <c r="J109" s="24" t="s">
        <v>65</v>
      </c>
      <c r="K109" s="24" t="s">
        <v>571</v>
      </c>
      <c r="L109" s="24" t="s">
        <v>67</v>
      </c>
      <c r="M109" s="24" t="s">
        <v>179</v>
      </c>
      <c r="N109" s="24" t="s">
        <v>179</v>
      </c>
      <c r="O109" s="25">
        <v>0.7</v>
      </c>
      <c r="P109" s="24"/>
      <c r="Q109" s="24"/>
      <c r="R109" s="24"/>
      <c r="S109" s="24">
        <v>0.5</v>
      </c>
      <c r="T109" s="24"/>
      <c r="U109" s="24"/>
      <c r="V109" s="24">
        <v>2.4</v>
      </c>
      <c r="XDO109"/>
      <c r="XDP109"/>
      <c r="XDQ109"/>
      <c r="XDR109"/>
      <c r="XDS109"/>
    </row>
    <row r="110" s="21" customFormat="1" spans="1:16347">
      <c r="A110" s="24" t="s">
        <v>58</v>
      </c>
      <c r="B110" s="25" t="s">
        <v>59</v>
      </c>
      <c r="C110" s="24" t="s">
        <v>60</v>
      </c>
      <c r="D110" s="24" t="s">
        <v>572</v>
      </c>
      <c r="E110" s="24" t="s">
        <v>573</v>
      </c>
      <c r="F110" s="24" t="s">
        <v>574</v>
      </c>
      <c r="G110" s="24" t="s">
        <v>570</v>
      </c>
      <c r="H110" s="24"/>
      <c r="I110" s="25">
        <v>3.4</v>
      </c>
      <c r="J110" s="24" t="s">
        <v>65</v>
      </c>
      <c r="K110" s="24" t="s">
        <v>575</v>
      </c>
      <c r="L110" s="24" t="s">
        <v>67</v>
      </c>
      <c r="M110" s="24" t="s">
        <v>382</v>
      </c>
      <c r="N110" s="24" t="s">
        <v>382</v>
      </c>
      <c r="O110" s="25">
        <v>0.7</v>
      </c>
      <c r="P110" s="24"/>
      <c r="Q110" s="24"/>
      <c r="R110" s="24"/>
      <c r="S110" s="24">
        <v>0.3</v>
      </c>
      <c r="T110" s="24"/>
      <c r="U110" s="24"/>
      <c r="V110" s="24">
        <v>2.4</v>
      </c>
      <c r="XDO110"/>
      <c r="XDP110"/>
      <c r="XDQ110"/>
      <c r="XDR110"/>
      <c r="XDS110"/>
    </row>
    <row r="111" s="21" customFormat="1" spans="1:16347">
      <c r="A111" s="24" t="s">
        <v>58</v>
      </c>
      <c r="B111" s="25" t="s">
        <v>59</v>
      </c>
      <c r="C111" s="24" t="s">
        <v>60</v>
      </c>
      <c r="D111" s="24" t="s">
        <v>576</v>
      </c>
      <c r="E111" s="24" t="s">
        <v>577</v>
      </c>
      <c r="F111" s="24" t="s">
        <v>578</v>
      </c>
      <c r="G111" s="24" t="s">
        <v>579</v>
      </c>
      <c r="H111" s="24"/>
      <c r="I111" s="25">
        <v>3.1</v>
      </c>
      <c r="J111" s="24" t="s">
        <v>65</v>
      </c>
      <c r="K111" s="24" t="s">
        <v>580</v>
      </c>
      <c r="L111" s="24" t="s">
        <v>67</v>
      </c>
      <c r="M111" s="24" t="s">
        <v>200</v>
      </c>
      <c r="N111" s="24" t="s">
        <v>200</v>
      </c>
      <c r="O111" s="25">
        <v>0.7</v>
      </c>
      <c r="P111" s="24"/>
      <c r="Q111" s="24"/>
      <c r="R111" s="24"/>
      <c r="S111" s="24"/>
      <c r="T111" s="24"/>
      <c r="U111" s="24"/>
      <c r="V111" s="24">
        <v>2.4</v>
      </c>
      <c r="XDO111"/>
      <c r="XDP111"/>
      <c r="XDQ111"/>
      <c r="XDR111"/>
      <c r="XDS111"/>
    </row>
    <row r="112" s="21" customFormat="1" spans="1:16347">
      <c r="A112" s="24" t="s">
        <v>58</v>
      </c>
      <c r="B112" s="25" t="s">
        <v>59</v>
      </c>
      <c r="C112" s="24" t="s">
        <v>60</v>
      </c>
      <c r="D112" s="24" t="s">
        <v>581</v>
      </c>
      <c r="E112" s="24" t="s">
        <v>582</v>
      </c>
      <c r="F112" s="24" t="s">
        <v>583</v>
      </c>
      <c r="G112" s="24" t="s">
        <v>579</v>
      </c>
      <c r="H112" s="24"/>
      <c r="I112" s="25">
        <v>3.6</v>
      </c>
      <c r="J112" s="24" t="s">
        <v>65</v>
      </c>
      <c r="K112" s="24" t="s">
        <v>584</v>
      </c>
      <c r="L112" s="24" t="s">
        <v>67</v>
      </c>
      <c r="M112" s="24" t="s">
        <v>200</v>
      </c>
      <c r="N112" s="24" t="s">
        <v>200</v>
      </c>
      <c r="O112" s="25">
        <v>0.7</v>
      </c>
      <c r="P112" s="24"/>
      <c r="Q112" s="24"/>
      <c r="R112" s="24"/>
      <c r="S112" s="24">
        <v>0.5</v>
      </c>
      <c r="T112" s="24"/>
      <c r="U112" s="24"/>
      <c r="V112" s="24">
        <v>2.4</v>
      </c>
      <c r="XDO112"/>
      <c r="XDP112"/>
      <c r="XDQ112"/>
      <c r="XDR112"/>
      <c r="XDS112"/>
    </row>
    <row r="113" s="21" customFormat="1" spans="1:16347">
      <c r="A113" s="24" t="s">
        <v>58</v>
      </c>
      <c r="B113" s="25" t="s">
        <v>59</v>
      </c>
      <c r="C113" s="24" t="s">
        <v>60</v>
      </c>
      <c r="D113" s="24" t="s">
        <v>585</v>
      </c>
      <c r="E113" s="24" t="s">
        <v>586</v>
      </c>
      <c r="F113" s="24" t="s">
        <v>587</v>
      </c>
      <c r="G113" s="24" t="s">
        <v>579</v>
      </c>
      <c r="H113" s="24"/>
      <c r="I113" s="25">
        <v>3.6</v>
      </c>
      <c r="J113" s="24" t="s">
        <v>65</v>
      </c>
      <c r="K113" s="24" t="s">
        <v>588</v>
      </c>
      <c r="L113" s="24" t="s">
        <v>67</v>
      </c>
      <c r="M113" s="24" t="s">
        <v>200</v>
      </c>
      <c r="N113" s="24" t="s">
        <v>200</v>
      </c>
      <c r="O113" s="25">
        <v>0.7</v>
      </c>
      <c r="P113" s="24"/>
      <c r="Q113" s="24"/>
      <c r="R113" s="24"/>
      <c r="S113" s="24">
        <v>0.5</v>
      </c>
      <c r="T113" s="24"/>
      <c r="U113" s="24"/>
      <c r="V113" s="24">
        <v>2.4</v>
      </c>
      <c r="XDO113"/>
      <c r="XDP113"/>
      <c r="XDQ113"/>
      <c r="XDR113"/>
      <c r="XDS113"/>
    </row>
    <row r="114" s="21" customFormat="1" spans="1:16347">
      <c r="A114" s="24" t="s">
        <v>58</v>
      </c>
      <c r="B114" s="25" t="s">
        <v>59</v>
      </c>
      <c r="C114" s="24" t="s">
        <v>60</v>
      </c>
      <c r="D114" s="24" t="s">
        <v>589</v>
      </c>
      <c r="E114" s="24" t="s">
        <v>590</v>
      </c>
      <c r="F114" s="24" t="s">
        <v>591</v>
      </c>
      <c r="G114" s="24" t="s">
        <v>592</v>
      </c>
      <c r="H114" s="24"/>
      <c r="I114" s="25">
        <v>3.1</v>
      </c>
      <c r="J114" s="24" t="s">
        <v>65</v>
      </c>
      <c r="K114" s="24" t="s">
        <v>593</v>
      </c>
      <c r="L114" s="24" t="s">
        <v>67</v>
      </c>
      <c r="M114" s="24" t="s">
        <v>594</v>
      </c>
      <c r="N114" s="24" t="s">
        <v>594</v>
      </c>
      <c r="O114" s="25">
        <v>0.7</v>
      </c>
      <c r="P114" s="24"/>
      <c r="Q114" s="24"/>
      <c r="R114" s="24"/>
      <c r="S114" s="24"/>
      <c r="T114" s="24"/>
      <c r="U114" s="24"/>
      <c r="V114" s="24">
        <v>2.4</v>
      </c>
      <c r="XDO114"/>
      <c r="XDP114"/>
      <c r="XDQ114"/>
      <c r="XDR114"/>
      <c r="XDS114"/>
    </row>
    <row r="115" s="21" customFormat="1" spans="1:16347">
      <c r="A115" s="24" t="s">
        <v>58</v>
      </c>
      <c r="B115" s="25" t="s">
        <v>59</v>
      </c>
      <c r="C115" s="24" t="s">
        <v>60</v>
      </c>
      <c r="D115" s="24" t="s">
        <v>595</v>
      </c>
      <c r="E115" s="24" t="s">
        <v>596</v>
      </c>
      <c r="F115" s="24" t="s">
        <v>597</v>
      </c>
      <c r="G115" s="24" t="s">
        <v>598</v>
      </c>
      <c r="H115" s="24"/>
      <c r="I115" s="25">
        <v>3.1</v>
      </c>
      <c r="J115" s="24" t="s">
        <v>65</v>
      </c>
      <c r="K115" s="24" t="s">
        <v>599</v>
      </c>
      <c r="L115" s="24" t="s">
        <v>67</v>
      </c>
      <c r="M115" s="24" t="s">
        <v>600</v>
      </c>
      <c r="N115" s="24" t="s">
        <v>600</v>
      </c>
      <c r="O115" s="25">
        <v>0.7</v>
      </c>
      <c r="P115" s="24"/>
      <c r="Q115" s="24"/>
      <c r="R115" s="24"/>
      <c r="S115" s="24"/>
      <c r="T115" s="24"/>
      <c r="U115" s="24"/>
      <c r="V115" s="24">
        <v>2.4</v>
      </c>
      <c r="XDO115"/>
      <c r="XDP115"/>
      <c r="XDQ115"/>
      <c r="XDR115"/>
      <c r="XDS115"/>
    </row>
    <row r="116" s="21" customFormat="1" spans="1:16347">
      <c r="A116" s="24" t="s">
        <v>58</v>
      </c>
      <c r="B116" s="25" t="s">
        <v>59</v>
      </c>
      <c r="C116" s="24" t="s">
        <v>60</v>
      </c>
      <c r="D116" s="24" t="s">
        <v>601</v>
      </c>
      <c r="E116" s="24" t="s">
        <v>602</v>
      </c>
      <c r="F116" s="24" t="s">
        <v>603</v>
      </c>
      <c r="G116" s="24" t="s">
        <v>604</v>
      </c>
      <c r="H116" s="24"/>
      <c r="I116" s="25">
        <v>3.3</v>
      </c>
      <c r="J116" s="24" t="s">
        <v>65</v>
      </c>
      <c r="K116" s="24" t="s">
        <v>605</v>
      </c>
      <c r="L116" s="24" t="s">
        <v>67</v>
      </c>
      <c r="M116" s="24" t="s">
        <v>363</v>
      </c>
      <c r="N116" s="24" t="s">
        <v>363</v>
      </c>
      <c r="O116" s="25">
        <v>0.5</v>
      </c>
      <c r="P116" s="24"/>
      <c r="Q116" s="24"/>
      <c r="R116" s="24"/>
      <c r="S116" s="24">
        <v>0.5</v>
      </c>
      <c r="T116" s="24"/>
      <c r="U116" s="24"/>
      <c r="V116" s="24">
        <v>2.3</v>
      </c>
      <c r="XDO116"/>
      <c r="XDP116"/>
      <c r="XDQ116"/>
      <c r="XDR116"/>
      <c r="XDS116"/>
    </row>
    <row r="117" s="21" customFormat="1" spans="1:16347">
      <c r="A117" s="24" t="s">
        <v>58</v>
      </c>
      <c r="B117" s="25" t="s">
        <v>59</v>
      </c>
      <c r="C117" s="24" t="s">
        <v>60</v>
      </c>
      <c r="D117" s="24" t="s">
        <v>606</v>
      </c>
      <c r="E117" s="24" t="s">
        <v>607</v>
      </c>
      <c r="F117" s="24" t="s">
        <v>608</v>
      </c>
      <c r="G117" s="24" t="s">
        <v>609</v>
      </c>
      <c r="H117" s="24"/>
      <c r="I117" s="25">
        <v>3</v>
      </c>
      <c r="J117" s="24" t="s">
        <v>65</v>
      </c>
      <c r="K117" s="24" t="s">
        <v>610</v>
      </c>
      <c r="L117" s="24" t="s">
        <v>67</v>
      </c>
      <c r="M117" s="24" t="s">
        <v>74</v>
      </c>
      <c r="N117" s="24" t="s">
        <v>74</v>
      </c>
      <c r="O117" s="25">
        <v>0.5</v>
      </c>
      <c r="P117" s="24"/>
      <c r="Q117" s="24"/>
      <c r="R117" s="24"/>
      <c r="S117" s="24">
        <v>0.2</v>
      </c>
      <c r="T117" s="24"/>
      <c r="U117" s="24"/>
      <c r="V117" s="24">
        <v>2.3</v>
      </c>
      <c r="XDO117"/>
      <c r="XDP117"/>
      <c r="XDQ117"/>
      <c r="XDR117"/>
      <c r="XDS117"/>
    </row>
    <row r="118" s="21" customFormat="1" spans="1:16347">
      <c r="A118" s="24" t="s">
        <v>58</v>
      </c>
      <c r="B118" s="25" t="s">
        <v>59</v>
      </c>
      <c r="C118" s="24" t="s">
        <v>60</v>
      </c>
      <c r="D118" s="24" t="s">
        <v>611</v>
      </c>
      <c r="E118" s="24" t="s">
        <v>612</v>
      </c>
      <c r="F118" s="24" t="s">
        <v>613</v>
      </c>
      <c r="G118" s="24" t="s">
        <v>609</v>
      </c>
      <c r="H118" s="24"/>
      <c r="I118" s="25">
        <v>3</v>
      </c>
      <c r="J118" s="24" t="s">
        <v>65</v>
      </c>
      <c r="K118" s="24" t="s">
        <v>614</v>
      </c>
      <c r="L118" s="24" t="s">
        <v>615</v>
      </c>
      <c r="M118" s="24" t="s">
        <v>74</v>
      </c>
      <c r="N118" s="24" t="s">
        <v>74</v>
      </c>
      <c r="O118" s="25">
        <v>0.5</v>
      </c>
      <c r="P118" s="24"/>
      <c r="Q118" s="24"/>
      <c r="R118" s="24"/>
      <c r="S118" s="24">
        <v>0.2</v>
      </c>
      <c r="T118" s="24"/>
      <c r="U118" s="24"/>
      <c r="V118" s="24">
        <v>2.3</v>
      </c>
      <c r="XDO118"/>
      <c r="XDP118"/>
      <c r="XDQ118"/>
      <c r="XDR118"/>
      <c r="XDS118"/>
    </row>
    <row r="119" s="21" customFormat="1" spans="1:16347">
      <c r="A119" s="24" t="s">
        <v>58</v>
      </c>
      <c r="B119" s="25" t="s">
        <v>59</v>
      </c>
      <c r="C119" s="24" t="s">
        <v>60</v>
      </c>
      <c r="D119" s="24" t="s">
        <v>616</v>
      </c>
      <c r="E119" s="24" t="s">
        <v>617</v>
      </c>
      <c r="F119" s="24" t="s">
        <v>618</v>
      </c>
      <c r="G119" s="24" t="s">
        <v>604</v>
      </c>
      <c r="H119" s="24"/>
      <c r="I119" s="25">
        <v>3</v>
      </c>
      <c r="J119" s="24" t="s">
        <v>65</v>
      </c>
      <c r="K119" s="24" t="s">
        <v>619</v>
      </c>
      <c r="L119" s="24" t="s">
        <v>67</v>
      </c>
      <c r="M119" s="24" t="s">
        <v>74</v>
      </c>
      <c r="N119" s="24" t="s">
        <v>74</v>
      </c>
      <c r="O119" s="25">
        <v>0.5</v>
      </c>
      <c r="P119" s="24"/>
      <c r="Q119" s="24"/>
      <c r="R119" s="24"/>
      <c r="S119" s="24">
        <v>0.2</v>
      </c>
      <c r="T119" s="24"/>
      <c r="U119" s="24"/>
      <c r="V119" s="24">
        <v>2.3</v>
      </c>
      <c r="XDO119"/>
      <c r="XDP119"/>
      <c r="XDQ119"/>
      <c r="XDR119"/>
      <c r="XDS119"/>
    </row>
    <row r="120" s="21" customFormat="1" spans="1:16347">
      <c r="A120" s="24" t="s">
        <v>58</v>
      </c>
      <c r="B120" s="25" t="s">
        <v>59</v>
      </c>
      <c r="C120" s="24" t="s">
        <v>60</v>
      </c>
      <c r="D120" s="24" t="s">
        <v>620</v>
      </c>
      <c r="E120" s="24" t="s">
        <v>621</v>
      </c>
      <c r="F120" s="24" t="s">
        <v>622</v>
      </c>
      <c r="G120" s="24" t="s">
        <v>623</v>
      </c>
      <c r="H120" s="24"/>
      <c r="I120" s="25">
        <v>3</v>
      </c>
      <c r="J120" s="24" t="s">
        <v>65</v>
      </c>
      <c r="K120" s="24" t="s">
        <v>624</v>
      </c>
      <c r="L120" s="24" t="s">
        <v>67</v>
      </c>
      <c r="M120" s="24" t="s">
        <v>74</v>
      </c>
      <c r="N120" s="24" t="s">
        <v>74</v>
      </c>
      <c r="O120" s="25">
        <v>0.5</v>
      </c>
      <c r="P120" s="24"/>
      <c r="Q120" s="24"/>
      <c r="R120" s="24"/>
      <c r="S120" s="24">
        <v>0.2</v>
      </c>
      <c r="T120" s="24"/>
      <c r="U120" s="24"/>
      <c r="V120" s="24">
        <v>2.3</v>
      </c>
      <c r="XDO120"/>
      <c r="XDP120"/>
      <c r="XDQ120"/>
      <c r="XDR120"/>
      <c r="XDS120"/>
    </row>
    <row r="121" s="21" customFormat="1" spans="1:16347">
      <c r="A121" s="24" t="s">
        <v>58</v>
      </c>
      <c r="B121" s="25" t="s">
        <v>59</v>
      </c>
      <c r="C121" s="24" t="s">
        <v>60</v>
      </c>
      <c r="D121" s="24" t="s">
        <v>625</v>
      </c>
      <c r="E121" s="24" t="s">
        <v>626</v>
      </c>
      <c r="F121" s="24" t="s">
        <v>627</v>
      </c>
      <c r="G121" s="24" t="s">
        <v>628</v>
      </c>
      <c r="H121" s="24"/>
      <c r="I121" s="25">
        <v>3.5</v>
      </c>
      <c r="J121" s="24" t="s">
        <v>65</v>
      </c>
      <c r="K121" s="24" t="s">
        <v>629</v>
      </c>
      <c r="L121" s="24" t="s">
        <v>67</v>
      </c>
      <c r="M121" s="24" t="s">
        <v>79</v>
      </c>
      <c r="N121" s="24" t="s">
        <v>79</v>
      </c>
      <c r="O121" s="25">
        <v>0.7</v>
      </c>
      <c r="P121" s="24"/>
      <c r="Q121" s="24"/>
      <c r="R121" s="24"/>
      <c r="S121" s="24">
        <v>0.5</v>
      </c>
      <c r="T121" s="24"/>
      <c r="U121" s="24"/>
      <c r="V121" s="24">
        <v>2.3</v>
      </c>
      <c r="XDO121"/>
      <c r="XDP121"/>
      <c r="XDQ121"/>
      <c r="XDR121"/>
      <c r="XDS121"/>
    </row>
    <row r="122" s="21" customFormat="1" spans="1:16347">
      <c r="A122" s="24" t="s">
        <v>58</v>
      </c>
      <c r="B122" s="25" t="s">
        <v>59</v>
      </c>
      <c r="C122" s="24" t="s">
        <v>60</v>
      </c>
      <c r="D122" s="24" t="s">
        <v>630</v>
      </c>
      <c r="E122" s="24" t="s">
        <v>631</v>
      </c>
      <c r="F122" s="24" t="s">
        <v>632</v>
      </c>
      <c r="G122" s="24" t="s">
        <v>628</v>
      </c>
      <c r="H122" s="24"/>
      <c r="I122" s="25">
        <v>3</v>
      </c>
      <c r="J122" s="24" t="s">
        <v>65</v>
      </c>
      <c r="K122" s="24" t="s">
        <v>633</v>
      </c>
      <c r="L122" s="24" t="s">
        <v>67</v>
      </c>
      <c r="M122" s="24" t="s">
        <v>74</v>
      </c>
      <c r="N122" s="24" t="s">
        <v>74</v>
      </c>
      <c r="O122" s="25">
        <v>0.5</v>
      </c>
      <c r="P122" s="24"/>
      <c r="Q122" s="24"/>
      <c r="R122" s="24"/>
      <c r="S122" s="24">
        <v>0.2</v>
      </c>
      <c r="T122" s="24"/>
      <c r="U122" s="24"/>
      <c r="V122" s="24">
        <v>2.3</v>
      </c>
      <c r="XDO122"/>
      <c r="XDP122"/>
      <c r="XDQ122"/>
      <c r="XDR122"/>
      <c r="XDS122"/>
    </row>
    <row r="123" s="21" customFormat="1" spans="1:16347">
      <c r="A123" s="24" t="s">
        <v>58</v>
      </c>
      <c r="B123" s="25" t="s">
        <v>59</v>
      </c>
      <c r="C123" s="24" t="s">
        <v>60</v>
      </c>
      <c r="D123" s="24" t="s">
        <v>634</v>
      </c>
      <c r="E123" s="24" t="s">
        <v>635</v>
      </c>
      <c r="F123" s="24" t="s">
        <v>636</v>
      </c>
      <c r="G123" s="24" t="s">
        <v>628</v>
      </c>
      <c r="H123" s="24"/>
      <c r="I123" s="25">
        <v>4.8</v>
      </c>
      <c r="J123" s="24" t="s">
        <v>65</v>
      </c>
      <c r="K123" s="24" t="s">
        <v>637</v>
      </c>
      <c r="L123" s="24" t="s">
        <v>67</v>
      </c>
      <c r="M123" s="24" t="s">
        <v>164</v>
      </c>
      <c r="N123" s="24" t="s">
        <v>164</v>
      </c>
      <c r="O123" s="25">
        <v>2</v>
      </c>
      <c r="P123" s="24"/>
      <c r="Q123" s="24"/>
      <c r="R123" s="24"/>
      <c r="S123" s="24"/>
      <c r="T123" s="24"/>
      <c r="U123" s="24"/>
      <c r="V123" s="24">
        <v>2.8</v>
      </c>
      <c r="XDO123"/>
      <c r="XDP123"/>
      <c r="XDQ123"/>
      <c r="XDR123"/>
      <c r="XDS123"/>
    </row>
    <row r="124" s="21" customFormat="1" spans="1:16347">
      <c r="A124" s="24" t="s">
        <v>58</v>
      </c>
      <c r="B124" s="25" t="s">
        <v>59</v>
      </c>
      <c r="C124" s="24" t="s">
        <v>60</v>
      </c>
      <c r="D124" s="24" t="s">
        <v>638</v>
      </c>
      <c r="E124" s="24" t="s">
        <v>639</v>
      </c>
      <c r="F124" s="24" t="s">
        <v>640</v>
      </c>
      <c r="G124" s="24" t="s">
        <v>628</v>
      </c>
      <c r="H124" s="24"/>
      <c r="I124" s="25">
        <v>2.8</v>
      </c>
      <c r="J124" s="24" t="s">
        <v>65</v>
      </c>
      <c r="K124" s="24" t="s">
        <v>641</v>
      </c>
      <c r="L124" s="24" t="s">
        <v>67</v>
      </c>
      <c r="M124" s="24" t="s">
        <v>209</v>
      </c>
      <c r="N124" s="24" t="s">
        <v>209</v>
      </c>
      <c r="O124" s="25">
        <v>0.5</v>
      </c>
      <c r="P124" s="24"/>
      <c r="Q124" s="24"/>
      <c r="R124" s="24"/>
      <c r="S124" s="24"/>
      <c r="T124" s="24"/>
      <c r="U124" s="24"/>
      <c r="V124" s="24">
        <v>2.3</v>
      </c>
      <c r="XDO124"/>
      <c r="XDP124"/>
      <c r="XDQ124"/>
      <c r="XDR124"/>
      <c r="XDS124"/>
    </row>
    <row r="125" s="21" customFormat="1" spans="1:16347">
      <c r="A125" s="24" t="s">
        <v>58</v>
      </c>
      <c r="B125" s="25" t="s">
        <v>59</v>
      </c>
      <c r="C125" s="24" t="s">
        <v>60</v>
      </c>
      <c r="D125" s="24" t="s">
        <v>642</v>
      </c>
      <c r="E125" s="24" t="s">
        <v>643</v>
      </c>
      <c r="F125" s="24" t="s">
        <v>644</v>
      </c>
      <c r="G125" s="24" t="s">
        <v>645</v>
      </c>
      <c r="H125" s="24"/>
      <c r="I125" s="25">
        <v>4.8</v>
      </c>
      <c r="J125" s="24" t="s">
        <v>65</v>
      </c>
      <c r="K125" s="24" t="s">
        <v>646</v>
      </c>
      <c r="L125" s="24" t="s">
        <v>67</v>
      </c>
      <c r="M125" s="24" t="s">
        <v>164</v>
      </c>
      <c r="N125" s="24" t="s">
        <v>164</v>
      </c>
      <c r="O125" s="25">
        <v>2</v>
      </c>
      <c r="P125" s="24"/>
      <c r="Q125" s="24"/>
      <c r="R125" s="24"/>
      <c r="S125" s="24"/>
      <c r="T125" s="24"/>
      <c r="U125" s="24"/>
      <c r="V125" s="24">
        <v>2.8</v>
      </c>
      <c r="XDO125"/>
      <c r="XDP125"/>
      <c r="XDQ125"/>
      <c r="XDR125"/>
      <c r="XDS125"/>
    </row>
    <row r="126" s="21" customFormat="1" spans="1:16347">
      <c r="A126" s="24" t="s">
        <v>58</v>
      </c>
      <c r="B126" s="25" t="s">
        <v>59</v>
      </c>
      <c r="C126" s="24" t="s">
        <v>60</v>
      </c>
      <c r="D126" s="24" t="s">
        <v>647</v>
      </c>
      <c r="E126" s="24" t="s">
        <v>648</v>
      </c>
      <c r="F126" s="24" t="s">
        <v>649</v>
      </c>
      <c r="G126" s="24" t="s">
        <v>650</v>
      </c>
      <c r="H126" s="24"/>
      <c r="I126" s="25">
        <v>4.1</v>
      </c>
      <c r="J126" s="24" t="s">
        <v>65</v>
      </c>
      <c r="K126" s="24" t="s">
        <v>651</v>
      </c>
      <c r="L126" s="24" t="s">
        <v>67</v>
      </c>
      <c r="M126" s="24" t="s">
        <v>652</v>
      </c>
      <c r="N126" s="24" t="s">
        <v>652</v>
      </c>
      <c r="O126" s="25">
        <v>1</v>
      </c>
      <c r="P126" s="24"/>
      <c r="Q126" s="24"/>
      <c r="R126" s="24"/>
      <c r="S126" s="24">
        <v>0.5</v>
      </c>
      <c r="T126" s="24"/>
      <c r="U126" s="24"/>
      <c r="V126" s="24">
        <v>2.6</v>
      </c>
      <c r="XDO126"/>
      <c r="XDP126"/>
      <c r="XDQ126"/>
      <c r="XDR126"/>
      <c r="XDS126"/>
    </row>
    <row r="127" s="21" customFormat="1" spans="1:16347">
      <c r="A127" s="24" t="s">
        <v>58</v>
      </c>
      <c r="B127" s="25" t="s">
        <v>59</v>
      </c>
      <c r="C127" s="24" t="s">
        <v>60</v>
      </c>
      <c r="D127" s="24" t="s">
        <v>653</v>
      </c>
      <c r="E127" s="24" t="s">
        <v>654</v>
      </c>
      <c r="F127" s="24" t="s">
        <v>655</v>
      </c>
      <c r="G127" s="24" t="s">
        <v>650</v>
      </c>
      <c r="H127" s="24"/>
      <c r="I127" s="25">
        <v>3.5</v>
      </c>
      <c r="J127" s="24" t="s">
        <v>65</v>
      </c>
      <c r="K127" s="24" t="s">
        <v>656</v>
      </c>
      <c r="L127" s="24" t="s">
        <v>67</v>
      </c>
      <c r="M127" s="24" t="s">
        <v>132</v>
      </c>
      <c r="N127" s="24" t="s">
        <v>132</v>
      </c>
      <c r="O127" s="25">
        <v>1</v>
      </c>
      <c r="P127" s="24"/>
      <c r="Q127" s="24"/>
      <c r="R127" s="24"/>
      <c r="S127" s="24">
        <v>0.2</v>
      </c>
      <c r="T127" s="24"/>
      <c r="U127" s="24"/>
      <c r="V127" s="24">
        <v>2.3</v>
      </c>
      <c r="XDO127"/>
      <c r="XDP127"/>
      <c r="XDQ127"/>
      <c r="XDR127"/>
      <c r="XDS127"/>
    </row>
    <row r="128" s="21" customFormat="1" spans="1:16347">
      <c r="A128" s="24" t="s">
        <v>58</v>
      </c>
      <c r="B128" s="25" t="s">
        <v>59</v>
      </c>
      <c r="C128" s="24" t="s">
        <v>60</v>
      </c>
      <c r="D128" s="24" t="s">
        <v>657</v>
      </c>
      <c r="E128" s="24" t="s">
        <v>658</v>
      </c>
      <c r="F128" s="24" t="s">
        <v>659</v>
      </c>
      <c r="G128" s="24" t="s">
        <v>650</v>
      </c>
      <c r="H128" s="24"/>
      <c r="I128" s="25">
        <v>4.8</v>
      </c>
      <c r="J128" s="24" t="s">
        <v>65</v>
      </c>
      <c r="K128" s="24" t="s">
        <v>660</v>
      </c>
      <c r="L128" s="24" t="s">
        <v>67</v>
      </c>
      <c r="M128" s="24" t="s">
        <v>661</v>
      </c>
      <c r="N128" s="24" t="s">
        <v>661</v>
      </c>
      <c r="O128" s="25">
        <v>1.4</v>
      </c>
      <c r="P128" s="24"/>
      <c r="Q128" s="24"/>
      <c r="R128" s="24"/>
      <c r="S128" s="24">
        <v>1</v>
      </c>
      <c r="T128" s="24"/>
      <c r="U128" s="24"/>
      <c r="V128" s="24">
        <v>2.4</v>
      </c>
      <c r="XDO128"/>
      <c r="XDP128"/>
      <c r="XDQ128"/>
      <c r="XDR128"/>
      <c r="XDS128"/>
    </row>
    <row r="129" s="21" customFormat="1" spans="1:16347">
      <c r="A129" s="24" t="s">
        <v>58</v>
      </c>
      <c r="B129" s="25" t="s">
        <v>59</v>
      </c>
      <c r="C129" s="24" t="s">
        <v>60</v>
      </c>
      <c r="D129" s="24" t="s">
        <v>662</v>
      </c>
      <c r="E129" s="24" t="s">
        <v>663</v>
      </c>
      <c r="F129" s="24" t="s">
        <v>664</v>
      </c>
      <c r="G129" s="24" t="s">
        <v>665</v>
      </c>
      <c r="H129" s="24"/>
      <c r="I129" s="25">
        <v>10.3</v>
      </c>
      <c r="J129" s="24" t="s">
        <v>65</v>
      </c>
      <c r="K129" s="24" t="s">
        <v>666</v>
      </c>
      <c r="L129" s="24" t="s">
        <v>67</v>
      </c>
      <c r="M129" s="24" t="s">
        <v>667</v>
      </c>
      <c r="N129" s="24" t="s">
        <v>667</v>
      </c>
      <c r="O129" s="25">
        <v>4</v>
      </c>
      <c r="P129" s="24"/>
      <c r="Q129" s="24"/>
      <c r="R129" s="24"/>
      <c r="S129" s="24">
        <v>3.5</v>
      </c>
      <c r="T129" s="24"/>
      <c r="U129" s="24"/>
      <c r="V129" s="24">
        <v>2.8</v>
      </c>
      <c r="XDO129"/>
      <c r="XDP129"/>
      <c r="XDQ129"/>
      <c r="XDR129"/>
      <c r="XDS129"/>
    </row>
    <row r="130" s="21" customFormat="1" spans="1:16347">
      <c r="A130" s="24" t="s">
        <v>58</v>
      </c>
      <c r="B130" s="25" t="s">
        <v>59</v>
      </c>
      <c r="C130" s="24" t="s">
        <v>60</v>
      </c>
      <c r="D130" s="24" t="s">
        <v>668</v>
      </c>
      <c r="E130" s="24" t="s">
        <v>669</v>
      </c>
      <c r="F130" s="24" t="s">
        <v>670</v>
      </c>
      <c r="G130" s="24" t="s">
        <v>665</v>
      </c>
      <c r="H130" s="24"/>
      <c r="I130" s="25">
        <v>3</v>
      </c>
      <c r="J130" s="24" t="s">
        <v>65</v>
      </c>
      <c r="K130" s="24" t="s">
        <v>671</v>
      </c>
      <c r="L130" s="24" t="s">
        <v>67</v>
      </c>
      <c r="M130" s="24" t="s">
        <v>672</v>
      </c>
      <c r="N130" s="24" t="s">
        <v>672</v>
      </c>
      <c r="O130" s="25">
        <v>0.5</v>
      </c>
      <c r="P130" s="24"/>
      <c r="Q130" s="24"/>
      <c r="R130" s="24"/>
      <c r="S130" s="24">
        <v>0.2</v>
      </c>
      <c r="T130" s="24"/>
      <c r="U130" s="24"/>
      <c r="V130" s="24">
        <v>2.3</v>
      </c>
      <c r="XDO130"/>
      <c r="XDP130"/>
      <c r="XDQ130"/>
      <c r="XDR130"/>
      <c r="XDS130"/>
    </row>
    <row r="131" s="21" customFormat="1" spans="1:16347">
      <c r="A131" s="24" t="s">
        <v>58</v>
      </c>
      <c r="B131" s="25" t="s">
        <v>59</v>
      </c>
      <c r="C131" s="24" t="s">
        <v>60</v>
      </c>
      <c r="D131" s="24" t="s">
        <v>673</v>
      </c>
      <c r="E131" s="24" t="s">
        <v>674</v>
      </c>
      <c r="F131" s="24" t="s">
        <v>675</v>
      </c>
      <c r="G131" s="24" t="s">
        <v>665</v>
      </c>
      <c r="H131" s="24"/>
      <c r="I131" s="25">
        <v>3.6</v>
      </c>
      <c r="J131" s="24" t="s">
        <v>65</v>
      </c>
      <c r="K131" s="24" t="s">
        <v>676</v>
      </c>
      <c r="L131" s="24" t="s">
        <v>67</v>
      </c>
      <c r="M131" s="24" t="s">
        <v>200</v>
      </c>
      <c r="N131" s="24" t="s">
        <v>200</v>
      </c>
      <c r="O131" s="25">
        <v>0.7</v>
      </c>
      <c r="P131" s="24"/>
      <c r="Q131" s="24"/>
      <c r="R131" s="24"/>
      <c r="S131" s="24">
        <v>0.5</v>
      </c>
      <c r="T131" s="24"/>
      <c r="U131" s="24"/>
      <c r="V131" s="24">
        <v>2.4</v>
      </c>
      <c r="XDO131"/>
      <c r="XDP131"/>
      <c r="XDQ131"/>
      <c r="XDR131"/>
      <c r="XDS131"/>
    </row>
    <row r="132" s="21" customFormat="1" spans="1:16347">
      <c r="A132" s="24" t="s">
        <v>58</v>
      </c>
      <c r="B132" s="25" t="s">
        <v>59</v>
      </c>
      <c r="C132" s="24" t="s">
        <v>60</v>
      </c>
      <c r="D132" s="24" t="s">
        <v>677</v>
      </c>
      <c r="E132" s="24" t="s">
        <v>678</v>
      </c>
      <c r="F132" s="24" t="s">
        <v>679</v>
      </c>
      <c r="G132" s="24" t="s">
        <v>665</v>
      </c>
      <c r="H132" s="24"/>
      <c r="I132" s="25">
        <v>3</v>
      </c>
      <c r="J132" s="24" t="s">
        <v>65</v>
      </c>
      <c r="K132" s="24" t="s">
        <v>680</v>
      </c>
      <c r="L132" s="24" t="s">
        <v>67</v>
      </c>
      <c r="M132" s="24" t="s">
        <v>74</v>
      </c>
      <c r="N132" s="24" t="s">
        <v>74</v>
      </c>
      <c r="O132" s="25">
        <v>0.5</v>
      </c>
      <c r="P132" s="24"/>
      <c r="Q132" s="24"/>
      <c r="R132" s="24"/>
      <c r="S132" s="24">
        <v>0.2</v>
      </c>
      <c r="T132" s="24"/>
      <c r="U132" s="24"/>
      <c r="V132" s="24">
        <v>2.3</v>
      </c>
      <c r="XDO132"/>
      <c r="XDP132"/>
      <c r="XDQ132"/>
      <c r="XDR132"/>
      <c r="XDS132"/>
    </row>
    <row r="133" s="21" customFormat="1" spans="1:16347">
      <c r="A133" s="24" t="s">
        <v>58</v>
      </c>
      <c r="B133" s="25" t="s">
        <v>59</v>
      </c>
      <c r="C133" s="24" t="s">
        <v>60</v>
      </c>
      <c r="D133" s="24" t="s">
        <v>681</v>
      </c>
      <c r="E133" s="24" t="s">
        <v>682</v>
      </c>
      <c r="F133" s="24" t="s">
        <v>683</v>
      </c>
      <c r="G133" s="24" t="s">
        <v>684</v>
      </c>
      <c r="H133" s="24"/>
      <c r="I133" s="25">
        <v>3.6</v>
      </c>
      <c r="J133" s="24" t="s">
        <v>65</v>
      </c>
      <c r="K133" s="24" t="s">
        <v>685</v>
      </c>
      <c r="L133" s="24" t="s">
        <v>67</v>
      </c>
      <c r="M133" s="24" t="s">
        <v>200</v>
      </c>
      <c r="N133" s="24" t="s">
        <v>200</v>
      </c>
      <c r="O133" s="25">
        <v>0.7</v>
      </c>
      <c r="P133" s="24"/>
      <c r="Q133" s="24"/>
      <c r="R133" s="24"/>
      <c r="S133" s="24">
        <v>0.5</v>
      </c>
      <c r="T133" s="24"/>
      <c r="U133" s="24"/>
      <c r="V133" s="24">
        <v>2.4</v>
      </c>
      <c r="XDO133"/>
      <c r="XDP133"/>
      <c r="XDQ133"/>
      <c r="XDR133"/>
      <c r="XDS133"/>
    </row>
    <row r="134" s="21" customFormat="1" spans="1:16347">
      <c r="A134" s="24" t="s">
        <v>58</v>
      </c>
      <c r="B134" s="25" t="s">
        <v>59</v>
      </c>
      <c r="C134" s="24" t="s">
        <v>60</v>
      </c>
      <c r="D134" s="24" t="s">
        <v>686</v>
      </c>
      <c r="E134" s="24" t="s">
        <v>687</v>
      </c>
      <c r="F134" s="24" t="s">
        <v>688</v>
      </c>
      <c r="G134" s="24" t="s">
        <v>689</v>
      </c>
      <c r="H134" s="24"/>
      <c r="I134" s="25">
        <v>3.6</v>
      </c>
      <c r="J134" s="24" t="s">
        <v>65</v>
      </c>
      <c r="K134" s="24" t="s">
        <v>690</v>
      </c>
      <c r="L134" s="24" t="s">
        <v>67</v>
      </c>
      <c r="M134" s="24" t="s">
        <v>200</v>
      </c>
      <c r="N134" s="24" t="s">
        <v>200</v>
      </c>
      <c r="O134" s="25">
        <v>0.7</v>
      </c>
      <c r="P134" s="24"/>
      <c r="Q134" s="24"/>
      <c r="R134" s="24"/>
      <c r="S134" s="24">
        <v>0.5</v>
      </c>
      <c r="T134" s="24"/>
      <c r="U134" s="24"/>
      <c r="V134" s="24">
        <v>2.4</v>
      </c>
      <c r="XDO134"/>
      <c r="XDP134"/>
      <c r="XDQ134"/>
      <c r="XDR134"/>
      <c r="XDS134"/>
    </row>
    <row r="135" s="21" customFormat="1" spans="1:16347">
      <c r="A135" s="24" t="s">
        <v>58</v>
      </c>
      <c r="B135" s="25" t="s">
        <v>59</v>
      </c>
      <c r="C135" s="24" t="s">
        <v>60</v>
      </c>
      <c r="D135" s="24" t="s">
        <v>691</v>
      </c>
      <c r="E135" s="24" t="s">
        <v>692</v>
      </c>
      <c r="F135" s="24" t="s">
        <v>693</v>
      </c>
      <c r="G135" s="24" t="s">
        <v>689</v>
      </c>
      <c r="H135" s="24"/>
      <c r="I135" s="25">
        <v>3.6</v>
      </c>
      <c r="J135" s="24" t="s">
        <v>65</v>
      </c>
      <c r="K135" s="24" t="s">
        <v>694</v>
      </c>
      <c r="L135" s="24" t="s">
        <v>67</v>
      </c>
      <c r="M135" s="24" t="s">
        <v>179</v>
      </c>
      <c r="N135" s="24" t="s">
        <v>179</v>
      </c>
      <c r="O135" s="25">
        <v>0.7</v>
      </c>
      <c r="P135" s="24"/>
      <c r="Q135" s="24"/>
      <c r="R135" s="24"/>
      <c r="S135" s="24">
        <v>0.5</v>
      </c>
      <c r="T135" s="24"/>
      <c r="U135" s="24"/>
      <c r="V135" s="24">
        <v>2.4</v>
      </c>
      <c r="XDO135"/>
      <c r="XDP135"/>
      <c r="XDQ135"/>
      <c r="XDR135"/>
      <c r="XDS135"/>
    </row>
    <row r="136" s="21" customFormat="1" spans="1:16347">
      <c r="A136" s="24" t="s">
        <v>58</v>
      </c>
      <c r="B136" s="25" t="s">
        <v>59</v>
      </c>
      <c r="C136" s="24" t="s">
        <v>60</v>
      </c>
      <c r="D136" s="24" t="s">
        <v>695</v>
      </c>
      <c r="E136" s="24" t="s">
        <v>696</v>
      </c>
      <c r="F136" s="24" t="s">
        <v>697</v>
      </c>
      <c r="G136" s="24" t="s">
        <v>689</v>
      </c>
      <c r="H136" s="24"/>
      <c r="I136" s="25">
        <v>3</v>
      </c>
      <c r="J136" s="24" t="s">
        <v>65</v>
      </c>
      <c r="K136" s="24" t="s">
        <v>698</v>
      </c>
      <c r="L136" s="24" t="s">
        <v>67</v>
      </c>
      <c r="M136" s="24" t="s">
        <v>108</v>
      </c>
      <c r="N136" s="24" t="s">
        <v>108</v>
      </c>
      <c r="O136" s="25">
        <v>0.7</v>
      </c>
      <c r="P136" s="24"/>
      <c r="Q136" s="24"/>
      <c r="R136" s="24"/>
      <c r="S136" s="24"/>
      <c r="T136" s="24"/>
      <c r="U136" s="24"/>
      <c r="V136" s="24">
        <v>2.3</v>
      </c>
      <c r="XDO136"/>
      <c r="XDP136"/>
      <c r="XDQ136"/>
      <c r="XDR136"/>
      <c r="XDS136"/>
    </row>
    <row r="137" s="21" customFormat="1" spans="1:16347">
      <c r="A137" s="24" t="s">
        <v>58</v>
      </c>
      <c r="B137" s="25" t="s">
        <v>59</v>
      </c>
      <c r="C137" s="24" t="s">
        <v>60</v>
      </c>
      <c r="D137" s="24" t="s">
        <v>699</v>
      </c>
      <c r="E137" s="24" t="s">
        <v>700</v>
      </c>
      <c r="F137" s="24" t="s">
        <v>701</v>
      </c>
      <c r="G137" s="24" t="s">
        <v>702</v>
      </c>
      <c r="H137" s="24"/>
      <c r="I137" s="25">
        <v>3.3</v>
      </c>
      <c r="J137" s="24" t="s">
        <v>65</v>
      </c>
      <c r="K137" s="24" t="s">
        <v>703</v>
      </c>
      <c r="L137" s="24" t="s">
        <v>67</v>
      </c>
      <c r="M137" s="24" t="s">
        <v>209</v>
      </c>
      <c r="N137" s="24" t="s">
        <v>209</v>
      </c>
      <c r="O137" s="25">
        <v>0.5</v>
      </c>
      <c r="P137" s="24"/>
      <c r="Q137" s="24"/>
      <c r="R137" s="24"/>
      <c r="S137" s="24">
        <v>0.5</v>
      </c>
      <c r="T137" s="24"/>
      <c r="U137" s="24"/>
      <c r="V137" s="24">
        <v>2.3</v>
      </c>
      <c r="XDO137"/>
      <c r="XDP137"/>
      <c r="XDQ137"/>
      <c r="XDR137"/>
      <c r="XDS137"/>
    </row>
    <row r="138" s="21" customFormat="1" spans="1:16347">
      <c r="A138" s="24" t="s">
        <v>58</v>
      </c>
      <c r="B138" s="25" t="s">
        <v>59</v>
      </c>
      <c r="C138" s="24" t="s">
        <v>60</v>
      </c>
      <c r="D138" s="24" t="s">
        <v>704</v>
      </c>
      <c r="E138" s="24" t="s">
        <v>705</v>
      </c>
      <c r="F138" s="24" t="s">
        <v>706</v>
      </c>
      <c r="G138" s="24" t="s">
        <v>707</v>
      </c>
      <c r="H138" s="24"/>
      <c r="I138" s="25">
        <v>6.7</v>
      </c>
      <c r="J138" s="24" t="s">
        <v>65</v>
      </c>
      <c r="K138" s="24" t="s">
        <v>708</v>
      </c>
      <c r="L138" s="24" t="s">
        <v>67</v>
      </c>
      <c r="M138" s="24" t="s">
        <v>709</v>
      </c>
      <c r="N138" s="24" t="s">
        <v>709</v>
      </c>
      <c r="O138" s="25">
        <v>2.7</v>
      </c>
      <c r="P138" s="24"/>
      <c r="Q138" s="24"/>
      <c r="R138" s="24"/>
      <c r="S138" s="24">
        <v>0.5</v>
      </c>
      <c r="T138" s="24"/>
      <c r="U138" s="24"/>
      <c r="V138" s="24">
        <v>3.5</v>
      </c>
      <c r="XDO138"/>
      <c r="XDP138"/>
      <c r="XDQ138"/>
      <c r="XDR138"/>
      <c r="XDS138"/>
    </row>
    <row r="139" s="21" customFormat="1" spans="1:16347">
      <c r="A139" s="24" t="s">
        <v>58</v>
      </c>
      <c r="B139" s="25" t="s">
        <v>59</v>
      </c>
      <c r="C139" s="24" t="s">
        <v>60</v>
      </c>
      <c r="D139" s="24" t="s">
        <v>710</v>
      </c>
      <c r="E139" s="24" t="s">
        <v>711</v>
      </c>
      <c r="F139" s="24" t="s">
        <v>712</v>
      </c>
      <c r="G139" s="24" t="s">
        <v>702</v>
      </c>
      <c r="H139" s="24"/>
      <c r="I139" s="25">
        <v>3.6</v>
      </c>
      <c r="J139" s="24" t="s">
        <v>65</v>
      </c>
      <c r="K139" s="24" t="s">
        <v>713</v>
      </c>
      <c r="L139" s="24" t="s">
        <v>67</v>
      </c>
      <c r="M139" s="24" t="s">
        <v>200</v>
      </c>
      <c r="N139" s="24" t="s">
        <v>200</v>
      </c>
      <c r="O139" s="25">
        <v>0.7</v>
      </c>
      <c r="P139" s="24"/>
      <c r="Q139" s="24"/>
      <c r="R139" s="24"/>
      <c r="S139" s="24">
        <v>0.5</v>
      </c>
      <c r="T139" s="24"/>
      <c r="U139" s="24"/>
      <c r="V139" s="24">
        <v>2.4</v>
      </c>
      <c r="XDO139"/>
      <c r="XDP139"/>
      <c r="XDQ139"/>
      <c r="XDR139"/>
      <c r="XDS139"/>
    </row>
    <row r="140" s="21" customFormat="1" spans="1:16347">
      <c r="A140" s="24" t="s">
        <v>58</v>
      </c>
      <c r="B140" s="25" t="s">
        <v>59</v>
      </c>
      <c r="C140" s="24" t="s">
        <v>60</v>
      </c>
      <c r="D140" s="24" t="s">
        <v>714</v>
      </c>
      <c r="E140" s="24" t="s">
        <v>715</v>
      </c>
      <c r="F140" s="24" t="s">
        <v>716</v>
      </c>
      <c r="G140" s="24" t="s">
        <v>717</v>
      </c>
      <c r="H140" s="24"/>
      <c r="I140" s="25">
        <v>4</v>
      </c>
      <c r="J140" s="24" t="s">
        <v>65</v>
      </c>
      <c r="K140" s="24" t="s">
        <v>718</v>
      </c>
      <c r="L140" s="24" t="s">
        <v>67</v>
      </c>
      <c r="M140" s="24" t="s">
        <v>108</v>
      </c>
      <c r="N140" s="24" t="s">
        <v>108</v>
      </c>
      <c r="O140" s="25">
        <v>0.7</v>
      </c>
      <c r="P140" s="24"/>
      <c r="Q140" s="24"/>
      <c r="R140" s="24"/>
      <c r="S140" s="24">
        <v>1</v>
      </c>
      <c r="T140" s="24"/>
      <c r="U140" s="24"/>
      <c r="V140" s="24">
        <v>2.3</v>
      </c>
      <c r="XDO140"/>
      <c r="XDP140"/>
      <c r="XDQ140"/>
      <c r="XDR140"/>
      <c r="XDS140"/>
    </row>
    <row r="141" s="21" customFormat="1" spans="1:16347">
      <c r="A141" s="24" t="s">
        <v>58</v>
      </c>
      <c r="B141" s="25" t="s">
        <v>59</v>
      </c>
      <c r="C141" s="24" t="s">
        <v>60</v>
      </c>
      <c r="D141" s="24" t="s">
        <v>719</v>
      </c>
      <c r="E141" s="24" t="s">
        <v>720</v>
      </c>
      <c r="F141" s="24" t="s">
        <v>721</v>
      </c>
      <c r="G141" s="24" t="s">
        <v>722</v>
      </c>
      <c r="H141" s="24"/>
      <c r="I141" s="25">
        <v>3.1</v>
      </c>
      <c r="J141" s="24" t="s">
        <v>65</v>
      </c>
      <c r="K141" s="24" t="s">
        <v>723</v>
      </c>
      <c r="L141" s="24" t="s">
        <v>67</v>
      </c>
      <c r="M141" s="24" t="s">
        <v>724</v>
      </c>
      <c r="N141" s="24" t="s">
        <v>724</v>
      </c>
      <c r="O141" s="25">
        <v>0.7</v>
      </c>
      <c r="P141" s="24"/>
      <c r="Q141" s="24"/>
      <c r="R141" s="24"/>
      <c r="S141" s="24"/>
      <c r="T141" s="24"/>
      <c r="U141" s="24"/>
      <c r="V141" s="24">
        <v>2.4</v>
      </c>
      <c r="XDO141"/>
      <c r="XDP141"/>
      <c r="XDQ141"/>
      <c r="XDR141"/>
      <c r="XDS141"/>
    </row>
    <row r="142" s="21" customFormat="1" spans="1:16347">
      <c r="A142" s="24" t="s">
        <v>58</v>
      </c>
      <c r="B142" s="25" t="s">
        <v>59</v>
      </c>
      <c r="C142" s="24" t="s">
        <v>60</v>
      </c>
      <c r="D142" s="24" t="s">
        <v>725</v>
      </c>
      <c r="E142" s="24" t="s">
        <v>726</v>
      </c>
      <c r="F142" s="24" t="s">
        <v>727</v>
      </c>
      <c r="G142" s="24" t="s">
        <v>728</v>
      </c>
      <c r="H142" s="24"/>
      <c r="I142" s="25">
        <v>3</v>
      </c>
      <c r="J142" s="24" t="s">
        <v>65</v>
      </c>
      <c r="K142" s="24" t="s">
        <v>729</v>
      </c>
      <c r="L142" s="24" t="s">
        <v>67</v>
      </c>
      <c r="M142" s="24" t="s">
        <v>74</v>
      </c>
      <c r="N142" s="24" t="s">
        <v>74</v>
      </c>
      <c r="O142" s="25">
        <v>0.5</v>
      </c>
      <c r="P142" s="24"/>
      <c r="Q142" s="24"/>
      <c r="R142" s="24"/>
      <c r="S142" s="24">
        <v>0.2</v>
      </c>
      <c r="T142" s="24"/>
      <c r="U142" s="24"/>
      <c r="V142" s="24">
        <v>2.3</v>
      </c>
      <c r="XDO142"/>
      <c r="XDP142"/>
      <c r="XDQ142"/>
      <c r="XDR142"/>
      <c r="XDS142"/>
    </row>
    <row r="143" s="21" customFormat="1" spans="1:16347">
      <c r="A143" s="24" t="s">
        <v>58</v>
      </c>
      <c r="B143" s="25" t="s">
        <v>59</v>
      </c>
      <c r="C143" s="24" t="s">
        <v>60</v>
      </c>
      <c r="D143" s="24" t="s">
        <v>730</v>
      </c>
      <c r="E143" s="24" t="s">
        <v>731</v>
      </c>
      <c r="F143" s="24" t="s">
        <v>732</v>
      </c>
      <c r="G143" s="24" t="s">
        <v>728</v>
      </c>
      <c r="H143" s="24"/>
      <c r="I143" s="25">
        <v>4.8</v>
      </c>
      <c r="J143" s="24" t="s">
        <v>65</v>
      </c>
      <c r="K143" s="24" t="s">
        <v>733</v>
      </c>
      <c r="L143" s="24" t="s">
        <v>67</v>
      </c>
      <c r="M143" s="24" t="s">
        <v>164</v>
      </c>
      <c r="N143" s="24" t="s">
        <v>164</v>
      </c>
      <c r="O143" s="25">
        <v>2</v>
      </c>
      <c r="P143" s="24"/>
      <c r="Q143" s="24"/>
      <c r="R143" s="24"/>
      <c r="S143" s="24"/>
      <c r="T143" s="24"/>
      <c r="U143" s="24"/>
      <c r="V143" s="24">
        <v>2.8</v>
      </c>
      <c r="XDO143"/>
      <c r="XDP143"/>
      <c r="XDQ143"/>
      <c r="XDR143"/>
      <c r="XDS143"/>
    </row>
    <row r="144" s="21" customFormat="1" spans="1:16347">
      <c r="A144" s="24" t="s">
        <v>58</v>
      </c>
      <c r="B144" s="25" t="s">
        <v>59</v>
      </c>
      <c r="C144" s="24" t="s">
        <v>60</v>
      </c>
      <c r="D144" s="24" t="s">
        <v>734</v>
      </c>
      <c r="E144" s="24" t="s">
        <v>735</v>
      </c>
      <c r="F144" s="24" t="s">
        <v>736</v>
      </c>
      <c r="G144" s="24" t="s">
        <v>737</v>
      </c>
      <c r="H144" s="24"/>
      <c r="I144" s="25">
        <v>4.7</v>
      </c>
      <c r="J144" s="24" t="s">
        <v>65</v>
      </c>
      <c r="K144" s="24" t="s">
        <v>738</v>
      </c>
      <c r="L144" s="24" t="s">
        <v>67</v>
      </c>
      <c r="M144" s="24" t="s">
        <v>739</v>
      </c>
      <c r="N144" s="24" t="s">
        <v>739</v>
      </c>
      <c r="O144" s="25">
        <v>1.4</v>
      </c>
      <c r="P144" s="24"/>
      <c r="Q144" s="24"/>
      <c r="R144" s="24"/>
      <c r="S144" s="24">
        <v>0.5</v>
      </c>
      <c r="T144" s="24"/>
      <c r="U144" s="24"/>
      <c r="V144" s="24">
        <v>2.8</v>
      </c>
      <c r="XDO144"/>
      <c r="XDP144"/>
      <c r="XDQ144"/>
      <c r="XDR144"/>
      <c r="XDS144"/>
    </row>
    <row r="145" s="21" customFormat="1" spans="1:16347">
      <c r="A145" s="24" t="s">
        <v>58</v>
      </c>
      <c r="B145" s="25" t="s">
        <v>59</v>
      </c>
      <c r="C145" s="24" t="s">
        <v>60</v>
      </c>
      <c r="D145" s="24" t="s">
        <v>740</v>
      </c>
      <c r="E145" s="24" t="s">
        <v>741</v>
      </c>
      <c r="F145" s="24" t="s">
        <v>742</v>
      </c>
      <c r="G145" s="24" t="s">
        <v>737</v>
      </c>
      <c r="H145" s="24"/>
      <c r="I145" s="25">
        <v>4.3</v>
      </c>
      <c r="J145" s="24" t="s">
        <v>65</v>
      </c>
      <c r="K145" s="24" t="s">
        <v>743</v>
      </c>
      <c r="L145" s="24" t="s">
        <v>67</v>
      </c>
      <c r="M145" s="24" t="s">
        <v>744</v>
      </c>
      <c r="N145" s="24" t="s">
        <v>744</v>
      </c>
      <c r="O145" s="25">
        <v>1.2</v>
      </c>
      <c r="P145" s="24"/>
      <c r="Q145" s="24"/>
      <c r="R145" s="24"/>
      <c r="S145" s="24">
        <v>0.5</v>
      </c>
      <c r="T145" s="24"/>
      <c r="U145" s="24"/>
      <c r="V145" s="24">
        <v>2.6</v>
      </c>
      <c r="XDO145"/>
      <c r="XDP145"/>
      <c r="XDQ145"/>
      <c r="XDR145"/>
      <c r="XDS145"/>
    </row>
    <row r="146" s="21" customFormat="1" spans="1:16347">
      <c r="A146" s="24" t="s">
        <v>58</v>
      </c>
      <c r="B146" s="25" t="s">
        <v>59</v>
      </c>
      <c r="C146" s="24" t="s">
        <v>60</v>
      </c>
      <c r="D146" s="24" t="s">
        <v>745</v>
      </c>
      <c r="E146" s="24" t="s">
        <v>746</v>
      </c>
      <c r="F146" s="24" t="s">
        <v>747</v>
      </c>
      <c r="G146" s="24" t="s">
        <v>748</v>
      </c>
      <c r="H146" s="24"/>
      <c r="I146" s="25">
        <v>5</v>
      </c>
      <c r="J146" s="24" t="s">
        <v>65</v>
      </c>
      <c r="K146" s="24" t="s">
        <v>749</v>
      </c>
      <c r="L146" s="24" t="s">
        <v>67</v>
      </c>
      <c r="M146" s="24" t="s">
        <v>519</v>
      </c>
      <c r="N146" s="24" t="s">
        <v>519</v>
      </c>
      <c r="O146" s="25">
        <v>2</v>
      </c>
      <c r="P146" s="24"/>
      <c r="Q146" s="24"/>
      <c r="R146" s="24"/>
      <c r="S146" s="24">
        <v>0.2</v>
      </c>
      <c r="T146" s="24"/>
      <c r="U146" s="24"/>
      <c r="V146" s="24">
        <v>2.8</v>
      </c>
      <c r="XDO146"/>
      <c r="XDP146"/>
      <c r="XDQ146"/>
      <c r="XDR146"/>
      <c r="XDS146"/>
    </row>
    <row r="147" s="21" customFormat="1" spans="1:16347">
      <c r="A147" s="24" t="s">
        <v>58</v>
      </c>
      <c r="B147" s="25" t="s">
        <v>59</v>
      </c>
      <c r="C147" s="24" t="s">
        <v>60</v>
      </c>
      <c r="D147" s="24" t="s">
        <v>750</v>
      </c>
      <c r="E147" s="24" t="s">
        <v>751</v>
      </c>
      <c r="F147" s="24" t="s">
        <v>752</v>
      </c>
      <c r="G147" s="24" t="s">
        <v>748</v>
      </c>
      <c r="H147" s="24"/>
      <c r="I147" s="25">
        <v>3.6</v>
      </c>
      <c r="J147" s="24" t="s">
        <v>65</v>
      </c>
      <c r="K147" s="24" t="s">
        <v>753</v>
      </c>
      <c r="L147" s="24" t="s">
        <v>67</v>
      </c>
      <c r="M147" s="24" t="s">
        <v>200</v>
      </c>
      <c r="N147" s="24" t="s">
        <v>200</v>
      </c>
      <c r="O147" s="25">
        <v>0.7</v>
      </c>
      <c r="P147" s="24"/>
      <c r="Q147" s="24"/>
      <c r="R147" s="24"/>
      <c r="S147" s="24">
        <v>0.5</v>
      </c>
      <c r="T147" s="24"/>
      <c r="U147" s="24"/>
      <c r="V147" s="24">
        <v>2.4</v>
      </c>
      <c r="XDO147"/>
      <c r="XDP147"/>
      <c r="XDQ147"/>
      <c r="XDR147"/>
      <c r="XDS147"/>
    </row>
    <row r="148" s="21" customFormat="1" spans="1:16347">
      <c r="A148" s="24" t="s">
        <v>58</v>
      </c>
      <c r="B148" s="25" t="s">
        <v>59</v>
      </c>
      <c r="C148" s="24" t="s">
        <v>60</v>
      </c>
      <c r="D148" s="24" t="s">
        <v>754</v>
      </c>
      <c r="E148" s="24" t="s">
        <v>755</v>
      </c>
      <c r="F148" s="24" t="s">
        <v>756</v>
      </c>
      <c r="G148" s="24" t="s">
        <v>757</v>
      </c>
      <c r="H148" s="24"/>
      <c r="I148" s="25">
        <v>3</v>
      </c>
      <c r="J148" s="24" t="s">
        <v>65</v>
      </c>
      <c r="K148" s="24" t="s">
        <v>758</v>
      </c>
      <c r="L148" s="24" t="s">
        <v>67</v>
      </c>
      <c r="M148" s="24" t="s">
        <v>74</v>
      </c>
      <c r="N148" s="24" t="s">
        <v>74</v>
      </c>
      <c r="O148" s="25">
        <v>0.5</v>
      </c>
      <c r="P148" s="24"/>
      <c r="Q148" s="24"/>
      <c r="R148" s="24"/>
      <c r="S148" s="24">
        <v>0.2</v>
      </c>
      <c r="T148" s="24"/>
      <c r="U148" s="24"/>
      <c r="V148" s="24">
        <v>2.3</v>
      </c>
      <c r="XDO148"/>
      <c r="XDP148"/>
      <c r="XDQ148"/>
      <c r="XDR148"/>
      <c r="XDS148"/>
    </row>
    <row r="149" s="21" customFormat="1" spans="1:16347">
      <c r="A149" s="24" t="s">
        <v>58</v>
      </c>
      <c r="B149" s="25" t="s">
        <v>59</v>
      </c>
      <c r="C149" s="24" t="s">
        <v>60</v>
      </c>
      <c r="D149" s="24" t="s">
        <v>759</v>
      </c>
      <c r="E149" s="24" t="s">
        <v>760</v>
      </c>
      <c r="F149" s="24" t="s">
        <v>761</v>
      </c>
      <c r="G149" s="24" t="s">
        <v>757</v>
      </c>
      <c r="H149" s="24"/>
      <c r="I149" s="25">
        <v>4.8</v>
      </c>
      <c r="J149" s="24" t="s">
        <v>65</v>
      </c>
      <c r="K149" s="24" t="s">
        <v>762</v>
      </c>
      <c r="L149" s="24" t="s">
        <v>67</v>
      </c>
      <c r="M149" s="24" t="s">
        <v>164</v>
      </c>
      <c r="N149" s="24" t="s">
        <v>164</v>
      </c>
      <c r="O149" s="25">
        <v>2</v>
      </c>
      <c r="P149" s="24"/>
      <c r="Q149" s="24"/>
      <c r="R149" s="24"/>
      <c r="S149" s="24"/>
      <c r="T149" s="24"/>
      <c r="U149" s="24"/>
      <c r="V149" s="24">
        <v>2.8</v>
      </c>
      <c r="XDO149"/>
      <c r="XDP149"/>
      <c r="XDQ149"/>
      <c r="XDR149"/>
      <c r="XDS149"/>
    </row>
    <row r="150" s="21" customFormat="1" spans="1:16347">
      <c r="A150" s="24" t="s">
        <v>58</v>
      </c>
      <c r="B150" s="25" t="s">
        <v>59</v>
      </c>
      <c r="C150" s="24" t="s">
        <v>60</v>
      </c>
      <c r="D150" s="24" t="s">
        <v>763</v>
      </c>
      <c r="E150" s="24" t="s">
        <v>764</v>
      </c>
      <c r="F150" s="24" t="s">
        <v>765</v>
      </c>
      <c r="G150" s="24" t="s">
        <v>766</v>
      </c>
      <c r="H150" s="24"/>
      <c r="I150" s="25">
        <v>3.6</v>
      </c>
      <c r="J150" s="24" t="s">
        <v>65</v>
      </c>
      <c r="K150" s="24" t="s">
        <v>767</v>
      </c>
      <c r="L150" s="24" t="s">
        <v>67</v>
      </c>
      <c r="M150" s="24" t="s">
        <v>200</v>
      </c>
      <c r="N150" s="24" t="s">
        <v>200</v>
      </c>
      <c r="O150" s="25">
        <v>0.7</v>
      </c>
      <c r="P150" s="24"/>
      <c r="Q150" s="24"/>
      <c r="R150" s="24"/>
      <c r="S150" s="24">
        <v>0.5</v>
      </c>
      <c r="T150" s="24"/>
      <c r="U150" s="24"/>
      <c r="V150" s="24">
        <v>2.4</v>
      </c>
      <c r="XDO150"/>
      <c r="XDP150"/>
      <c r="XDQ150"/>
      <c r="XDR150"/>
      <c r="XDS150"/>
    </row>
    <row r="151" s="21" customFormat="1" spans="1:16347">
      <c r="A151" s="24" t="s">
        <v>58</v>
      </c>
      <c r="B151" s="25" t="s">
        <v>59</v>
      </c>
      <c r="C151" s="24" t="s">
        <v>60</v>
      </c>
      <c r="D151" s="24" t="s">
        <v>768</v>
      </c>
      <c r="E151" s="24" t="s">
        <v>769</v>
      </c>
      <c r="F151" s="24" t="s">
        <v>770</v>
      </c>
      <c r="G151" s="24" t="s">
        <v>766</v>
      </c>
      <c r="H151" s="24"/>
      <c r="I151" s="25">
        <v>3</v>
      </c>
      <c r="J151" s="24" t="s">
        <v>65</v>
      </c>
      <c r="K151" s="24" t="s">
        <v>771</v>
      </c>
      <c r="L151" s="24" t="s">
        <v>67</v>
      </c>
      <c r="M151" s="24" t="s">
        <v>672</v>
      </c>
      <c r="N151" s="24" t="s">
        <v>672</v>
      </c>
      <c r="O151" s="25">
        <v>0.5</v>
      </c>
      <c r="P151" s="24"/>
      <c r="Q151" s="24"/>
      <c r="R151" s="24"/>
      <c r="S151" s="24">
        <v>0.2</v>
      </c>
      <c r="T151" s="24"/>
      <c r="U151" s="24"/>
      <c r="V151" s="24">
        <v>2.3</v>
      </c>
      <c r="XDO151"/>
      <c r="XDP151"/>
      <c r="XDQ151"/>
      <c r="XDR151"/>
      <c r="XDS151"/>
    </row>
    <row r="152" s="21" customFormat="1" spans="1:16347">
      <c r="A152" s="24" t="s">
        <v>58</v>
      </c>
      <c r="B152" s="25" t="s">
        <v>59</v>
      </c>
      <c r="C152" s="24" t="s">
        <v>60</v>
      </c>
      <c r="D152" s="24" t="s">
        <v>772</v>
      </c>
      <c r="E152" s="24" t="s">
        <v>773</v>
      </c>
      <c r="F152" s="24" t="s">
        <v>774</v>
      </c>
      <c r="G152" s="24" t="s">
        <v>775</v>
      </c>
      <c r="H152" s="24"/>
      <c r="I152" s="25">
        <v>3</v>
      </c>
      <c r="J152" s="24" t="s">
        <v>65</v>
      </c>
      <c r="K152" s="24" t="s">
        <v>776</v>
      </c>
      <c r="L152" s="24" t="s">
        <v>67</v>
      </c>
      <c r="M152" s="24" t="s">
        <v>74</v>
      </c>
      <c r="N152" s="24" t="s">
        <v>74</v>
      </c>
      <c r="O152" s="25">
        <v>0.5</v>
      </c>
      <c r="P152" s="24"/>
      <c r="Q152" s="24"/>
      <c r="R152" s="24"/>
      <c r="S152" s="24">
        <v>0.2</v>
      </c>
      <c r="T152" s="24"/>
      <c r="U152" s="24"/>
      <c r="V152" s="24">
        <v>2.3</v>
      </c>
      <c r="XDO152"/>
      <c r="XDP152"/>
      <c r="XDQ152"/>
      <c r="XDR152"/>
      <c r="XDS152"/>
    </row>
    <row r="153" s="21" customFormat="1" spans="1:16347">
      <c r="A153" s="24" t="s">
        <v>58</v>
      </c>
      <c r="B153" s="25" t="s">
        <v>59</v>
      </c>
      <c r="C153" s="24" t="s">
        <v>60</v>
      </c>
      <c r="D153" s="24" t="s">
        <v>777</v>
      </c>
      <c r="E153" s="24" t="s">
        <v>778</v>
      </c>
      <c r="F153" s="24" t="s">
        <v>779</v>
      </c>
      <c r="G153" s="24" t="s">
        <v>780</v>
      </c>
      <c r="H153" s="24"/>
      <c r="I153" s="25">
        <v>3.3</v>
      </c>
      <c r="J153" s="24" t="s">
        <v>65</v>
      </c>
      <c r="K153" s="24" t="s">
        <v>781</v>
      </c>
      <c r="L153" s="24" t="s">
        <v>67</v>
      </c>
      <c r="M153" s="24" t="s">
        <v>74</v>
      </c>
      <c r="N153" s="24" t="s">
        <v>74</v>
      </c>
      <c r="O153" s="25">
        <v>0.5</v>
      </c>
      <c r="P153" s="24"/>
      <c r="Q153" s="24"/>
      <c r="R153" s="24"/>
      <c r="S153" s="24">
        <v>0.5</v>
      </c>
      <c r="T153" s="24"/>
      <c r="U153" s="24"/>
      <c r="V153" s="24">
        <v>2.3</v>
      </c>
      <c r="XDO153"/>
      <c r="XDP153"/>
      <c r="XDQ153"/>
      <c r="XDR153"/>
      <c r="XDS153"/>
    </row>
    <row r="154" s="21" customFormat="1" spans="1:16347">
      <c r="A154" s="24" t="s">
        <v>58</v>
      </c>
      <c r="B154" s="25" t="s">
        <v>59</v>
      </c>
      <c r="C154" s="24" t="s">
        <v>60</v>
      </c>
      <c r="D154" s="24" t="s">
        <v>782</v>
      </c>
      <c r="E154" s="24" t="s">
        <v>783</v>
      </c>
      <c r="F154" s="24" t="s">
        <v>784</v>
      </c>
      <c r="G154" s="24" t="s">
        <v>780</v>
      </c>
      <c r="H154" s="24"/>
      <c r="I154" s="25">
        <v>4.8</v>
      </c>
      <c r="J154" s="24" t="s">
        <v>65</v>
      </c>
      <c r="K154" s="24" t="s">
        <v>785</v>
      </c>
      <c r="L154" s="24" t="s">
        <v>67</v>
      </c>
      <c r="M154" s="24" t="s">
        <v>164</v>
      </c>
      <c r="N154" s="24" t="s">
        <v>164</v>
      </c>
      <c r="O154" s="25">
        <v>2</v>
      </c>
      <c r="P154" s="24"/>
      <c r="Q154" s="24"/>
      <c r="R154" s="24"/>
      <c r="S154" s="24"/>
      <c r="T154" s="24"/>
      <c r="U154" s="24"/>
      <c r="V154" s="24">
        <v>2.8</v>
      </c>
      <c r="XDO154"/>
      <c r="XDP154"/>
      <c r="XDQ154"/>
      <c r="XDR154"/>
      <c r="XDS154"/>
    </row>
    <row r="155" s="21" customFormat="1" spans="1:16347">
      <c r="A155" s="24" t="s">
        <v>58</v>
      </c>
      <c r="B155" s="25" t="s">
        <v>59</v>
      </c>
      <c r="C155" s="24" t="s">
        <v>60</v>
      </c>
      <c r="D155" s="24" t="s">
        <v>786</v>
      </c>
      <c r="E155" s="24" t="s">
        <v>787</v>
      </c>
      <c r="F155" s="24" t="s">
        <v>788</v>
      </c>
      <c r="G155" s="24" t="s">
        <v>789</v>
      </c>
      <c r="H155" s="24"/>
      <c r="I155" s="25">
        <v>2.8</v>
      </c>
      <c r="J155" s="24" t="s">
        <v>65</v>
      </c>
      <c r="K155" s="24" t="s">
        <v>790</v>
      </c>
      <c r="L155" s="24" t="s">
        <v>67</v>
      </c>
      <c r="M155" s="24" t="s">
        <v>363</v>
      </c>
      <c r="N155" s="24" t="s">
        <v>363</v>
      </c>
      <c r="O155" s="25">
        <v>0.5</v>
      </c>
      <c r="P155" s="24"/>
      <c r="Q155" s="24"/>
      <c r="R155" s="24"/>
      <c r="S155" s="24"/>
      <c r="T155" s="24"/>
      <c r="U155" s="24"/>
      <c r="V155" s="24">
        <v>2.3</v>
      </c>
      <c r="XDO155"/>
      <c r="XDP155"/>
      <c r="XDQ155"/>
      <c r="XDR155"/>
      <c r="XDS155"/>
    </row>
    <row r="156" s="21" customFormat="1" spans="1:16347">
      <c r="A156" s="24" t="s">
        <v>58</v>
      </c>
      <c r="B156" s="25" t="s">
        <v>59</v>
      </c>
      <c r="C156" s="24" t="s">
        <v>60</v>
      </c>
      <c r="D156" s="24" t="s">
        <v>791</v>
      </c>
      <c r="E156" s="24" t="s">
        <v>792</v>
      </c>
      <c r="F156" s="24" t="s">
        <v>793</v>
      </c>
      <c r="G156" s="24" t="s">
        <v>794</v>
      </c>
      <c r="H156" s="24"/>
      <c r="I156" s="25">
        <v>3.6</v>
      </c>
      <c r="J156" s="24" t="s">
        <v>65</v>
      </c>
      <c r="K156" s="24" t="s">
        <v>795</v>
      </c>
      <c r="L156" s="24" t="s">
        <v>67</v>
      </c>
      <c r="M156" s="24" t="s">
        <v>200</v>
      </c>
      <c r="N156" s="24" t="s">
        <v>200</v>
      </c>
      <c r="O156" s="25">
        <v>0.7</v>
      </c>
      <c r="P156" s="24"/>
      <c r="Q156" s="24"/>
      <c r="R156" s="24"/>
      <c r="S156" s="24">
        <v>0.5</v>
      </c>
      <c r="T156" s="24"/>
      <c r="U156" s="24"/>
      <c r="V156" s="24">
        <v>2.4</v>
      </c>
      <c r="XDO156"/>
      <c r="XDP156"/>
      <c r="XDQ156"/>
      <c r="XDR156"/>
      <c r="XDS156"/>
    </row>
    <row r="157" s="21" customFormat="1" spans="1:16347">
      <c r="A157" s="24" t="s">
        <v>58</v>
      </c>
      <c r="B157" s="25" t="s">
        <v>59</v>
      </c>
      <c r="C157" s="24" t="s">
        <v>60</v>
      </c>
      <c r="D157" s="24" t="s">
        <v>796</v>
      </c>
      <c r="E157" s="24" t="s">
        <v>797</v>
      </c>
      <c r="F157" s="24" t="s">
        <v>798</v>
      </c>
      <c r="G157" s="24" t="s">
        <v>794</v>
      </c>
      <c r="H157" s="24"/>
      <c r="I157" s="25">
        <v>3.1</v>
      </c>
      <c r="J157" s="24" t="s">
        <v>65</v>
      </c>
      <c r="K157" s="24" t="s">
        <v>799</v>
      </c>
      <c r="L157" s="24" t="s">
        <v>67</v>
      </c>
      <c r="M157" s="24" t="s">
        <v>382</v>
      </c>
      <c r="N157" s="24" t="s">
        <v>382</v>
      </c>
      <c r="O157" s="25">
        <v>0.7</v>
      </c>
      <c r="P157" s="24"/>
      <c r="Q157" s="24"/>
      <c r="R157" s="24"/>
      <c r="S157" s="24"/>
      <c r="T157" s="24"/>
      <c r="U157" s="24"/>
      <c r="V157" s="24">
        <v>2.4</v>
      </c>
      <c r="XDO157"/>
      <c r="XDP157"/>
      <c r="XDQ157"/>
      <c r="XDR157"/>
      <c r="XDS157"/>
    </row>
    <row r="158" s="21" customFormat="1" spans="1:16347">
      <c r="A158" s="24" t="s">
        <v>58</v>
      </c>
      <c r="B158" s="25" t="s">
        <v>59</v>
      </c>
      <c r="C158" s="24" t="s">
        <v>60</v>
      </c>
      <c r="D158" s="24" t="s">
        <v>800</v>
      </c>
      <c r="E158" s="24" t="s">
        <v>801</v>
      </c>
      <c r="F158" s="24" t="s">
        <v>802</v>
      </c>
      <c r="G158" s="24" t="s">
        <v>803</v>
      </c>
      <c r="H158" s="24"/>
      <c r="I158" s="25">
        <v>3</v>
      </c>
      <c r="J158" s="24" t="s">
        <v>65</v>
      </c>
      <c r="K158" s="24" t="s">
        <v>804</v>
      </c>
      <c r="L158" s="24" t="s">
        <v>67</v>
      </c>
      <c r="M158" s="24" t="s">
        <v>79</v>
      </c>
      <c r="N158" s="24" t="s">
        <v>79</v>
      </c>
      <c r="O158" s="25">
        <v>0.7</v>
      </c>
      <c r="P158" s="24"/>
      <c r="Q158" s="24"/>
      <c r="R158" s="24"/>
      <c r="S158" s="24"/>
      <c r="T158" s="24"/>
      <c r="U158" s="24"/>
      <c r="V158" s="24">
        <v>2.3</v>
      </c>
      <c r="XDO158"/>
      <c r="XDP158"/>
      <c r="XDQ158"/>
      <c r="XDR158"/>
      <c r="XDS158"/>
    </row>
    <row r="159" s="21" customFormat="1" spans="1:16347">
      <c r="A159" s="24" t="s">
        <v>58</v>
      </c>
      <c r="B159" s="25" t="s">
        <v>59</v>
      </c>
      <c r="C159" s="24" t="s">
        <v>60</v>
      </c>
      <c r="D159" s="24" t="s">
        <v>805</v>
      </c>
      <c r="E159" s="24" t="s">
        <v>806</v>
      </c>
      <c r="F159" s="24" t="s">
        <v>807</v>
      </c>
      <c r="G159" s="24" t="s">
        <v>803</v>
      </c>
      <c r="H159" s="24"/>
      <c r="I159" s="25">
        <v>3.1</v>
      </c>
      <c r="J159" s="24" t="s">
        <v>65</v>
      </c>
      <c r="K159" s="24" t="s">
        <v>808</v>
      </c>
      <c r="L159" s="24" t="s">
        <v>67</v>
      </c>
      <c r="M159" s="24" t="s">
        <v>179</v>
      </c>
      <c r="N159" s="24" t="s">
        <v>179</v>
      </c>
      <c r="O159" s="25">
        <v>0.7</v>
      </c>
      <c r="P159" s="24"/>
      <c r="Q159" s="24"/>
      <c r="R159" s="24"/>
      <c r="S159" s="24"/>
      <c r="T159" s="24"/>
      <c r="U159" s="24"/>
      <c r="V159" s="24">
        <v>2.4</v>
      </c>
      <c r="XDO159"/>
      <c r="XDP159"/>
      <c r="XDQ159"/>
      <c r="XDR159"/>
      <c r="XDS159"/>
    </row>
    <row r="160" s="21" customFormat="1" spans="1:16347">
      <c r="A160" s="24" t="s">
        <v>58</v>
      </c>
      <c r="B160" s="25" t="s">
        <v>59</v>
      </c>
      <c r="C160" s="24" t="s">
        <v>60</v>
      </c>
      <c r="D160" s="24" t="s">
        <v>809</v>
      </c>
      <c r="E160" s="24" t="s">
        <v>810</v>
      </c>
      <c r="F160" s="24" t="s">
        <v>811</v>
      </c>
      <c r="G160" s="24" t="s">
        <v>803</v>
      </c>
      <c r="H160" s="24"/>
      <c r="I160" s="25">
        <v>3.6</v>
      </c>
      <c r="J160" s="24" t="s">
        <v>65</v>
      </c>
      <c r="K160" s="24" t="s">
        <v>812</v>
      </c>
      <c r="L160" s="24" t="s">
        <v>67</v>
      </c>
      <c r="M160" s="24" t="s">
        <v>179</v>
      </c>
      <c r="N160" s="24" t="s">
        <v>179</v>
      </c>
      <c r="O160" s="25">
        <v>0.7</v>
      </c>
      <c r="P160" s="24"/>
      <c r="Q160" s="24"/>
      <c r="R160" s="24"/>
      <c r="S160" s="24">
        <v>0.5</v>
      </c>
      <c r="T160" s="24"/>
      <c r="U160" s="24"/>
      <c r="V160" s="24">
        <v>2.4</v>
      </c>
      <c r="XDO160"/>
      <c r="XDP160"/>
      <c r="XDQ160"/>
      <c r="XDR160"/>
      <c r="XDS160"/>
    </row>
    <row r="161" s="21" customFormat="1" spans="1:16347">
      <c r="A161" s="24" t="s">
        <v>58</v>
      </c>
      <c r="B161" s="25" t="s">
        <v>59</v>
      </c>
      <c r="C161" s="24" t="s">
        <v>60</v>
      </c>
      <c r="D161" s="24" t="s">
        <v>813</v>
      </c>
      <c r="E161" s="24" t="s">
        <v>814</v>
      </c>
      <c r="F161" s="24" t="s">
        <v>815</v>
      </c>
      <c r="G161" s="24" t="s">
        <v>816</v>
      </c>
      <c r="H161" s="24"/>
      <c r="I161" s="25">
        <v>3.6</v>
      </c>
      <c r="J161" s="24" t="s">
        <v>65</v>
      </c>
      <c r="K161" s="24" t="s">
        <v>817</v>
      </c>
      <c r="L161" s="24" t="s">
        <v>67</v>
      </c>
      <c r="M161" s="24" t="s">
        <v>200</v>
      </c>
      <c r="N161" s="24" t="s">
        <v>200</v>
      </c>
      <c r="O161" s="25">
        <v>0.7</v>
      </c>
      <c r="P161" s="24"/>
      <c r="Q161" s="24"/>
      <c r="R161" s="24"/>
      <c r="S161" s="24">
        <v>0.5</v>
      </c>
      <c r="T161" s="24"/>
      <c r="U161" s="24"/>
      <c r="V161" s="24">
        <v>2.4</v>
      </c>
      <c r="XDO161"/>
      <c r="XDP161"/>
      <c r="XDQ161"/>
      <c r="XDR161"/>
      <c r="XDS161"/>
    </row>
    <row r="162" s="21" customFormat="1" spans="1:16347">
      <c r="A162" s="24" t="s">
        <v>58</v>
      </c>
      <c r="B162" s="25" t="s">
        <v>59</v>
      </c>
      <c r="C162" s="24" t="s">
        <v>60</v>
      </c>
      <c r="D162" s="24" t="s">
        <v>818</v>
      </c>
      <c r="E162" s="24" t="s">
        <v>819</v>
      </c>
      <c r="F162" s="24" t="s">
        <v>820</v>
      </c>
      <c r="G162" s="24" t="s">
        <v>816</v>
      </c>
      <c r="H162" s="24"/>
      <c r="I162" s="25">
        <v>3.6</v>
      </c>
      <c r="J162" s="24" t="s">
        <v>65</v>
      </c>
      <c r="K162" s="24" t="s">
        <v>821</v>
      </c>
      <c r="L162" s="24" t="s">
        <v>67</v>
      </c>
      <c r="M162" s="24" t="s">
        <v>200</v>
      </c>
      <c r="N162" s="24" t="s">
        <v>200</v>
      </c>
      <c r="O162" s="25">
        <v>0.7</v>
      </c>
      <c r="P162" s="24"/>
      <c r="Q162" s="24"/>
      <c r="R162" s="24"/>
      <c r="S162" s="24">
        <v>0.5</v>
      </c>
      <c r="T162" s="24"/>
      <c r="U162" s="24"/>
      <c r="V162" s="24">
        <v>2.4</v>
      </c>
      <c r="XDO162"/>
      <c r="XDP162"/>
      <c r="XDQ162"/>
      <c r="XDR162"/>
      <c r="XDS162"/>
    </row>
    <row r="163" s="21" customFormat="1" spans="1:16347">
      <c r="A163" s="24" t="s">
        <v>58</v>
      </c>
      <c r="B163" s="25" t="s">
        <v>59</v>
      </c>
      <c r="C163" s="24" t="s">
        <v>60</v>
      </c>
      <c r="D163" s="24" t="s">
        <v>822</v>
      </c>
      <c r="E163" s="24" t="s">
        <v>823</v>
      </c>
      <c r="F163" s="24" t="s">
        <v>824</v>
      </c>
      <c r="G163" s="24" t="s">
        <v>825</v>
      </c>
      <c r="H163" s="24"/>
      <c r="I163" s="25">
        <v>3.6</v>
      </c>
      <c r="J163" s="24" t="s">
        <v>65</v>
      </c>
      <c r="K163" s="24" t="s">
        <v>826</v>
      </c>
      <c r="L163" s="24" t="s">
        <v>67</v>
      </c>
      <c r="M163" s="24" t="s">
        <v>179</v>
      </c>
      <c r="N163" s="24" t="s">
        <v>179</v>
      </c>
      <c r="O163" s="25">
        <v>0.7</v>
      </c>
      <c r="P163" s="24"/>
      <c r="Q163" s="24"/>
      <c r="R163" s="24"/>
      <c r="S163" s="24">
        <v>0.5</v>
      </c>
      <c r="T163" s="24"/>
      <c r="U163" s="24"/>
      <c r="V163" s="24">
        <v>2.4</v>
      </c>
      <c r="XDO163"/>
      <c r="XDP163"/>
      <c r="XDQ163"/>
      <c r="XDR163"/>
      <c r="XDS163"/>
    </row>
    <row r="164" s="21" customFormat="1" spans="1:16347">
      <c r="A164" s="24" t="s">
        <v>58</v>
      </c>
      <c r="B164" s="25" t="s">
        <v>59</v>
      </c>
      <c r="C164" s="24" t="s">
        <v>60</v>
      </c>
      <c r="D164" s="24" t="s">
        <v>827</v>
      </c>
      <c r="E164" s="24" t="s">
        <v>828</v>
      </c>
      <c r="F164" s="24" t="s">
        <v>829</v>
      </c>
      <c r="G164" s="24" t="s">
        <v>830</v>
      </c>
      <c r="H164" s="24"/>
      <c r="I164" s="25">
        <v>3</v>
      </c>
      <c r="J164" s="24" t="s">
        <v>65</v>
      </c>
      <c r="K164" s="24" t="s">
        <v>831</v>
      </c>
      <c r="L164" s="24" t="s">
        <v>67</v>
      </c>
      <c r="M164" s="24" t="s">
        <v>74</v>
      </c>
      <c r="N164" s="24" t="s">
        <v>74</v>
      </c>
      <c r="O164" s="25">
        <v>0.5</v>
      </c>
      <c r="P164" s="24"/>
      <c r="Q164" s="24"/>
      <c r="R164" s="24"/>
      <c r="S164" s="24">
        <v>0.2</v>
      </c>
      <c r="T164" s="24"/>
      <c r="U164" s="24"/>
      <c r="V164" s="24">
        <v>2.3</v>
      </c>
      <c r="XDO164"/>
      <c r="XDP164"/>
      <c r="XDQ164"/>
      <c r="XDR164"/>
      <c r="XDS164"/>
    </row>
    <row r="165" s="21" customFormat="1" spans="1:16347">
      <c r="A165" s="24" t="s">
        <v>58</v>
      </c>
      <c r="B165" s="25" t="s">
        <v>59</v>
      </c>
      <c r="C165" s="24" t="s">
        <v>95</v>
      </c>
      <c r="D165" s="24" t="s">
        <v>832</v>
      </c>
      <c r="E165" s="24" t="s">
        <v>833</v>
      </c>
      <c r="F165" s="24" t="s">
        <v>834</v>
      </c>
      <c r="G165" s="24" t="s">
        <v>835</v>
      </c>
      <c r="H165" s="24"/>
      <c r="I165" s="28">
        <v>619.1</v>
      </c>
      <c r="J165" s="24" t="s">
        <v>100</v>
      </c>
      <c r="K165" s="24"/>
      <c r="L165" s="24"/>
      <c r="M165" s="24" t="s">
        <v>836</v>
      </c>
      <c r="N165" s="24" t="s">
        <v>102</v>
      </c>
      <c r="O165" s="25"/>
      <c r="P165" s="24"/>
      <c r="Q165" s="24"/>
      <c r="R165" s="26">
        <v>489.6</v>
      </c>
      <c r="S165" s="26"/>
      <c r="T165" s="26">
        <v>12</v>
      </c>
      <c r="U165" s="26">
        <v>47.5</v>
      </c>
      <c r="V165" s="26">
        <v>70</v>
      </c>
      <c r="XDO165"/>
      <c r="XDP165"/>
      <c r="XDQ165"/>
      <c r="XDR165"/>
      <c r="XDS165"/>
    </row>
    <row r="166" s="21" customFormat="1" spans="1:16347">
      <c r="A166" s="24" t="s">
        <v>58</v>
      </c>
      <c r="B166" s="25" t="s">
        <v>59</v>
      </c>
      <c r="C166" s="24" t="s">
        <v>95</v>
      </c>
      <c r="D166" s="24" t="s">
        <v>837</v>
      </c>
      <c r="E166" s="24" t="s">
        <v>838</v>
      </c>
      <c r="F166" s="24" t="s">
        <v>839</v>
      </c>
      <c r="G166" s="24" t="s">
        <v>840</v>
      </c>
      <c r="H166" s="24"/>
      <c r="I166" s="32">
        <v>284.9</v>
      </c>
      <c r="J166" s="24" t="s">
        <v>100</v>
      </c>
      <c r="K166" s="24"/>
      <c r="L166" s="24"/>
      <c r="M166" s="24" t="s">
        <v>841</v>
      </c>
      <c r="N166" s="24" t="s">
        <v>102</v>
      </c>
      <c r="O166" s="25"/>
      <c r="P166" s="24"/>
      <c r="Q166" s="24"/>
      <c r="R166" s="26">
        <v>132.9</v>
      </c>
      <c r="S166" s="26"/>
      <c r="T166" s="26">
        <v>12</v>
      </c>
      <c r="U166" s="26">
        <v>70</v>
      </c>
      <c r="V166" s="26">
        <v>70</v>
      </c>
      <c r="XDO166"/>
      <c r="XDP166"/>
      <c r="XDQ166"/>
      <c r="XDR166"/>
      <c r="XDS166"/>
    </row>
    <row r="167" s="21" customFormat="1" spans="1:16347">
      <c r="A167" s="24" t="s">
        <v>58</v>
      </c>
      <c r="B167" s="25" t="s">
        <v>59</v>
      </c>
      <c r="C167" s="24" t="s">
        <v>95</v>
      </c>
      <c r="D167" s="24" t="s">
        <v>842</v>
      </c>
      <c r="E167" s="24" t="s">
        <v>843</v>
      </c>
      <c r="F167" s="24" t="s">
        <v>844</v>
      </c>
      <c r="G167" s="24" t="s">
        <v>845</v>
      </c>
      <c r="H167" s="24"/>
      <c r="I167" s="32">
        <v>335.9</v>
      </c>
      <c r="J167" s="24" t="s">
        <v>100</v>
      </c>
      <c r="K167" s="24"/>
      <c r="L167" s="24"/>
      <c r="M167" s="24" t="s">
        <v>846</v>
      </c>
      <c r="N167" s="24" t="s">
        <v>102</v>
      </c>
      <c r="O167" s="25"/>
      <c r="P167" s="24"/>
      <c r="Q167" s="24"/>
      <c r="R167" s="26">
        <v>191.4</v>
      </c>
      <c r="S167" s="26"/>
      <c r="T167" s="26">
        <v>12</v>
      </c>
      <c r="U167" s="26">
        <v>62.5</v>
      </c>
      <c r="V167" s="26">
        <v>70</v>
      </c>
      <c r="XDO167"/>
      <c r="XDP167"/>
      <c r="XDQ167"/>
      <c r="XDR167"/>
      <c r="XDS167"/>
    </row>
    <row r="168" s="21" customFormat="1" spans="1:16347">
      <c r="A168" s="24" t="s">
        <v>58</v>
      </c>
      <c r="B168" s="25" t="s">
        <v>59</v>
      </c>
      <c r="C168" s="24" t="s">
        <v>60</v>
      </c>
      <c r="D168" s="24" t="s">
        <v>847</v>
      </c>
      <c r="E168" s="24" t="s">
        <v>848</v>
      </c>
      <c r="F168" s="24" t="s">
        <v>849</v>
      </c>
      <c r="G168" s="24" t="s">
        <v>850</v>
      </c>
      <c r="H168" s="24"/>
      <c r="I168" s="25">
        <v>3.6</v>
      </c>
      <c r="J168" s="24" t="s">
        <v>65</v>
      </c>
      <c r="K168" s="24" t="s">
        <v>851</v>
      </c>
      <c r="L168" s="24" t="s">
        <v>67</v>
      </c>
      <c r="M168" s="24" t="s">
        <v>200</v>
      </c>
      <c r="N168" s="24" t="s">
        <v>200</v>
      </c>
      <c r="O168" s="25">
        <v>0.7</v>
      </c>
      <c r="P168" s="24"/>
      <c r="Q168" s="24"/>
      <c r="R168" s="24"/>
      <c r="S168" s="24">
        <v>0.5</v>
      </c>
      <c r="T168" s="24"/>
      <c r="U168" s="24"/>
      <c r="V168" s="24">
        <v>2.4</v>
      </c>
      <c r="XDO168"/>
      <c r="XDP168"/>
      <c r="XDQ168"/>
      <c r="XDR168"/>
      <c r="XDS168"/>
    </row>
    <row r="169" s="21" customFormat="1" spans="1:16347">
      <c r="A169" s="24" t="s">
        <v>58</v>
      </c>
      <c r="B169" s="25" t="s">
        <v>59</v>
      </c>
      <c r="C169" s="24" t="s">
        <v>60</v>
      </c>
      <c r="D169" s="24" t="s">
        <v>852</v>
      </c>
      <c r="E169" s="24" t="s">
        <v>853</v>
      </c>
      <c r="F169" s="24" t="s">
        <v>854</v>
      </c>
      <c r="G169" s="24" t="s">
        <v>850</v>
      </c>
      <c r="H169" s="24"/>
      <c r="I169" s="25">
        <v>3.6</v>
      </c>
      <c r="J169" s="24" t="s">
        <v>65</v>
      </c>
      <c r="K169" s="24" t="s">
        <v>855</v>
      </c>
      <c r="L169" s="24" t="s">
        <v>67</v>
      </c>
      <c r="M169" s="24" t="s">
        <v>200</v>
      </c>
      <c r="N169" s="24" t="s">
        <v>200</v>
      </c>
      <c r="O169" s="25">
        <v>0.7</v>
      </c>
      <c r="P169" s="24"/>
      <c r="Q169" s="24"/>
      <c r="R169" s="24"/>
      <c r="S169" s="24">
        <v>0.5</v>
      </c>
      <c r="T169" s="24"/>
      <c r="U169" s="24"/>
      <c r="V169" s="24">
        <v>2.4</v>
      </c>
      <c r="XDO169"/>
      <c r="XDP169"/>
      <c r="XDQ169"/>
      <c r="XDR169"/>
      <c r="XDS169"/>
    </row>
    <row r="170" s="21" customFormat="1" spans="1:16347">
      <c r="A170" s="24" t="s">
        <v>58</v>
      </c>
      <c r="B170" s="25" t="s">
        <v>59</v>
      </c>
      <c r="C170" s="24" t="s">
        <v>60</v>
      </c>
      <c r="D170" s="24" t="s">
        <v>856</v>
      </c>
      <c r="E170" s="24" t="s">
        <v>857</v>
      </c>
      <c r="F170" s="24" t="s">
        <v>858</v>
      </c>
      <c r="G170" s="24" t="s">
        <v>859</v>
      </c>
      <c r="H170" s="24"/>
      <c r="I170" s="25">
        <v>8.5</v>
      </c>
      <c r="J170" s="24" t="s">
        <v>65</v>
      </c>
      <c r="K170" s="24" t="s">
        <v>860</v>
      </c>
      <c r="L170" s="24" t="s">
        <v>67</v>
      </c>
      <c r="M170" s="24" t="s">
        <v>861</v>
      </c>
      <c r="N170" s="24" t="s">
        <v>861</v>
      </c>
      <c r="O170" s="25">
        <v>4</v>
      </c>
      <c r="P170" s="24"/>
      <c r="Q170" s="24"/>
      <c r="R170" s="24"/>
      <c r="S170" s="24">
        <v>1</v>
      </c>
      <c r="T170" s="24"/>
      <c r="U170" s="24"/>
      <c r="V170" s="24">
        <v>3.5</v>
      </c>
      <c r="XDO170"/>
      <c r="XDP170"/>
      <c r="XDQ170"/>
      <c r="XDR170"/>
      <c r="XDS170"/>
    </row>
    <row r="171" s="21" customFormat="1" spans="1:16347">
      <c r="A171" s="24" t="s">
        <v>58</v>
      </c>
      <c r="B171" s="25" t="s">
        <v>59</v>
      </c>
      <c r="C171" s="24" t="s">
        <v>60</v>
      </c>
      <c r="D171" s="24" t="s">
        <v>862</v>
      </c>
      <c r="E171" s="24" t="s">
        <v>863</v>
      </c>
      <c r="F171" s="24" t="s">
        <v>864</v>
      </c>
      <c r="G171" s="24" t="s">
        <v>859</v>
      </c>
      <c r="H171" s="24"/>
      <c r="I171" s="25">
        <v>3.3</v>
      </c>
      <c r="J171" s="24" t="s">
        <v>65</v>
      </c>
      <c r="K171" s="24" t="s">
        <v>865</v>
      </c>
      <c r="L171" s="24" t="s">
        <v>67</v>
      </c>
      <c r="M171" s="24" t="s">
        <v>594</v>
      </c>
      <c r="N171" s="24" t="s">
        <v>594</v>
      </c>
      <c r="O171" s="25">
        <v>0.7</v>
      </c>
      <c r="P171" s="24"/>
      <c r="Q171" s="24"/>
      <c r="R171" s="24"/>
      <c r="S171" s="24">
        <v>0.2</v>
      </c>
      <c r="T171" s="24"/>
      <c r="U171" s="24"/>
      <c r="V171" s="24">
        <v>2.4</v>
      </c>
      <c r="XDO171"/>
      <c r="XDP171"/>
      <c r="XDQ171"/>
      <c r="XDR171"/>
      <c r="XDS171"/>
    </row>
    <row r="172" s="21" customFormat="1" spans="1:16347">
      <c r="A172" s="24" t="s">
        <v>58</v>
      </c>
      <c r="B172" s="25" t="s">
        <v>59</v>
      </c>
      <c r="C172" s="24" t="s">
        <v>60</v>
      </c>
      <c r="D172" s="24" t="s">
        <v>866</v>
      </c>
      <c r="E172" s="24" t="s">
        <v>867</v>
      </c>
      <c r="F172" s="24" t="s">
        <v>868</v>
      </c>
      <c r="G172" s="24" t="s">
        <v>850</v>
      </c>
      <c r="H172" s="24"/>
      <c r="I172" s="25">
        <v>13</v>
      </c>
      <c r="J172" s="24" t="s">
        <v>65</v>
      </c>
      <c r="K172" s="24" t="s">
        <v>869</v>
      </c>
      <c r="L172" s="24" t="s">
        <v>67</v>
      </c>
      <c r="M172" s="24" t="s">
        <v>870</v>
      </c>
      <c r="N172" s="24" t="s">
        <v>870</v>
      </c>
      <c r="O172" s="25">
        <v>5</v>
      </c>
      <c r="P172" s="24"/>
      <c r="Q172" s="24"/>
      <c r="R172" s="24"/>
      <c r="S172" s="24">
        <v>4.5</v>
      </c>
      <c r="T172" s="24"/>
      <c r="U172" s="24"/>
      <c r="V172" s="24">
        <v>3.5</v>
      </c>
      <c r="XDO172"/>
      <c r="XDP172"/>
      <c r="XDQ172"/>
      <c r="XDR172"/>
      <c r="XDS172"/>
    </row>
    <row r="173" s="21" customFormat="1" spans="1:16347">
      <c r="A173" s="24" t="s">
        <v>58</v>
      </c>
      <c r="B173" s="25" t="s">
        <v>59</v>
      </c>
      <c r="C173" s="24" t="s">
        <v>60</v>
      </c>
      <c r="D173" s="24" t="s">
        <v>871</v>
      </c>
      <c r="E173" s="24" t="s">
        <v>872</v>
      </c>
      <c r="F173" s="24" t="s">
        <v>873</v>
      </c>
      <c r="G173" s="24" t="s">
        <v>874</v>
      </c>
      <c r="H173" s="24"/>
      <c r="I173" s="25">
        <v>3.6</v>
      </c>
      <c r="J173" s="24" t="s">
        <v>65</v>
      </c>
      <c r="K173" s="24" t="s">
        <v>875</v>
      </c>
      <c r="L173" s="24" t="s">
        <v>67</v>
      </c>
      <c r="M173" s="24" t="s">
        <v>876</v>
      </c>
      <c r="N173" s="24" t="s">
        <v>876</v>
      </c>
      <c r="O173" s="25">
        <v>1</v>
      </c>
      <c r="P173" s="24"/>
      <c r="Q173" s="24"/>
      <c r="R173" s="24"/>
      <c r="S173" s="24"/>
      <c r="T173" s="24"/>
      <c r="U173" s="24"/>
      <c r="V173" s="24">
        <v>2.6</v>
      </c>
      <c r="XDO173"/>
      <c r="XDP173"/>
      <c r="XDQ173"/>
      <c r="XDR173"/>
      <c r="XDS173"/>
    </row>
    <row r="174" s="21" customFormat="1" spans="1:16347">
      <c r="A174" s="24" t="s">
        <v>58</v>
      </c>
      <c r="B174" s="25" t="s">
        <v>59</v>
      </c>
      <c r="C174" s="24" t="s">
        <v>60</v>
      </c>
      <c r="D174" s="24" t="s">
        <v>877</v>
      </c>
      <c r="E174" s="24" t="s">
        <v>878</v>
      </c>
      <c r="F174" s="24" t="s">
        <v>879</v>
      </c>
      <c r="G174" s="24" t="s">
        <v>880</v>
      </c>
      <c r="H174" s="24"/>
      <c r="I174" s="25">
        <v>2.5</v>
      </c>
      <c r="J174" s="24" t="s">
        <v>881</v>
      </c>
      <c r="K174" s="24" t="s">
        <v>882</v>
      </c>
      <c r="L174" s="24" t="s">
        <v>67</v>
      </c>
      <c r="M174" s="24" t="s">
        <v>74</v>
      </c>
      <c r="N174" s="24" t="s">
        <v>74</v>
      </c>
      <c r="O174" s="25">
        <v>0.5</v>
      </c>
      <c r="P174" s="24"/>
      <c r="Q174" s="24"/>
      <c r="R174" s="24"/>
      <c r="S174" s="24">
        <v>0.2</v>
      </c>
      <c r="T174" s="24"/>
      <c r="U174" s="24"/>
      <c r="V174" s="24">
        <v>1.8</v>
      </c>
      <c r="XDO174"/>
      <c r="XDP174"/>
      <c r="XDQ174"/>
      <c r="XDR174"/>
      <c r="XDS174"/>
    </row>
    <row r="175" s="21" customFormat="1" spans="1:16347">
      <c r="A175" s="24" t="s">
        <v>58</v>
      </c>
      <c r="B175" s="25" t="s">
        <v>59</v>
      </c>
      <c r="C175" s="24" t="s">
        <v>60</v>
      </c>
      <c r="D175" s="24" t="s">
        <v>883</v>
      </c>
      <c r="E175" s="24" t="s">
        <v>884</v>
      </c>
      <c r="F175" s="24" t="s">
        <v>885</v>
      </c>
      <c r="G175" s="24" t="s">
        <v>880</v>
      </c>
      <c r="H175" s="24"/>
      <c r="I175" s="25">
        <v>3</v>
      </c>
      <c r="J175" s="24" t="s">
        <v>65</v>
      </c>
      <c r="K175" s="24" t="s">
        <v>886</v>
      </c>
      <c r="L175" s="24" t="s">
        <v>67</v>
      </c>
      <c r="M175" s="24" t="s">
        <v>672</v>
      </c>
      <c r="N175" s="24" t="s">
        <v>672</v>
      </c>
      <c r="O175" s="25">
        <v>0.5</v>
      </c>
      <c r="P175" s="24"/>
      <c r="Q175" s="24"/>
      <c r="R175" s="24"/>
      <c r="S175" s="24">
        <v>0.2</v>
      </c>
      <c r="T175" s="24"/>
      <c r="U175" s="24"/>
      <c r="V175" s="24">
        <v>2.3</v>
      </c>
      <c r="XDO175"/>
      <c r="XDP175"/>
      <c r="XDQ175"/>
      <c r="XDR175"/>
      <c r="XDS175"/>
    </row>
    <row r="176" s="21" customFormat="1" spans="1:16347">
      <c r="A176" s="24" t="s">
        <v>58</v>
      </c>
      <c r="B176" s="25" t="s">
        <v>59</v>
      </c>
      <c r="C176" s="24" t="s">
        <v>60</v>
      </c>
      <c r="D176" s="24" t="s">
        <v>887</v>
      </c>
      <c r="E176" s="24" t="s">
        <v>888</v>
      </c>
      <c r="F176" s="24" t="s">
        <v>889</v>
      </c>
      <c r="G176" s="24" t="s">
        <v>890</v>
      </c>
      <c r="H176" s="24"/>
      <c r="I176" s="25">
        <v>3</v>
      </c>
      <c r="J176" s="24" t="s">
        <v>65</v>
      </c>
      <c r="K176" s="24" t="s">
        <v>891</v>
      </c>
      <c r="L176" s="24" t="s">
        <v>67</v>
      </c>
      <c r="M176" s="24" t="s">
        <v>672</v>
      </c>
      <c r="N176" s="24" t="s">
        <v>672</v>
      </c>
      <c r="O176" s="25">
        <v>0.5</v>
      </c>
      <c r="P176" s="24"/>
      <c r="Q176" s="24"/>
      <c r="R176" s="24"/>
      <c r="S176" s="24">
        <v>0.2</v>
      </c>
      <c r="T176" s="24"/>
      <c r="U176" s="24"/>
      <c r="V176" s="24">
        <v>2.3</v>
      </c>
      <c r="XDO176"/>
      <c r="XDP176"/>
      <c r="XDQ176"/>
      <c r="XDR176"/>
      <c r="XDS176"/>
    </row>
    <row r="177" s="21" customFormat="1" spans="1:16347">
      <c r="A177" s="24" t="s">
        <v>58</v>
      </c>
      <c r="B177" s="25" t="s">
        <v>59</v>
      </c>
      <c r="C177" s="24" t="s">
        <v>60</v>
      </c>
      <c r="D177" s="24" t="s">
        <v>892</v>
      </c>
      <c r="E177" s="24" t="s">
        <v>893</v>
      </c>
      <c r="F177" s="24" t="s">
        <v>894</v>
      </c>
      <c r="G177" s="24" t="s">
        <v>890</v>
      </c>
      <c r="H177" s="24"/>
      <c r="I177" s="25">
        <v>3.1</v>
      </c>
      <c r="J177" s="24" t="s">
        <v>65</v>
      </c>
      <c r="K177" s="24" t="s">
        <v>895</v>
      </c>
      <c r="L177" s="24" t="s">
        <v>67</v>
      </c>
      <c r="M177" s="24" t="s">
        <v>479</v>
      </c>
      <c r="N177" s="24" t="s">
        <v>479</v>
      </c>
      <c r="O177" s="25">
        <v>0.7</v>
      </c>
      <c r="P177" s="24"/>
      <c r="Q177" s="24"/>
      <c r="R177" s="24"/>
      <c r="S177" s="24"/>
      <c r="T177" s="24"/>
      <c r="U177" s="24"/>
      <c r="V177" s="24">
        <v>2.4</v>
      </c>
      <c r="XDO177"/>
      <c r="XDP177"/>
      <c r="XDQ177"/>
      <c r="XDR177"/>
      <c r="XDS177"/>
    </row>
    <row r="178" s="21" customFormat="1" spans="1:16347">
      <c r="A178" s="24" t="s">
        <v>58</v>
      </c>
      <c r="B178" s="25" t="s">
        <v>59</v>
      </c>
      <c r="C178" s="24" t="s">
        <v>60</v>
      </c>
      <c r="D178" s="24" t="s">
        <v>896</v>
      </c>
      <c r="E178" s="24" t="s">
        <v>897</v>
      </c>
      <c r="F178" s="24" t="s">
        <v>898</v>
      </c>
      <c r="G178" s="24" t="s">
        <v>890</v>
      </c>
      <c r="H178" s="24"/>
      <c r="I178" s="25">
        <v>3.6</v>
      </c>
      <c r="J178" s="24" t="s">
        <v>65</v>
      </c>
      <c r="K178" s="24" t="s">
        <v>899</v>
      </c>
      <c r="L178" s="24" t="s">
        <v>67</v>
      </c>
      <c r="M178" s="24" t="s">
        <v>200</v>
      </c>
      <c r="N178" s="24" t="s">
        <v>200</v>
      </c>
      <c r="O178" s="25">
        <v>0.7</v>
      </c>
      <c r="P178" s="24"/>
      <c r="Q178" s="24"/>
      <c r="R178" s="24"/>
      <c r="S178" s="24">
        <v>0.5</v>
      </c>
      <c r="T178" s="24"/>
      <c r="U178" s="24"/>
      <c r="V178" s="24">
        <v>2.4</v>
      </c>
      <c r="XDO178"/>
      <c r="XDP178"/>
      <c r="XDQ178"/>
      <c r="XDR178"/>
      <c r="XDS178"/>
    </row>
    <row r="179" s="21" customFormat="1" spans="1:16347">
      <c r="A179" s="24" t="s">
        <v>58</v>
      </c>
      <c r="B179" s="25" t="s">
        <v>59</v>
      </c>
      <c r="C179" s="24" t="s">
        <v>60</v>
      </c>
      <c r="D179" s="24" t="s">
        <v>900</v>
      </c>
      <c r="E179" s="24" t="s">
        <v>901</v>
      </c>
      <c r="F179" s="24" t="s">
        <v>902</v>
      </c>
      <c r="G179" s="24" t="s">
        <v>890</v>
      </c>
      <c r="H179" s="24"/>
      <c r="I179" s="25">
        <v>3.1</v>
      </c>
      <c r="J179" s="24" t="s">
        <v>65</v>
      </c>
      <c r="K179" s="24" t="s">
        <v>903</v>
      </c>
      <c r="L179" s="24" t="s">
        <v>67</v>
      </c>
      <c r="M179" s="24" t="s">
        <v>600</v>
      </c>
      <c r="N179" s="24" t="s">
        <v>600</v>
      </c>
      <c r="O179" s="25">
        <v>0.7</v>
      </c>
      <c r="P179" s="24"/>
      <c r="Q179" s="24"/>
      <c r="R179" s="24"/>
      <c r="S179" s="24"/>
      <c r="T179" s="24"/>
      <c r="U179" s="24"/>
      <c r="V179" s="24">
        <v>2.4</v>
      </c>
      <c r="XDO179"/>
      <c r="XDP179"/>
      <c r="XDQ179"/>
      <c r="XDR179"/>
      <c r="XDS179"/>
    </row>
    <row r="180" s="21" customFormat="1" spans="1:16347">
      <c r="A180" s="24" t="s">
        <v>58</v>
      </c>
      <c r="B180" s="25" t="s">
        <v>59</v>
      </c>
      <c r="C180" s="24" t="s">
        <v>60</v>
      </c>
      <c r="D180" s="24" t="s">
        <v>904</v>
      </c>
      <c r="E180" s="24" t="s">
        <v>905</v>
      </c>
      <c r="F180" s="24" t="s">
        <v>906</v>
      </c>
      <c r="G180" s="24" t="s">
        <v>890</v>
      </c>
      <c r="H180" s="24"/>
      <c r="I180" s="25">
        <v>3.6</v>
      </c>
      <c r="J180" s="24" t="s">
        <v>65</v>
      </c>
      <c r="K180" s="24" t="s">
        <v>907</v>
      </c>
      <c r="L180" s="24" t="s">
        <v>67</v>
      </c>
      <c r="M180" s="24" t="s">
        <v>200</v>
      </c>
      <c r="N180" s="24" t="s">
        <v>200</v>
      </c>
      <c r="O180" s="25">
        <v>0.7</v>
      </c>
      <c r="P180" s="24"/>
      <c r="Q180" s="24"/>
      <c r="R180" s="24"/>
      <c r="S180" s="24">
        <v>0.5</v>
      </c>
      <c r="T180" s="24"/>
      <c r="U180" s="24"/>
      <c r="V180" s="24">
        <v>2.4</v>
      </c>
      <c r="XDO180"/>
      <c r="XDP180"/>
      <c r="XDQ180"/>
      <c r="XDR180"/>
      <c r="XDS180"/>
    </row>
    <row r="181" s="21" customFormat="1" spans="1:16347">
      <c r="A181" s="24" t="s">
        <v>58</v>
      </c>
      <c r="B181" s="25" t="s">
        <v>59</v>
      </c>
      <c r="C181" s="24" t="s">
        <v>60</v>
      </c>
      <c r="D181" s="24" t="s">
        <v>908</v>
      </c>
      <c r="E181" s="24" t="s">
        <v>909</v>
      </c>
      <c r="F181" s="24" t="s">
        <v>910</v>
      </c>
      <c r="G181" s="24" t="s">
        <v>911</v>
      </c>
      <c r="H181" s="24"/>
      <c r="I181" s="25">
        <v>3.3</v>
      </c>
      <c r="J181" s="24" t="s">
        <v>65</v>
      </c>
      <c r="K181" s="24" t="s">
        <v>912</v>
      </c>
      <c r="L181" s="24" t="s">
        <v>67</v>
      </c>
      <c r="M181" s="24" t="s">
        <v>79</v>
      </c>
      <c r="N181" s="24" t="s">
        <v>79</v>
      </c>
      <c r="O181" s="25">
        <v>0.7</v>
      </c>
      <c r="P181" s="24"/>
      <c r="Q181" s="24"/>
      <c r="R181" s="24"/>
      <c r="S181" s="24">
        <v>0.3</v>
      </c>
      <c r="T181" s="24"/>
      <c r="U181" s="24"/>
      <c r="V181" s="24">
        <v>2.3</v>
      </c>
      <c r="XDO181"/>
      <c r="XDP181"/>
      <c r="XDQ181"/>
      <c r="XDR181"/>
      <c r="XDS181"/>
    </row>
    <row r="182" s="21" customFormat="1" spans="1:16347">
      <c r="A182" s="24" t="s">
        <v>58</v>
      </c>
      <c r="B182" s="25" t="s">
        <v>59</v>
      </c>
      <c r="C182" s="24" t="s">
        <v>60</v>
      </c>
      <c r="D182" s="24" t="s">
        <v>913</v>
      </c>
      <c r="E182" s="24" t="s">
        <v>914</v>
      </c>
      <c r="F182" s="24" t="s">
        <v>915</v>
      </c>
      <c r="G182" s="24" t="s">
        <v>916</v>
      </c>
      <c r="H182" s="24"/>
      <c r="I182" s="25">
        <v>3</v>
      </c>
      <c r="J182" s="24" t="s">
        <v>881</v>
      </c>
      <c r="K182" s="24" t="s">
        <v>917</v>
      </c>
      <c r="L182" s="24" t="s">
        <v>67</v>
      </c>
      <c r="M182" s="24" t="s">
        <v>132</v>
      </c>
      <c r="N182" s="24" t="s">
        <v>132</v>
      </c>
      <c r="O182" s="25">
        <v>1</v>
      </c>
      <c r="P182" s="24"/>
      <c r="Q182" s="24"/>
      <c r="R182" s="24"/>
      <c r="S182" s="24">
        <v>0.2</v>
      </c>
      <c r="T182" s="24"/>
      <c r="U182" s="24"/>
      <c r="V182" s="24">
        <v>1.8</v>
      </c>
      <c r="XDO182"/>
      <c r="XDP182"/>
      <c r="XDQ182"/>
      <c r="XDR182"/>
      <c r="XDS182"/>
    </row>
    <row r="183" s="21" customFormat="1" spans="1:16347">
      <c r="A183" s="24" t="s">
        <v>58</v>
      </c>
      <c r="B183" s="25" t="s">
        <v>59</v>
      </c>
      <c r="C183" s="24" t="s">
        <v>60</v>
      </c>
      <c r="D183" s="24" t="s">
        <v>918</v>
      </c>
      <c r="E183" s="24" t="s">
        <v>919</v>
      </c>
      <c r="F183" s="24" t="s">
        <v>920</v>
      </c>
      <c r="G183" s="24" t="s">
        <v>916</v>
      </c>
      <c r="H183" s="24"/>
      <c r="I183" s="25">
        <v>2.5</v>
      </c>
      <c r="J183" s="24" t="s">
        <v>881</v>
      </c>
      <c r="K183" s="24" t="s">
        <v>921</v>
      </c>
      <c r="L183" s="24" t="s">
        <v>67</v>
      </c>
      <c r="M183" s="24" t="s">
        <v>74</v>
      </c>
      <c r="N183" s="24" t="s">
        <v>74</v>
      </c>
      <c r="O183" s="25">
        <v>0.5</v>
      </c>
      <c r="P183" s="24"/>
      <c r="Q183" s="24"/>
      <c r="R183" s="24"/>
      <c r="S183" s="24">
        <v>0.2</v>
      </c>
      <c r="T183" s="24"/>
      <c r="U183" s="24"/>
      <c r="V183" s="24">
        <v>1.8</v>
      </c>
      <c r="XDO183"/>
      <c r="XDP183"/>
      <c r="XDQ183"/>
      <c r="XDR183"/>
      <c r="XDS183"/>
    </row>
    <row r="184" s="21" customFormat="1" spans="1:16347">
      <c r="A184" s="24" t="s">
        <v>58</v>
      </c>
      <c r="B184" s="25" t="s">
        <v>59</v>
      </c>
      <c r="C184" s="24" t="s">
        <v>60</v>
      </c>
      <c r="D184" s="24" t="s">
        <v>922</v>
      </c>
      <c r="E184" s="24" t="s">
        <v>923</v>
      </c>
      <c r="F184" s="24" t="s">
        <v>924</v>
      </c>
      <c r="G184" s="24" t="s">
        <v>925</v>
      </c>
      <c r="H184" s="24"/>
      <c r="I184" s="25">
        <v>3</v>
      </c>
      <c r="J184" s="24" t="s">
        <v>65</v>
      </c>
      <c r="K184" s="24" t="s">
        <v>926</v>
      </c>
      <c r="L184" s="24" t="s">
        <v>67</v>
      </c>
      <c r="M184" s="24" t="s">
        <v>672</v>
      </c>
      <c r="N184" s="24" t="s">
        <v>672</v>
      </c>
      <c r="O184" s="25">
        <v>0.5</v>
      </c>
      <c r="P184" s="24"/>
      <c r="Q184" s="24"/>
      <c r="R184" s="24"/>
      <c r="S184" s="24">
        <v>0.2</v>
      </c>
      <c r="T184" s="24"/>
      <c r="U184" s="24"/>
      <c r="V184" s="24">
        <v>2.3</v>
      </c>
      <c r="XDO184"/>
      <c r="XDP184"/>
      <c r="XDQ184"/>
      <c r="XDR184"/>
      <c r="XDS184"/>
    </row>
    <row r="185" s="21" customFormat="1" spans="1:16347">
      <c r="A185" s="24" t="s">
        <v>58</v>
      </c>
      <c r="B185" s="25" t="s">
        <v>59</v>
      </c>
      <c r="C185" s="24" t="s">
        <v>60</v>
      </c>
      <c r="D185" s="24" t="s">
        <v>927</v>
      </c>
      <c r="E185" s="24" t="s">
        <v>928</v>
      </c>
      <c r="F185" s="24" t="s">
        <v>929</v>
      </c>
      <c r="G185" s="24" t="s">
        <v>930</v>
      </c>
      <c r="H185" s="24"/>
      <c r="I185" s="25">
        <v>3</v>
      </c>
      <c r="J185" s="24" t="s">
        <v>65</v>
      </c>
      <c r="K185" s="24" t="s">
        <v>931</v>
      </c>
      <c r="L185" s="24" t="s">
        <v>615</v>
      </c>
      <c r="M185" s="24" t="s">
        <v>672</v>
      </c>
      <c r="N185" s="24" t="s">
        <v>672</v>
      </c>
      <c r="O185" s="25">
        <v>0.5</v>
      </c>
      <c r="P185" s="24"/>
      <c r="Q185" s="24"/>
      <c r="R185" s="24"/>
      <c r="S185" s="24">
        <v>0.2</v>
      </c>
      <c r="T185" s="24"/>
      <c r="U185" s="24"/>
      <c r="V185" s="24">
        <v>2.3</v>
      </c>
      <c r="XDO185"/>
      <c r="XDP185"/>
      <c r="XDQ185"/>
      <c r="XDR185"/>
      <c r="XDS185"/>
    </row>
    <row r="186" s="21" customFormat="1" spans="1:16347">
      <c r="A186" s="24" t="s">
        <v>58</v>
      </c>
      <c r="B186" s="25" t="s">
        <v>59</v>
      </c>
      <c r="C186" s="24" t="s">
        <v>60</v>
      </c>
      <c r="D186" s="24" t="s">
        <v>932</v>
      </c>
      <c r="E186" s="24" t="s">
        <v>933</v>
      </c>
      <c r="F186" s="24" t="s">
        <v>934</v>
      </c>
      <c r="G186" s="24" t="s">
        <v>935</v>
      </c>
      <c r="H186" s="24"/>
      <c r="I186" s="25">
        <v>2.5</v>
      </c>
      <c r="J186" s="24" t="s">
        <v>881</v>
      </c>
      <c r="K186" s="24" t="s">
        <v>936</v>
      </c>
      <c r="L186" s="24" t="s">
        <v>67</v>
      </c>
      <c r="M186" s="24" t="s">
        <v>74</v>
      </c>
      <c r="N186" s="24" t="s">
        <v>74</v>
      </c>
      <c r="O186" s="25">
        <v>0.5</v>
      </c>
      <c r="P186" s="24"/>
      <c r="Q186" s="24"/>
      <c r="R186" s="24"/>
      <c r="S186" s="24">
        <v>0.2</v>
      </c>
      <c r="T186" s="24"/>
      <c r="U186" s="24"/>
      <c r="V186" s="24">
        <v>1.8</v>
      </c>
      <c r="XDO186"/>
      <c r="XDP186"/>
      <c r="XDQ186"/>
      <c r="XDR186"/>
      <c r="XDS186"/>
    </row>
    <row r="187" s="21" customFormat="1" spans="1:16347">
      <c r="A187" s="24" t="s">
        <v>58</v>
      </c>
      <c r="B187" s="25" t="s">
        <v>59</v>
      </c>
      <c r="C187" s="24" t="s">
        <v>60</v>
      </c>
      <c r="D187" s="24" t="s">
        <v>937</v>
      </c>
      <c r="E187" s="24" t="s">
        <v>938</v>
      </c>
      <c r="F187" s="24" t="s">
        <v>939</v>
      </c>
      <c r="G187" s="24" t="s">
        <v>935</v>
      </c>
      <c r="H187" s="24"/>
      <c r="I187" s="25">
        <v>2.95</v>
      </c>
      <c r="J187" s="24" t="s">
        <v>881</v>
      </c>
      <c r="K187" s="24" t="s">
        <v>940</v>
      </c>
      <c r="L187" s="24" t="s">
        <v>67</v>
      </c>
      <c r="M187" s="24" t="s">
        <v>363</v>
      </c>
      <c r="N187" s="24" t="s">
        <v>363</v>
      </c>
      <c r="O187" s="25">
        <v>0.5</v>
      </c>
      <c r="P187" s="24"/>
      <c r="Q187" s="24"/>
      <c r="R187" s="24"/>
      <c r="S187" s="24">
        <v>0.5</v>
      </c>
      <c r="T187" s="24"/>
      <c r="U187" s="24"/>
      <c r="V187" s="24">
        <v>1.95</v>
      </c>
      <c r="XDO187"/>
      <c r="XDP187"/>
      <c r="XDQ187"/>
      <c r="XDR187"/>
      <c r="XDS187"/>
    </row>
    <row r="188" s="21" customFormat="1" spans="1:16347">
      <c r="A188" s="24" t="s">
        <v>58</v>
      </c>
      <c r="B188" s="25" t="s">
        <v>59</v>
      </c>
      <c r="C188" s="24" t="s">
        <v>60</v>
      </c>
      <c r="D188" s="24" t="s">
        <v>941</v>
      </c>
      <c r="E188" s="24" t="s">
        <v>942</v>
      </c>
      <c r="F188" s="24" t="s">
        <v>943</v>
      </c>
      <c r="G188" s="24" t="s">
        <v>944</v>
      </c>
      <c r="H188" s="24"/>
      <c r="I188" s="25">
        <v>2.8</v>
      </c>
      <c r="J188" s="24" t="s">
        <v>881</v>
      </c>
      <c r="K188" s="24" t="s">
        <v>945</v>
      </c>
      <c r="L188" s="24" t="s">
        <v>67</v>
      </c>
      <c r="M188" s="24" t="s">
        <v>946</v>
      </c>
      <c r="N188" s="24" t="s">
        <v>946</v>
      </c>
      <c r="O188" s="25">
        <v>0.5</v>
      </c>
      <c r="P188" s="24"/>
      <c r="Q188" s="24"/>
      <c r="R188" s="24"/>
      <c r="S188" s="24">
        <v>0.5</v>
      </c>
      <c r="T188" s="24"/>
      <c r="U188" s="24"/>
      <c r="V188" s="24">
        <v>1.8</v>
      </c>
      <c r="XDO188"/>
      <c r="XDP188"/>
      <c r="XDQ188"/>
      <c r="XDR188"/>
      <c r="XDS188"/>
    </row>
    <row r="189" s="21" customFormat="1" spans="1:16347">
      <c r="A189" s="24" t="s">
        <v>58</v>
      </c>
      <c r="B189" s="25" t="s">
        <v>59</v>
      </c>
      <c r="C189" s="24" t="s">
        <v>60</v>
      </c>
      <c r="D189" s="24" t="s">
        <v>947</v>
      </c>
      <c r="E189" s="24" t="s">
        <v>948</v>
      </c>
      <c r="F189" s="24" t="s">
        <v>949</v>
      </c>
      <c r="G189" s="24" t="s">
        <v>944</v>
      </c>
      <c r="H189" s="24"/>
      <c r="I189" s="25">
        <v>3</v>
      </c>
      <c r="J189" s="24" t="s">
        <v>881</v>
      </c>
      <c r="K189" s="24" t="s">
        <v>950</v>
      </c>
      <c r="L189" s="24" t="s">
        <v>67</v>
      </c>
      <c r="M189" s="24" t="s">
        <v>132</v>
      </c>
      <c r="N189" s="24" t="s">
        <v>132</v>
      </c>
      <c r="O189" s="25">
        <v>1</v>
      </c>
      <c r="P189" s="24"/>
      <c r="Q189" s="24"/>
      <c r="R189" s="24"/>
      <c r="S189" s="24">
        <v>0.2</v>
      </c>
      <c r="T189" s="24"/>
      <c r="U189" s="24"/>
      <c r="V189" s="24">
        <v>1.8</v>
      </c>
      <c r="XDO189"/>
      <c r="XDP189"/>
      <c r="XDQ189"/>
      <c r="XDR189"/>
      <c r="XDS189"/>
    </row>
    <row r="190" s="21" customFormat="1" spans="1:16347">
      <c r="A190" s="24" t="s">
        <v>58</v>
      </c>
      <c r="B190" s="25" t="s">
        <v>59</v>
      </c>
      <c r="C190" s="24" t="s">
        <v>60</v>
      </c>
      <c r="D190" s="24" t="s">
        <v>951</v>
      </c>
      <c r="E190" s="24" t="s">
        <v>952</v>
      </c>
      <c r="F190" s="24" t="s">
        <v>953</v>
      </c>
      <c r="G190" s="24" t="s">
        <v>944</v>
      </c>
      <c r="H190" s="24"/>
      <c r="I190" s="25">
        <v>2.95</v>
      </c>
      <c r="J190" s="24" t="s">
        <v>881</v>
      </c>
      <c r="K190" s="24" t="s">
        <v>954</v>
      </c>
      <c r="L190" s="24" t="s">
        <v>67</v>
      </c>
      <c r="M190" s="24" t="s">
        <v>363</v>
      </c>
      <c r="N190" s="24" t="s">
        <v>363</v>
      </c>
      <c r="O190" s="25">
        <v>0.5</v>
      </c>
      <c r="P190" s="24"/>
      <c r="Q190" s="24"/>
      <c r="R190" s="24"/>
      <c r="S190" s="24">
        <v>0.5</v>
      </c>
      <c r="T190" s="24"/>
      <c r="U190" s="24"/>
      <c r="V190" s="24">
        <v>1.95</v>
      </c>
      <c r="XDO190"/>
      <c r="XDP190"/>
      <c r="XDQ190"/>
      <c r="XDR190"/>
      <c r="XDS190"/>
    </row>
    <row r="191" s="21" customFormat="1" spans="1:16347">
      <c r="A191" s="24" t="s">
        <v>58</v>
      </c>
      <c r="B191" s="25" t="s">
        <v>59</v>
      </c>
      <c r="C191" s="24" t="s">
        <v>60</v>
      </c>
      <c r="D191" s="24" t="s">
        <v>955</v>
      </c>
      <c r="E191" s="24" t="s">
        <v>956</v>
      </c>
      <c r="F191" s="24" t="s">
        <v>957</v>
      </c>
      <c r="G191" s="24" t="s">
        <v>944</v>
      </c>
      <c r="H191" s="24"/>
      <c r="I191" s="25">
        <v>2.5</v>
      </c>
      <c r="J191" s="24" t="s">
        <v>881</v>
      </c>
      <c r="K191" s="24" t="s">
        <v>958</v>
      </c>
      <c r="L191" s="24" t="s">
        <v>67</v>
      </c>
      <c r="M191" s="24" t="s">
        <v>74</v>
      </c>
      <c r="N191" s="24" t="s">
        <v>74</v>
      </c>
      <c r="O191" s="25">
        <v>0.5</v>
      </c>
      <c r="P191" s="24"/>
      <c r="Q191" s="24"/>
      <c r="R191" s="24"/>
      <c r="S191" s="24">
        <v>0.2</v>
      </c>
      <c r="T191" s="24"/>
      <c r="U191" s="24"/>
      <c r="V191" s="24">
        <v>1.8</v>
      </c>
      <c r="XDO191"/>
      <c r="XDP191"/>
      <c r="XDQ191"/>
      <c r="XDR191"/>
      <c r="XDS191"/>
    </row>
    <row r="192" s="21" customFormat="1" spans="1:16347">
      <c r="A192" s="24" t="s">
        <v>58</v>
      </c>
      <c r="B192" s="25" t="s">
        <v>59</v>
      </c>
      <c r="C192" s="24" t="s">
        <v>60</v>
      </c>
      <c r="D192" s="24" t="s">
        <v>959</v>
      </c>
      <c r="E192" s="24" t="s">
        <v>960</v>
      </c>
      <c r="F192" s="24" t="s">
        <v>961</v>
      </c>
      <c r="G192" s="24" t="s">
        <v>962</v>
      </c>
      <c r="H192" s="24"/>
      <c r="I192" s="25">
        <v>2.5</v>
      </c>
      <c r="J192" s="24" t="s">
        <v>881</v>
      </c>
      <c r="K192" s="24" t="s">
        <v>963</v>
      </c>
      <c r="L192" s="24" t="s">
        <v>67</v>
      </c>
      <c r="M192" s="24" t="s">
        <v>74</v>
      </c>
      <c r="N192" s="24" t="s">
        <v>74</v>
      </c>
      <c r="O192" s="25">
        <v>0.5</v>
      </c>
      <c r="P192" s="24"/>
      <c r="Q192" s="24"/>
      <c r="R192" s="24"/>
      <c r="S192" s="24">
        <v>0.2</v>
      </c>
      <c r="T192" s="24"/>
      <c r="U192" s="24"/>
      <c r="V192" s="24">
        <v>1.8</v>
      </c>
      <c r="XDO192"/>
      <c r="XDP192"/>
      <c r="XDQ192"/>
      <c r="XDR192"/>
      <c r="XDS192"/>
    </row>
    <row r="193" s="21" customFormat="1" spans="1:16347">
      <c r="A193" s="24" t="s">
        <v>58</v>
      </c>
      <c r="B193" s="25" t="s">
        <v>59</v>
      </c>
      <c r="C193" s="24" t="s">
        <v>60</v>
      </c>
      <c r="D193" s="24" t="s">
        <v>964</v>
      </c>
      <c r="E193" s="24" t="s">
        <v>965</v>
      </c>
      <c r="F193" s="24" t="s">
        <v>966</v>
      </c>
      <c r="G193" s="24" t="s">
        <v>967</v>
      </c>
      <c r="H193" s="24"/>
      <c r="I193" s="25">
        <v>3.1</v>
      </c>
      <c r="J193" s="24" t="s">
        <v>65</v>
      </c>
      <c r="K193" s="24" t="s">
        <v>968</v>
      </c>
      <c r="L193" s="24" t="s">
        <v>67</v>
      </c>
      <c r="M193" s="24" t="s">
        <v>179</v>
      </c>
      <c r="N193" s="24" t="s">
        <v>179</v>
      </c>
      <c r="O193" s="25">
        <v>0.7</v>
      </c>
      <c r="P193" s="24"/>
      <c r="Q193" s="24"/>
      <c r="R193" s="24"/>
      <c r="S193" s="24"/>
      <c r="T193" s="24"/>
      <c r="U193" s="24"/>
      <c r="V193" s="24">
        <v>2.4</v>
      </c>
      <c r="XDO193"/>
      <c r="XDP193"/>
      <c r="XDQ193"/>
      <c r="XDR193"/>
      <c r="XDS193"/>
    </row>
    <row r="194" s="21" customFormat="1" spans="1:16347">
      <c r="A194" s="24" t="s">
        <v>58</v>
      </c>
      <c r="B194" s="25" t="s">
        <v>59</v>
      </c>
      <c r="C194" s="24" t="s">
        <v>60</v>
      </c>
      <c r="D194" s="24" t="s">
        <v>969</v>
      </c>
      <c r="E194" s="24" t="s">
        <v>970</v>
      </c>
      <c r="F194" s="24" t="s">
        <v>971</v>
      </c>
      <c r="G194" s="24" t="s">
        <v>967</v>
      </c>
      <c r="H194" s="24"/>
      <c r="I194" s="25">
        <v>3.1</v>
      </c>
      <c r="J194" s="24" t="s">
        <v>65</v>
      </c>
      <c r="K194" s="24" t="s">
        <v>972</v>
      </c>
      <c r="L194" s="24" t="s">
        <v>67</v>
      </c>
      <c r="M194" s="24" t="s">
        <v>179</v>
      </c>
      <c r="N194" s="24" t="s">
        <v>179</v>
      </c>
      <c r="O194" s="25">
        <v>0.7</v>
      </c>
      <c r="P194" s="24"/>
      <c r="Q194" s="24"/>
      <c r="R194" s="24"/>
      <c r="S194" s="24"/>
      <c r="T194" s="24"/>
      <c r="U194" s="24"/>
      <c r="V194" s="24">
        <v>2.4</v>
      </c>
      <c r="XDO194"/>
      <c r="XDP194"/>
      <c r="XDQ194"/>
      <c r="XDR194"/>
      <c r="XDS194"/>
    </row>
    <row r="195" s="21" customFormat="1" spans="1:16347">
      <c r="A195" s="24" t="s">
        <v>58</v>
      </c>
      <c r="B195" s="25" t="s">
        <v>59</v>
      </c>
      <c r="C195" s="24" t="s">
        <v>60</v>
      </c>
      <c r="D195" s="24" t="s">
        <v>973</v>
      </c>
      <c r="E195" s="24" t="s">
        <v>974</v>
      </c>
      <c r="F195" s="24" t="s">
        <v>975</v>
      </c>
      <c r="G195" s="24" t="s">
        <v>976</v>
      </c>
      <c r="H195" s="24"/>
      <c r="I195" s="25">
        <v>4.8</v>
      </c>
      <c r="J195" s="24" t="s">
        <v>65</v>
      </c>
      <c r="K195" s="24" t="s">
        <v>977</v>
      </c>
      <c r="L195" s="24" t="s">
        <v>67</v>
      </c>
      <c r="M195" s="24" t="s">
        <v>164</v>
      </c>
      <c r="N195" s="24" t="s">
        <v>164</v>
      </c>
      <c r="O195" s="25">
        <v>2</v>
      </c>
      <c r="P195" s="24"/>
      <c r="Q195" s="24"/>
      <c r="R195" s="24"/>
      <c r="S195" s="24"/>
      <c r="T195" s="24"/>
      <c r="U195" s="24"/>
      <c r="V195" s="24">
        <v>2.8</v>
      </c>
      <c r="XDO195"/>
      <c r="XDP195"/>
      <c r="XDQ195"/>
      <c r="XDR195"/>
      <c r="XDS195"/>
    </row>
    <row r="196" s="21" customFormat="1" spans="1:16347">
      <c r="A196" s="24" t="s">
        <v>58</v>
      </c>
      <c r="B196" s="25" t="s">
        <v>59</v>
      </c>
      <c r="C196" s="24" t="s">
        <v>60</v>
      </c>
      <c r="D196" s="24" t="s">
        <v>978</v>
      </c>
      <c r="E196" s="24" t="s">
        <v>979</v>
      </c>
      <c r="F196" s="24" t="s">
        <v>980</v>
      </c>
      <c r="G196" s="24" t="s">
        <v>976</v>
      </c>
      <c r="H196" s="24"/>
      <c r="I196" s="25">
        <v>3.3</v>
      </c>
      <c r="J196" s="24" t="s">
        <v>65</v>
      </c>
      <c r="K196" s="24" t="s">
        <v>981</v>
      </c>
      <c r="L196" s="24" t="s">
        <v>67</v>
      </c>
      <c r="M196" s="24" t="s">
        <v>79</v>
      </c>
      <c r="N196" s="24" t="s">
        <v>79</v>
      </c>
      <c r="O196" s="25">
        <v>0.7</v>
      </c>
      <c r="P196" s="24"/>
      <c r="Q196" s="24"/>
      <c r="R196" s="24"/>
      <c r="S196" s="24">
        <v>0.3</v>
      </c>
      <c r="T196" s="24"/>
      <c r="U196" s="24"/>
      <c r="V196" s="24">
        <v>2.3</v>
      </c>
      <c r="XDO196"/>
      <c r="XDP196"/>
      <c r="XDQ196"/>
      <c r="XDR196"/>
      <c r="XDS196"/>
    </row>
    <row r="197" s="21" customFormat="1" spans="1:16347">
      <c r="A197" s="24" t="s">
        <v>58</v>
      </c>
      <c r="B197" s="25" t="s">
        <v>59</v>
      </c>
      <c r="C197" s="24" t="s">
        <v>60</v>
      </c>
      <c r="D197" s="24" t="s">
        <v>982</v>
      </c>
      <c r="E197" s="24" t="s">
        <v>983</v>
      </c>
      <c r="F197" s="24" t="s">
        <v>984</v>
      </c>
      <c r="G197" s="24" t="s">
        <v>985</v>
      </c>
      <c r="H197" s="24"/>
      <c r="I197" s="25">
        <v>3.6</v>
      </c>
      <c r="J197" s="24" t="s">
        <v>65</v>
      </c>
      <c r="K197" s="24" t="s">
        <v>986</v>
      </c>
      <c r="L197" s="24" t="s">
        <v>67</v>
      </c>
      <c r="M197" s="24" t="s">
        <v>200</v>
      </c>
      <c r="N197" s="24" t="s">
        <v>200</v>
      </c>
      <c r="O197" s="25">
        <v>0.7</v>
      </c>
      <c r="P197" s="24"/>
      <c r="Q197" s="24"/>
      <c r="R197" s="24"/>
      <c r="S197" s="24">
        <v>0.5</v>
      </c>
      <c r="T197" s="24"/>
      <c r="U197" s="24"/>
      <c r="V197" s="24">
        <v>2.4</v>
      </c>
      <c r="XDO197"/>
      <c r="XDP197"/>
      <c r="XDQ197"/>
      <c r="XDR197"/>
      <c r="XDS197"/>
    </row>
    <row r="198" s="21" customFormat="1" spans="1:16347">
      <c r="A198" s="24" t="s">
        <v>58</v>
      </c>
      <c r="B198" s="25" t="s">
        <v>59</v>
      </c>
      <c r="C198" s="24" t="s">
        <v>60</v>
      </c>
      <c r="D198" s="24" t="s">
        <v>987</v>
      </c>
      <c r="E198" s="24" t="s">
        <v>988</v>
      </c>
      <c r="F198" s="24" t="s">
        <v>989</v>
      </c>
      <c r="G198" s="24" t="s">
        <v>990</v>
      </c>
      <c r="H198" s="24"/>
      <c r="I198" s="25">
        <v>3.6</v>
      </c>
      <c r="J198" s="24" t="s">
        <v>65</v>
      </c>
      <c r="K198" s="24" t="s">
        <v>991</v>
      </c>
      <c r="L198" s="24" t="s">
        <v>67</v>
      </c>
      <c r="M198" s="24" t="s">
        <v>179</v>
      </c>
      <c r="N198" s="24" t="s">
        <v>179</v>
      </c>
      <c r="O198" s="25">
        <v>0.7</v>
      </c>
      <c r="P198" s="24"/>
      <c r="Q198" s="24"/>
      <c r="R198" s="24"/>
      <c r="S198" s="24">
        <v>0.5</v>
      </c>
      <c r="T198" s="24"/>
      <c r="U198" s="24"/>
      <c r="V198" s="24">
        <v>2.4</v>
      </c>
      <c r="XDO198"/>
      <c r="XDP198"/>
      <c r="XDQ198"/>
      <c r="XDR198"/>
      <c r="XDS198"/>
    </row>
    <row r="199" s="21" customFormat="1" spans="1:16347">
      <c r="A199" s="24" t="s">
        <v>58</v>
      </c>
      <c r="B199" s="25" t="s">
        <v>59</v>
      </c>
      <c r="C199" s="24" t="s">
        <v>60</v>
      </c>
      <c r="D199" s="24" t="s">
        <v>992</v>
      </c>
      <c r="E199" s="24" t="s">
        <v>993</v>
      </c>
      <c r="F199" s="24" t="s">
        <v>994</v>
      </c>
      <c r="G199" s="24" t="s">
        <v>995</v>
      </c>
      <c r="H199" s="24"/>
      <c r="I199" s="25">
        <v>3.6</v>
      </c>
      <c r="J199" s="24" t="s">
        <v>65</v>
      </c>
      <c r="K199" s="24" t="s">
        <v>996</v>
      </c>
      <c r="L199" s="24" t="s">
        <v>67</v>
      </c>
      <c r="M199" s="24" t="s">
        <v>200</v>
      </c>
      <c r="N199" s="24" t="s">
        <v>200</v>
      </c>
      <c r="O199" s="25">
        <v>0.7</v>
      </c>
      <c r="P199" s="24"/>
      <c r="Q199" s="24"/>
      <c r="R199" s="24"/>
      <c r="S199" s="24">
        <v>0.5</v>
      </c>
      <c r="T199" s="24"/>
      <c r="U199" s="24"/>
      <c r="V199" s="24">
        <v>2.4</v>
      </c>
      <c r="XDO199"/>
      <c r="XDP199"/>
      <c r="XDQ199"/>
      <c r="XDR199"/>
      <c r="XDS199"/>
    </row>
    <row r="200" s="21" customFormat="1" spans="1:16347">
      <c r="A200" s="24" t="s">
        <v>58</v>
      </c>
      <c r="B200" s="25" t="s">
        <v>59</v>
      </c>
      <c r="C200" s="24" t="s">
        <v>60</v>
      </c>
      <c r="D200" s="24" t="s">
        <v>997</v>
      </c>
      <c r="E200" s="24" t="s">
        <v>998</v>
      </c>
      <c r="F200" s="24" t="s">
        <v>999</v>
      </c>
      <c r="G200" s="24" t="s">
        <v>1000</v>
      </c>
      <c r="H200" s="24"/>
      <c r="I200" s="25">
        <v>3.6</v>
      </c>
      <c r="J200" s="24" t="s">
        <v>65</v>
      </c>
      <c r="K200" s="24" t="s">
        <v>1001</v>
      </c>
      <c r="L200" s="24" t="s">
        <v>67</v>
      </c>
      <c r="M200" s="24" t="s">
        <v>200</v>
      </c>
      <c r="N200" s="24" t="s">
        <v>200</v>
      </c>
      <c r="O200" s="25">
        <v>0.7</v>
      </c>
      <c r="P200" s="24"/>
      <c r="Q200" s="24"/>
      <c r="R200" s="24"/>
      <c r="S200" s="24">
        <v>0.5</v>
      </c>
      <c r="T200" s="24"/>
      <c r="U200" s="24"/>
      <c r="V200" s="24">
        <v>2.4</v>
      </c>
      <c r="XDO200"/>
      <c r="XDP200"/>
      <c r="XDQ200"/>
      <c r="XDR200"/>
      <c r="XDS200"/>
    </row>
    <row r="201" s="21" customFormat="1" spans="1:16347">
      <c r="A201" s="24" t="s">
        <v>58</v>
      </c>
      <c r="B201" s="25" t="s">
        <v>59</v>
      </c>
      <c r="C201" s="24" t="s">
        <v>60</v>
      </c>
      <c r="D201" s="24" t="s">
        <v>1002</v>
      </c>
      <c r="E201" s="24" t="s">
        <v>1003</v>
      </c>
      <c r="F201" s="24" t="s">
        <v>1004</v>
      </c>
      <c r="G201" s="24" t="s">
        <v>1000</v>
      </c>
      <c r="H201" s="24"/>
      <c r="I201" s="25">
        <v>3.3</v>
      </c>
      <c r="J201" s="24" t="s">
        <v>65</v>
      </c>
      <c r="K201" s="24" t="s">
        <v>1005</v>
      </c>
      <c r="L201" s="24" t="s">
        <v>67</v>
      </c>
      <c r="M201" s="24" t="s">
        <v>79</v>
      </c>
      <c r="N201" s="24" t="s">
        <v>79</v>
      </c>
      <c r="O201" s="25">
        <v>0.7</v>
      </c>
      <c r="P201" s="24"/>
      <c r="Q201" s="24"/>
      <c r="R201" s="24"/>
      <c r="S201" s="24">
        <v>0.3</v>
      </c>
      <c r="T201" s="24"/>
      <c r="U201" s="24"/>
      <c r="V201" s="24">
        <v>2.3</v>
      </c>
      <c r="XDO201"/>
      <c r="XDP201"/>
      <c r="XDQ201"/>
      <c r="XDR201"/>
      <c r="XDS201"/>
    </row>
    <row r="202" s="21" customFormat="1" spans="1:16347">
      <c r="A202" s="24" t="s">
        <v>58</v>
      </c>
      <c r="B202" s="25" t="s">
        <v>59</v>
      </c>
      <c r="C202" s="24" t="s">
        <v>60</v>
      </c>
      <c r="D202" s="24" t="s">
        <v>1006</v>
      </c>
      <c r="E202" s="24" t="s">
        <v>1007</v>
      </c>
      <c r="F202" s="24" t="s">
        <v>1008</v>
      </c>
      <c r="G202" s="24" t="s">
        <v>1009</v>
      </c>
      <c r="H202" s="24"/>
      <c r="I202" s="25">
        <v>3.3</v>
      </c>
      <c r="J202" s="24" t="s">
        <v>65</v>
      </c>
      <c r="K202" s="24" t="s">
        <v>1010</v>
      </c>
      <c r="L202" s="24" t="s">
        <v>67</v>
      </c>
      <c r="M202" s="24" t="s">
        <v>79</v>
      </c>
      <c r="N202" s="24" t="s">
        <v>79</v>
      </c>
      <c r="O202" s="25">
        <v>0.7</v>
      </c>
      <c r="P202" s="24"/>
      <c r="Q202" s="24"/>
      <c r="R202" s="24"/>
      <c r="S202" s="24">
        <v>0.3</v>
      </c>
      <c r="T202" s="24"/>
      <c r="U202" s="24"/>
      <c r="V202" s="24">
        <v>2.3</v>
      </c>
      <c r="XDO202"/>
      <c r="XDP202"/>
      <c r="XDQ202"/>
      <c r="XDR202"/>
      <c r="XDS202"/>
    </row>
    <row r="203" s="21" customFormat="1" spans="1:16347">
      <c r="A203" s="24" t="s">
        <v>58</v>
      </c>
      <c r="B203" s="25" t="s">
        <v>59</v>
      </c>
      <c r="C203" s="24" t="s">
        <v>60</v>
      </c>
      <c r="D203" s="24" t="s">
        <v>1011</v>
      </c>
      <c r="E203" s="24" t="s">
        <v>1012</v>
      </c>
      <c r="F203" s="24" t="s">
        <v>1013</v>
      </c>
      <c r="G203" s="24" t="s">
        <v>1014</v>
      </c>
      <c r="H203" s="24"/>
      <c r="I203" s="25">
        <v>3.6</v>
      </c>
      <c r="J203" s="24" t="s">
        <v>65</v>
      </c>
      <c r="K203" s="24" t="s">
        <v>1015</v>
      </c>
      <c r="L203" s="24" t="s">
        <v>67</v>
      </c>
      <c r="M203" s="24" t="s">
        <v>200</v>
      </c>
      <c r="N203" s="24" t="s">
        <v>200</v>
      </c>
      <c r="O203" s="25">
        <v>0.7</v>
      </c>
      <c r="P203" s="24"/>
      <c r="Q203" s="24"/>
      <c r="R203" s="24"/>
      <c r="S203" s="24">
        <v>0.5</v>
      </c>
      <c r="T203" s="24"/>
      <c r="U203" s="24"/>
      <c r="V203" s="24">
        <v>2.4</v>
      </c>
      <c r="XDO203"/>
      <c r="XDP203"/>
      <c r="XDQ203"/>
      <c r="XDR203"/>
      <c r="XDS203"/>
    </row>
    <row r="204" s="21" customFormat="1" spans="1:16347">
      <c r="A204" s="24" t="s">
        <v>58</v>
      </c>
      <c r="B204" s="25" t="s">
        <v>59</v>
      </c>
      <c r="C204" s="24" t="s">
        <v>60</v>
      </c>
      <c r="D204" s="24" t="s">
        <v>1016</v>
      </c>
      <c r="E204" s="24" t="s">
        <v>1017</v>
      </c>
      <c r="F204" s="24" t="s">
        <v>1018</v>
      </c>
      <c r="G204" s="24" t="s">
        <v>1019</v>
      </c>
      <c r="H204" s="24"/>
      <c r="I204" s="25">
        <v>4.8</v>
      </c>
      <c r="J204" s="24" t="s">
        <v>65</v>
      </c>
      <c r="K204" s="24" t="s">
        <v>1020</v>
      </c>
      <c r="L204" s="24" t="s">
        <v>67</v>
      </c>
      <c r="M204" s="24" t="s">
        <v>164</v>
      </c>
      <c r="N204" s="24" t="s">
        <v>164</v>
      </c>
      <c r="O204" s="25">
        <v>2</v>
      </c>
      <c r="P204" s="24"/>
      <c r="Q204" s="24"/>
      <c r="R204" s="24"/>
      <c r="S204" s="24"/>
      <c r="T204" s="24"/>
      <c r="U204" s="24"/>
      <c r="V204" s="24">
        <v>2.8</v>
      </c>
      <c r="XDO204"/>
      <c r="XDP204"/>
      <c r="XDQ204"/>
      <c r="XDR204"/>
      <c r="XDS204"/>
    </row>
    <row r="205" s="21" customFormat="1" spans="1:16347">
      <c r="A205" s="24" t="s">
        <v>58</v>
      </c>
      <c r="B205" s="25" t="s">
        <v>59</v>
      </c>
      <c r="C205" s="24" t="s">
        <v>60</v>
      </c>
      <c r="D205" s="24" t="s">
        <v>1021</v>
      </c>
      <c r="E205" s="24" t="s">
        <v>1022</v>
      </c>
      <c r="F205" s="24" t="s">
        <v>1023</v>
      </c>
      <c r="G205" s="24" t="s">
        <v>1019</v>
      </c>
      <c r="H205" s="24"/>
      <c r="I205" s="25">
        <v>3.6</v>
      </c>
      <c r="J205" s="24" t="s">
        <v>65</v>
      </c>
      <c r="K205" s="24" t="s">
        <v>1024</v>
      </c>
      <c r="L205" s="24" t="s">
        <v>67</v>
      </c>
      <c r="M205" s="24" t="s">
        <v>200</v>
      </c>
      <c r="N205" s="24" t="s">
        <v>200</v>
      </c>
      <c r="O205" s="25">
        <v>0.7</v>
      </c>
      <c r="P205" s="24"/>
      <c r="Q205" s="24"/>
      <c r="R205" s="24"/>
      <c r="S205" s="24">
        <v>0.5</v>
      </c>
      <c r="T205" s="24"/>
      <c r="U205" s="24"/>
      <c r="V205" s="24">
        <v>2.4</v>
      </c>
      <c r="XDO205"/>
      <c r="XDP205"/>
      <c r="XDQ205"/>
      <c r="XDR205"/>
      <c r="XDS205"/>
    </row>
    <row r="206" s="21" customFormat="1" spans="1:16347">
      <c r="A206" s="24" t="s">
        <v>58</v>
      </c>
      <c r="B206" s="25" t="s">
        <v>59</v>
      </c>
      <c r="C206" s="24" t="s">
        <v>60</v>
      </c>
      <c r="D206" s="24" t="s">
        <v>1025</v>
      </c>
      <c r="E206" s="24" t="s">
        <v>1026</v>
      </c>
      <c r="F206" s="24" t="s">
        <v>1027</v>
      </c>
      <c r="G206" s="24" t="s">
        <v>1028</v>
      </c>
      <c r="H206" s="24"/>
      <c r="I206" s="25">
        <v>3.6</v>
      </c>
      <c r="J206" s="24" t="s">
        <v>65</v>
      </c>
      <c r="K206" s="24" t="s">
        <v>1029</v>
      </c>
      <c r="L206" s="24" t="s">
        <v>67</v>
      </c>
      <c r="M206" s="24" t="s">
        <v>179</v>
      </c>
      <c r="N206" s="24" t="s">
        <v>179</v>
      </c>
      <c r="O206" s="25">
        <v>0.7</v>
      </c>
      <c r="P206" s="24"/>
      <c r="Q206" s="24"/>
      <c r="R206" s="24"/>
      <c r="S206" s="24">
        <v>0.5</v>
      </c>
      <c r="T206" s="24"/>
      <c r="U206" s="24"/>
      <c r="V206" s="24">
        <v>2.4</v>
      </c>
      <c r="XDO206"/>
      <c r="XDP206"/>
      <c r="XDQ206"/>
      <c r="XDR206"/>
      <c r="XDS206"/>
    </row>
    <row r="207" s="21" customFormat="1" spans="1:16347">
      <c r="A207" s="24" t="s">
        <v>58</v>
      </c>
      <c r="B207" s="25" t="s">
        <v>59</v>
      </c>
      <c r="C207" s="24" t="s">
        <v>60</v>
      </c>
      <c r="D207" s="24" t="s">
        <v>1030</v>
      </c>
      <c r="E207" s="24" t="s">
        <v>1031</v>
      </c>
      <c r="F207" s="24" t="s">
        <v>1032</v>
      </c>
      <c r="G207" s="24" t="s">
        <v>1028</v>
      </c>
      <c r="H207" s="24"/>
      <c r="I207" s="25">
        <v>3.6</v>
      </c>
      <c r="J207" s="24" t="s">
        <v>65</v>
      </c>
      <c r="K207" s="24" t="s">
        <v>1033</v>
      </c>
      <c r="L207" s="24" t="s">
        <v>67</v>
      </c>
      <c r="M207" s="24" t="s">
        <v>200</v>
      </c>
      <c r="N207" s="24" t="s">
        <v>200</v>
      </c>
      <c r="O207" s="25">
        <v>0.7</v>
      </c>
      <c r="P207" s="24"/>
      <c r="Q207" s="24"/>
      <c r="R207" s="24"/>
      <c r="S207" s="24">
        <v>0.5</v>
      </c>
      <c r="T207" s="24"/>
      <c r="U207" s="24"/>
      <c r="V207" s="24">
        <v>2.4</v>
      </c>
      <c r="XDO207"/>
      <c r="XDP207"/>
      <c r="XDQ207"/>
      <c r="XDR207"/>
      <c r="XDS207"/>
    </row>
    <row r="208" s="21" customFormat="1" spans="1:16347">
      <c r="A208" s="24" t="s">
        <v>58</v>
      </c>
      <c r="B208" s="25" t="s">
        <v>59</v>
      </c>
      <c r="C208" s="24" t="s">
        <v>60</v>
      </c>
      <c r="D208" s="24" t="s">
        <v>1034</v>
      </c>
      <c r="E208" s="24" t="s">
        <v>1035</v>
      </c>
      <c r="F208" s="24" t="s">
        <v>1036</v>
      </c>
      <c r="G208" s="24" t="s">
        <v>1037</v>
      </c>
      <c r="H208" s="24"/>
      <c r="I208" s="25">
        <v>2.5</v>
      </c>
      <c r="J208" s="24" t="s">
        <v>881</v>
      </c>
      <c r="K208" s="24" t="s">
        <v>1038</v>
      </c>
      <c r="L208" s="24" t="s">
        <v>67</v>
      </c>
      <c r="M208" s="24" t="s">
        <v>137</v>
      </c>
      <c r="N208" s="24" t="s">
        <v>137</v>
      </c>
      <c r="O208" s="25">
        <v>0.5</v>
      </c>
      <c r="P208" s="24"/>
      <c r="Q208" s="24"/>
      <c r="R208" s="24"/>
      <c r="S208" s="24">
        <v>0.2</v>
      </c>
      <c r="T208" s="24"/>
      <c r="U208" s="24"/>
      <c r="V208" s="24">
        <v>1.8</v>
      </c>
      <c r="XDO208"/>
      <c r="XDP208"/>
      <c r="XDQ208"/>
      <c r="XDR208"/>
      <c r="XDS208"/>
    </row>
    <row r="209" s="21" customFormat="1" spans="1:16347">
      <c r="A209" s="24" t="s">
        <v>58</v>
      </c>
      <c r="B209" s="25" t="s">
        <v>59</v>
      </c>
      <c r="C209" s="24" t="s">
        <v>60</v>
      </c>
      <c r="D209" s="24" t="s">
        <v>1039</v>
      </c>
      <c r="E209" s="24" t="s">
        <v>1040</v>
      </c>
      <c r="F209" s="24" t="s">
        <v>1041</v>
      </c>
      <c r="G209" s="24" t="s">
        <v>1037</v>
      </c>
      <c r="H209" s="24"/>
      <c r="I209" s="25">
        <v>3.6</v>
      </c>
      <c r="J209" s="24" t="s">
        <v>65</v>
      </c>
      <c r="K209" s="24" t="s">
        <v>1042</v>
      </c>
      <c r="L209" s="24" t="s">
        <v>67</v>
      </c>
      <c r="M209" s="24" t="s">
        <v>200</v>
      </c>
      <c r="N209" s="24" t="s">
        <v>200</v>
      </c>
      <c r="O209" s="25">
        <v>0.7</v>
      </c>
      <c r="P209" s="24"/>
      <c r="Q209" s="24"/>
      <c r="R209" s="24"/>
      <c r="S209" s="24">
        <v>0.5</v>
      </c>
      <c r="T209" s="24"/>
      <c r="U209" s="24"/>
      <c r="V209" s="24">
        <v>2.4</v>
      </c>
      <c r="XDO209"/>
      <c r="XDP209"/>
      <c r="XDQ209"/>
      <c r="XDR209"/>
      <c r="XDS209"/>
    </row>
    <row r="210" s="21" customFormat="1" spans="1:16347">
      <c r="A210" s="24" t="s">
        <v>58</v>
      </c>
      <c r="B210" s="25" t="s">
        <v>59</v>
      </c>
      <c r="C210" s="24" t="s">
        <v>60</v>
      </c>
      <c r="D210" s="24" t="s">
        <v>1043</v>
      </c>
      <c r="E210" s="24" t="s">
        <v>1044</v>
      </c>
      <c r="F210" s="24" t="s">
        <v>1045</v>
      </c>
      <c r="G210" s="24" t="s">
        <v>1046</v>
      </c>
      <c r="H210" s="24"/>
      <c r="I210" s="25">
        <v>7.5</v>
      </c>
      <c r="J210" s="24" t="s">
        <v>65</v>
      </c>
      <c r="K210" s="24" t="s">
        <v>1047</v>
      </c>
      <c r="L210" s="24" t="s">
        <v>67</v>
      </c>
      <c r="M210" s="24" t="s">
        <v>148</v>
      </c>
      <c r="N210" s="24" t="s">
        <v>148</v>
      </c>
      <c r="O210" s="25">
        <v>3</v>
      </c>
      <c r="P210" s="24"/>
      <c r="Q210" s="24"/>
      <c r="R210" s="24"/>
      <c r="S210" s="24">
        <v>1</v>
      </c>
      <c r="T210" s="24"/>
      <c r="U210" s="24"/>
      <c r="V210" s="24">
        <v>3.5</v>
      </c>
      <c r="XDO210"/>
      <c r="XDP210"/>
      <c r="XDQ210"/>
      <c r="XDR210"/>
      <c r="XDS210"/>
    </row>
    <row r="211" s="21" customFormat="1" spans="1:16347">
      <c r="A211" s="24" t="s">
        <v>58</v>
      </c>
      <c r="B211" s="25" t="s">
        <v>59</v>
      </c>
      <c r="C211" s="24" t="s">
        <v>60</v>
      </c>
      <c r="D211" s="24" t="s">
        <v>1048</v>
      </c>
      <c r="E211" s="24" t="s">
        <v>1049</v>
      </c>
      <c r="F211" s="24" t="s">
        <v>1050</v>
      </c>
      <c r="G211" s="24" t="s">
        <v>1046</v>
      </c>
      <c r="H211" s="24"/>
      <c r="I211" s="25">
        <v>2.8</v>
      </c>
      <c r="J211" s="24" t="s">
        <v>881</v>
      </c>
      <c r="K211" s="24" t="s">
        <v>1051</v>
      </c>
      <c r="L211" s="24" t="s">
        <v>67</v>
      </c>
      <c r="M211" s="24" t="s">
        <v>946</v>
      </c>
      <c r="N211" s="24" t="s">
        <v>946</v>
      </c>
      <c r="O211" s="25">
        <v>0.5</v>
      </c>
      <c r="P211" s="24"/>
      <c r="Q211" s="24"/>
      <c r="R211" s="24"/>
      <c r="S211" s="24">
        <v>0.5</v>
      </c>
      <c r="T211" s="24"/>
      <c r="U211" s="24"/>
      <c r="V211" s="24">
        <v>1.8</v>
      </c>
      <c r="XDO211"/>
      <c r="XDP211"/>
      <c r="XDQ211"/>
      <c r="XDR211"/>
      <c r="XDS211"/>
    </row>
    <row r="212" s="21" customFormat="1" spans="1:16347">
      <c r="A212" s="24" t="s">
        <v>58</v>
      </c>
      <c r="B212" s="25" t="s">
        <v>59</v>
      </c>
      <c r="C212" s="24" t="s">
        <v>60</v>
      </c>
      <c r="D212" s="24" t="s">
        <v>1052</v>
      </c>
      <c r="E212" s="24" t="s">
        <v>1053</v>
      </c>
      <c r="F212" s="24" t="s">
        <v>1054</v>
      </c>
      <c r="G212" s="24" t="s">
        <v>1046</v>
      </c>
      <c r="H212" s="24"/>
      <c r="I212" s="25">
        <v>2.8</v>
      </c>
      <c r="J212" s="24" t="s">
        <v>881</v>
      </c>
      <c r="K212" s="24" t="s">
        <v>1055</v>
      </c>
      <c r="L212" s="24" t="s">
        <v>67</v>
      </c>
      <c r="M212" s="24" t="s">
        <v>946</v>
      </c>
      <c r="N212" s="24" t="s">
        <v>946</v>
      </c>
      <c r="O212" s="25">
        <v>0.5</v>
      </c>
      <c r="P212" s="24"/>
      <c r="Q212" s="24"/>
      <c r="R212" s="24"/>
      <c r="S212" s="24">
        <v>0.5</v>
      </c>
      <c r="T212" s="24"/>
      <c r="U212" s="24"/>
      <c r="V212" s="24">
        <v>1.8</v>
      </c>
      <c r="XDO212"/>
      <c r="XDP212"/>
      <c r="XDQ212"/>
      <c r="XDR212"/>
      <c r="XDS212"/>
    </row>
    <row r="213" s="21" customFormat="1" spans="1:16347">
      <c r="A213" s="24" t="s">
        <v>58</v>
      </c>
      <c r="B213" s="25" t="s">
        <v>59</v>
      </c>
      <c r="C213" s="24" t="s">
        <v>60</v>
      </c>
      <c r="D213" s="24" t="s">
        <v>1056</v>
      </c>
      <c r="E213" s="24" t="s">
        <v>1057</v>
      </c>
      <c r="F213" s="24" t="s">
        <v>1058</v>
      </c>
      <c r="G213" s="24" t="s">
        <v>1046</v>
      </c>
      <c r="H213" s="24"/>
      <c r="I213" s="25">
        <v>3.6</v>
      </c>
      <c r="J213" s="24" t="s">
        <v>65</v>
      </c>
      <c r="K213" s="24" t="s">
        <v>1059</v>
      </c>
      <c r="L213" s="24" t="s">
        <v>67</v>
      </c>
      <c r="M213" s="24" t="s">
        <v>463</v>
      </c>
      <c r="N213" s="24" t="s">
        <v>463</v>
      </c>
      <c r="O213" s="25">
        <v>1</v>
      </c>
      <c r="P213" s="24"/>
      <c r="Q213" s="24"/>
      <c r="R213" s="24"/>
      <c r="S213" s="24"/>
      <c r="T213" s="24"/>
      <c r="U213" s="24"/>
      <c r="V213" s="24">
        <v>2.6</v>
      </c>
      <c r="XDO213"/>
      <c r="XDP213"/>
      <c r="XDQ213"/>
      <c r="XDR213"/>
      <c r="XDS213"/>
    </row>
    <row r="214" s="21" customFormat="1" spans="1:16347">
      <c r="A214" s="24" t="s">
        <v>58</v>
      </c>
      <c r="B214" s="25" t="s">
        <v>59</v>
      </c>
      <c r="C214" s="24" t="s">
        <v>60</v>
      </c>
      <c r="D214" s="24" t="s">
        <v>1060</v>
      </c>
      <c r="E214" s="24" t="s">
        <v>1061</v>
      </c>
      <c r="F214" s="24" t="s">
        <v>1062</v>
      </c>
      <c r="G214" s="24" t="s">
        <v>1063</v>
      </c>
      <c r="H214" s="24"/>
      <c r="I214" s="25">
        <v>3.6</v>
      </c>
      <c r="J214" s="24" t="s">
        <v>65</v>
      </c>
      <c r="K214" s="24" t="s">
        <v>1064</v>
      </c>
      <c r="L214" s="24" t="s">
        <v>67</v>
      </c>
      <c r="M214" s="24" t="s">
        <v>200</v>
      </c>
      <c r="N214" s="24" t="s">
        <v>200</v>
      </c>
      <c r="O214" s="25">
        <v>0.7</v>
      </c>
      <c r="P214" s="24"/>
      <c r="Q214" s="24"/>
      <c r="R214" s="24"/>
      <c r="S214" s="24">
        <v>0.5</v>
      </c>
      <c r="T214" s="24"/>
      <c r="U214" s="24"/>
      <c r="V214" s="24">
        <v>2.4</v>
      </c>
      <c r="XDO214"/>
      <c r="XDP214"/>
      <c r="XDQ214"/>
      <c r="XDR214"/>
      <c r="XDS214"/>
    </row>
    <row r="215" s="21" customFormat="1" spans="1:16347">
      <c r="A215" s="24" t="s">
        <v>58</v>
      </c>
      <c r="B215" s="25" t="s">
        <v>59</v>
      </c>
      <c r="C215" s="24" t="s">
        <v>60</v>
      </c>
      <c r="D215" s="24" t="s">
        <v>1065</v>
      </c>
      <c r="E215" s="24" t="s">
        <v>1066</v>
      </c>
      <c r="F215" s="24" t="s">
        <v>1067</v>
      </c>
      <c r="G215" s="24" t="s">
        <v>1063</v>
      </c>
      <c r="H215" s="24"/>
      <c r="I215" s="25">
        <v>2.65</v>
      </c>
      <c r="J215" s="24" t="s">
        <v>881</v>
      </c>
      <c r="K215" s="24" t="s">
        <v>1068</v>
      </c>
      <c r="L215" s="24" t="s">
        <v>67</v>
      </c>
      <c r="M215" s="24" t="s">
        <v>209</v>
      </c>
      <c r="N215" s="24" t="s">
        <v>209</v>
      </c>
      <c r="O215" s="25">
        <v>0.5</v>
      </c>
      <c r="P215" s="24"/>
      <c r="Q215" s="24"/>
      <c r="R215" s="24"/>
      <c r="S215" s="24">
        <v>0.2</v>
      </c>
      <c r="T215" s="24"/>
      <c r="U215" s="24"/>
      <c r="V215" s="24">
        <v>1.95</v>
      </c>
      <c r="XDO215"/>
      <c r="XDP215"/>
      <c r="XDQ215"/>
      <c r="XDR215"/>
      <c r="XDS215"/>
    </row>
    <row r="216" s="21" customFormat="1" spans="1:16347">
      <c r="A216" s="24" t="s">
        <v>58</v>
      </c>
      <c r="B216" s="25" t="s">
        <v>59</v>
      </c>
      <c r="C216" s="24" t="s">
        <v>60</v>
      </c>
      <c r="D216" s="24" t="s">
        <v>1069</v>
      </c>
      <c r="E216" s="24" t="s">
        <v>1070</v>
      </c>
      <c r="F216" s="24" t="s">
        <v>1071</v>
      </c>
      <c r="G216" s="24" t="s">
        <v>1063</v>
      </c>
      <c r="H216" s="24"/>
      <c r="I216" s="25">
        <v>2.5</v>
      </c>
      <c r="J216" s="24" t="s">
        <v>881</v>
      </c>
      <c r="K216" s="24" t="s">
        <v>1072</v>
      </c>
      <c r="L216" s="24" t="s">
        <v>67</v>
      </c>
      <c r="M216" s="24" t="s">
        <v>74</v>
      </c>
      <c r="N216" s="24" t="s">
        <v>74</v>
      </c>
      <c r="O216" s="25">
        <v>0.5</v>
      </c>
      <c r="P216" s="24"/>
      <c r="Q216" s="24"/>
      <c r="R216" s="24"/>
      <c r="S216" s="24">
        <v>0.2</v>
      </c>
      <c r="T216" s="24"/>
      <c r="U216" s="24"/>
      <c r="V216" s="24">
        <v>1.8</v>
      </c>
      <c r="XDO216"/>
      <c r="XDP216"/>
      <c r="XDQ216"/>
      <c r="XDR216"/>
      <c r="XDS216"/>
    </row>
    <row r="217" s="21" customFormat="1" spans="1:16347">
      <c r="A217" s="24" t="s">
        <v>58</v>
      </c>
      <c r="B217" s="25" t="s">
        <v>59</v>
      </c>
      <c r="C217" s="24" t="s">
        <v>60</v>
      </c>
      <c r="D217" s="24" t="s">
        <v>1073</v>
      </c>
      <c r="E217" s="24" t="s">
        <v>1074</v>
      </c>
      <c r="F217" s="24" t="s">
        <v>1075</v>
      </c>
      <c r="G217" s="24" t="s">
        <v>1076</v>
      </c>
      <c r="H217" s="24"/>
      <c r="I217" s="25">
        <v>3.6</v>
      </c>
      <c r="J217" s="24" t="s">
        <v>65</v>
      </c>
      <c r="K217" s="24" t="s">
        <v>1077</v>
      </c>
      <c r="L217" s="24" t="s">
        <v>67</v>
      </c>
      <c r="M217" s="24" t="s">
        <v>200</v>
      </c>
      <c r="N217" s="24" t="s">
        <v>200</v>
      </c>
      <c r="O217" s="25">
        <v>0.7</v>
      </c>
      <c r="P217" s="24"/>
      <c r="Q217" s="24"/>
      <c r="R217" s="24"/>
      <c r="S217" s="24">
        <v>0.5</v>
      </c>
      <c r="T217" s="24"/>
      <c r="U217" s="24"/>
      <c r="V217" s="24">
        <v>2.4</v>
      </c>
      <c r="XDO217"/>
      <c r="XDP217"/>
      <c r="XDQ217"/>
      <c r="XDR217"/>
      <c r="XDS217"/>
    </row>
    <row r="218" s="21" customFormat="1" spans="1:16347">
      <c r="A218" s="24" t="s">
        <v>58</v>
      </c>
      <c r="B218" s="25" t="s">
        <v>59</v>
      </c>
      <c r="C218" s="24" t="s">
        <v>60</v>
      </c>
      <c r="D218" s="24" t="s">
        <v>1078</v>
      </c>
      <c r="E218" s="24" t="s">
        <v>1079</v>
      </c>
      <c r="F218" s="24" t="s">
        <v>1080</v>
      </c>
      <c r="G218" s="24" t="s">
        <v>1076</v>
      </c>
      <c r="H218" s="24"/>
      <c r="I218" s="25">
        <v>3.6</v>
      </c>
      <c r="J218" s="24" t="s">
        <v>65</v>
      </c>
      <c r="K218" s="24" t="s">
        <v>1081</v>
      </c>
      <c r="L218" s="24" t="s">
        <v>67</v>
      </c>
      <c r="M218" s="24" t="s">
        <v>200</v>
      </c>
      <c r="N218" s="24" t="s">
        <v>200</v>
      </c>
      <c r="O218" s="25">
        <v>0.7</v>
      </c>
      <c r="P218" s="24"/>
      <c r="Q218" s="24"/>
      <c r="R218" s="24"/>
      <c r="S218" s="24">
        <v>0.5</v>
      </c>
      <c r="T218" s="24"/>
      <c r="U218" s="24"/>
      <c r="V218" s="24">
        <v>2.4</v>
      </c>
      <c r="XDO218"/>
      <c r="XDP218"/>
      <c r="XDQ218"/>
      <c r="XDR218"/>
      <c r="XDS218"/>
    </row>
    <row r="219" s="21" customFormat="1" spans="1:16347">
      <c r="A219" s="24" t="s">
        <v>58</v>
      </c>
      <c r="B219" s="25" t="s">
        <v>59</v>
      </c>
      <c r="C219" s="24" t="s">
        <v>60</v>
      </c>
      <c r="D219" s="24" t="s">
        <v>1082</v>
      </c>
      <c r="E219" s="24" t="s">
        <v>1083</v>
      </c>
      <c r="F219" s="24" t="s">
        <v>1084</v>
      </c>
      <c r="G219" s="24" t="s">
        <v>1085</v>
      </c>
      <c r="H219" s="24"/>
      <c r="I219" s="25">
        <v>3.4</v>
      </c>
      <c r="J219" s="24" t="s">
        <v>65</v>
      </c>
      <c r="K219" s="24" t="s">
        <v>1086</v>
      </c>
      <c r="L219" s="24" t="s">
        <v>67</v>
      </c>
      <c r="M219" s="24" t="s">
        <v>1087</v>
      </c>
      <c r="N219" s="24" t="s">
        <v>1087</v>
      </c>
      <c r="O219" s="25">
        <v>0.7</v>
      </c>
      <c r="P219" s="24"/>
      <c r="Q219" s="24"/>
      <c r="R219" s="24"/>
      <c r="S219" s="24">
        <v>0.3</v>
      </c>
      <c r="T219" s="24"/>
      <c r="U219" s="24"/>
      <c r="V219" s="24">
        <v>2.4</v>
      </c>
      <c r="XDO219"/>
      <c r="XDP219"/>
      <c r="XDQ219"/>
      <c r="XDR219"/>
      <c r="XDS219"/>
    </row>
    <row r="220" s="21" customFormat="1" spans="1:16347">
      <c r="A220" s="24" t="s">
        <v>58</v>
      </c>
      <c r="B220" s="25" t="s">
        <v>59</v>
      </c>
      <c r="C220" s="24" t="s">
        <v>60</v>
      </c>
      <c r="D220" s="24" t="s">
        <v>1088</v>
      </c>
      <c r="E220" s="24" t="s">
        <v>1089</v>
      </c>
      <c r="F220" s="24" t="s">
        <v>1090</v>
      </c>
      <c r="G220" s="24" t="s">
        <v>1091</v>
      </c>
      <c r="H220" s="24"/>
      <c r="I220" s="25">
        <v>2.5</v>
      </c>
      <c r="J220" s="24" t="s">
        <v>881</v>
      </c>
      <c r="K220" s="24" t="s">
        <v>1092</v>
      </c>
      <c r="L220" s="24" t="s">
        <v>67</v>
      </c>
      <c r="M220" s="24" t="s">
        <v>74</v>
      </c>
      <c r="N220" s="24" t="s">
        <v>74</v>
      </c>
      <c r="O220" s="25">
        <v>0.5</v>
      </c>
      <c r="P220" s="24"/>
      <c r="Q220" s="24"/>
      <c r="R220" s="24"/>
      <c r="S220" s="24">
        <v>0.2</v>
      </c>
      <c r="T220" s="24"/>
      <c r="U220" s="24"/>
      <c r="V220" s="24">
        <v>1.8</v>
      </c>
      <c r="XDO220"/>
      <c r="XDP220"/>
      <c r="XDQ220"/>
      <c r="XDR220"/>
      <c r="XDS220"/>
    </row>
    <row r="221" s="21" customFormat="1" spans="1:16347">
      <c r="A221" s="24" t="s">
        <v>58</v>
      </c>
      <c r="B221" s="25" t="s">
        <v>59</v>
      </c>
      <c r="C221" s="24" t="s">
        <v>60</v>
      </c>
      <c r="D221" s="24" t="s">
        <v>1093</v>
      </c>
      <c r="E221" s="24" t="s">
        <v>1094</v>
      </c>
      <c r="F221" s="24" t="s">
        <v>1095</v>
      </c>
      <c r="G221" s="24" t="s">
        <v>1091</v>
      </c>
      <c r="H221" s="24"/>
      <c r="I221" s="25">
        <v>3.6</v>
      </c>
      <c r="J221" s="24" t="s">
        <v>65</v>
      </c>
      <c r="K221" s="24" t="s">
        <v>1096</v>
      </c>
      <c r="L221" s="24" t="s">
        <v>67</v>
      </c>
      <c r="M221" s="24" t="s">
        <v>744</v>
      </c>
      <c r="N221" s="24" t="s">
        <v>744</v>
      </c>
      <c r="O221" s="25">
        <v>1</v>
      </c>
      <c r="P221" s="24"/>
      <c r="Q221" s="24"/>
      <c r="R221" s="24"/>
      <c r="S221" s="24"/>
      <c r="T221" s="24"/>
      <c r="U221" s="24"/>
      <c r="V221" s="24">
        <v>2.6</v>
      </c>
      <c r="XDO221"/>
      <c r="XDP221"/>
      <c r="XDQ221"/>
      <c r="XDR221"/>
      <c r="XDS221"/>
    </row>
    <row r="222" s="21" customFormat="1" spans="1:16347">
      <c r="A222" s="24" t="s">
        <v>58</v>
      </c>
      <c r="B222" s="25" t="s">
        <v>59</v>
      </c>
      <c r="C222" s="24" t="s">
        <v>60</v>
      </c>
      <c r="D222" s="24" t="s">
        <v>1097</v>
      </c>
      <c r="E222" s="24" t="s">
        <v>1098</v>
      </c>
      <c r="F222" s="24" t="s">
        <v>1099</v>
      </c>
      <c r="G222" s="24" t="s">
        <v>1091</v>
      </c>
      <c r="H222" s="24"/>
      <c r="I222" s="25">
        <v>3.3</v>
      </c>
      <c r="J222" s="24" t="s">
        <v>65</v>
      </c>
      <c r="K222" s="24" t="s">
        <v>1100</v>
      </c>
      <c r="L222" s="24" t="s">
        <v>67</v>
      </c>
      <c r="M222" s="24" t="s">
        <v>79</v>
      </c>
      <c r="N222" s="24" t="s">
        <v>79</v>
      </c>
      <c r="O222" s="25">
        <v>0.7</v>
      </c>
      <c r="P222" s="24"/>
      <c r="Q222" s="24"/>
      <c r="R222" s="24"/>
      <c r="S222" s="24">
        <v>0.3</v>
      </c>
      <c r="T222" s="24"/>
      <c r="U222" s="24"/>
      <c r="V222" s="24">
        <v>2.3</v>
      </c>
      <c r="XDO222"/>
      <c r="XDP222"/>
      <c r="XDQ222"/>
      <c r="XDR222"/>
      <c r="XDS222"/>
    </row>
    <row r="223" s="21" customFormat="1" spans="1:16347">
      <c r="A223" s="24" t="s">
        <v>58</v>
      </c>
      <c r="B223" s="25" t="s">
        <v>59</v>
      </c>
      <c r="C223" s="24" t="s">
        <v>60</v>
      </c>
      <c r="D223" s="24" t="s">
        <v>1101</v>
      </c>
      <c r="E223" s="24" t="s">
        <v>1102</v>
      </c>
      <c r="F223" s="24" t="s">
        <v>1103</v>
      </c>
      <c r="G223" s="24" t="s">
        <v>1091</v>
      </c>
      <c r="H223" s="24"/>
      <c r="I223" s="25">
        <v>3.6</v>
      </c>
      <c r="J223" s="24" t="s">
        <v>65</v>
      </c>
      <c r="K223" s="24" t="s">
        <v>1104</v>
      </c>
      <c r="L223" s="24" t="s">
        <v>67</v>
      </c>
      <c r="M223" s="24" t="s">
        <v>200</v>
      </c>
      <c r="N223" s="24" t="s">
        <v>200</v>
      </c>
      <c r="O223" s="25">
        <v>0.7</v>
      </c>
      <c r="P223" s="24"/>
      <c r="Q223" s="24"/>
      <c r="R223" s="24"/>
      <c r="S223" s="24">
        <v>0.5</v>
      </c>
      <c r="T223" s="24"/>
      <c r="U223" s="24"/>
      <c r="V223" s="24">
        <v>2.4</v>
      </c>
      <c r="XDO223"/>
      <c r="XDP223"/>
      <c r="XDQ223"/>
      <c r="XDR223"/>
      <c r="XDS223"/>
    </row>
    <row r="224" s="21" customFormat="1" spans="1:16347">
      <c r="A224" s="24" t="s">
        <v>58</v>
      </c>
      <c r="B224" s="25" t="s">
        <v>59</v>
      </c>
      <c r="C224" s="24" t="s">
        <v>60</v>
      </c>
      <c r="D224" s="24" t="s">
        <v>1105</v>
      </c>
      <c r="E224" s="24" t="s">
        <v>1106</v>
      </c>
      <c r="F224" s="24" t="s">
        <v>1107</v>
      </c>
      <c r="G224" s="24" t="s">
        <v>1108</v>
      </c>
      <c r="H224" s="24"/>
      <c r="I224" s="25">
        <v>3.6</v>
      </c>
      <c r="J224" s="24" t="s">
        <v>65</v>
      </c>
      <c r="K224" s="24" t="s">
        <v>1109</v>
      </c>
      <c r="L224" s="24" t="s">
        <v>67</v>
      </c>
      <c r="M224" s="24" t="s">
        <v>200</v>
      </c>
      <c r="N224" s="24" t="s">
        <v>200</v>
      </c>
      <c r="O224" s="25">
        <v>0.7</v>
      </c>
      <c r="P224" s="24"/>
      <c r="Q224" s="24"/>
      <c r="R224" s="24"/>
      <c r="S224" s="24">
        <v>0.5</v>
      </c>
      <c r="T224" s="24"/>
      <c r="U224" s="24"/>
      <c r="V224" s="24">
        <v>2.4</v>
      </c>
      <c r="XDO224"/>
      <c r="XDP224"/>
      <c r="XDQ224"/>
      <c r="XDR224"/>
      <c r="XDS224"/>
    </row>
    <row r="225" s="21" customFormat="1" spans="1:16347">
      <c r="A225" s="24" t="s">
        <v>58</v>
      </c>
      <c r="B225" s="25" t="s">
        <v>59</v>
      </c>
      <c r="C225" s="24" t="s">
        <v>60</v>
      </c>
      <c r="D225" s="24" t="s">
        <v>1110</v>
      </c>
      <c r="E225" s="24" t="s">
        <v>1111</v>
      </c>
      <c r="F225" s="24" t="s">
        <v>1112</v>
      </c>
      <c r="G225" s="24" t="s">
        <v>1108</v>
      </c>
      <c r="H225" s="24"/>
      <c r="I225" s="25">
        <v>3.3</v>
      </c>
      <c r="J225" s="24" t="s">
        <v>65</v>
      </c>
      <c r="K225" s="24" t="s">
        <v>1113</v>
      </c>
      <c r="L225" s="24" t="s">
        <v>67</v>
      </c>
      <c r="M225" s="24" t="s">
        <v>79</v>
      </c>
      <c r="N225" s="24" t="s">
        <v>79</v>
      </c>
      <c r="O225" s="25">
        <v>0.7</v>
      </c>
      <c r="P225" s="24"/>
      <c r="Q225" s="24"/>
      <c r="R225" s="24"/>
      <c r="S225" s="24">
        <v>0.3</v>
      </c>
      <c r="T225" s="24"/>
      <c r="U225" s="24"/>
      <c r="V225" s="24">
        <v>2.3</v>
      </c>
      <c r="XDO225"/>
      <c r="XDP225"/>
      <c r="XDQ225"/>
      <c r="XDR225"/>
      <c r="XDS225"/>
    </row>
    <row r="226" s="21" customFormat="1" spans="1:16347">
      <c r="A226" s="24" t="s">
        <v>58</v>
      </c>
      <c r="B226" s="25" t="s">
        <v>59</v>
      </c>
      <c r="C226" s="24" t="s">
        <v>60</v>
      </c>
      <c r="D226" s="24" t="s">
        <v>1114</v>
      </c>
      <c r="E226" s="24" t="s">
        <v>1115</v>
      </c>
      <c r="F226" s="24" t="s">
        <v>1116</v>
      </c>
      <c r="G226" s="24" t="s">
        <v>1108</v>
      </c>
      <c r="H226" s="24"/>
      <c r="I226" s="25">
        <v>3.6</v>
      </c>
      <c r="J226" s="24" t="s">
        <v>65</v>
      </c>
      <c r="K226" s="24" t="s">
        <v>1117</v>
      </c>
      <c r="L226" s="24" t="s">
        <v>67</v>
      </c>
      <c r="M226" s="24" t="s">
        <v>200</v>
      </c>
      <c r="N226" s="24" t="s">
        <v>200</v>
      </c>
      <c r="O226" s="25">
        <v>0.7</v>
      </c>
      <c r="P226" s="24"/>
      <c r="Q226" s="24"/>
      <c r="R226" s="24"/>
      <c r="S226" s="24">
        <v>0.5</v>
      </c>
      <c r="T226" s="24"/>
      <c r="U226" s="24"/>
      <c r="V226" s="24">
        <v>2.4</v>
      </c>
      <c r="XDO226"/>
      <c r="XDP226"/>
      <c r="XDQ226"/>
      <c r="XDR226"/>
      <c r="XDS226"/>
    </row>
    <row r="227" s="21" customFormat="1" spans="1:16347">
      <c r="A227" s="24" t="s">
        <v>58</v>
      </c>
      <c r="B227" s="25" t="s">
        <v>59</v>
      </c>
      <c r="C227" s="24" t="s">
        <v>60</v>
      </c>
      <c r="D227" s="24" t="s">
        <v>1118</v>
      </c>
      <c r="E227" s="24" t="s">
        <v>1119</v>
      </c>
      <c r="F227" s="24" t="s">
        <v>1120</v>
      </c>
      <c r="G227" s="24" t="s">
        <v>1108</v>
      </c>
      <c r="H227" s="24"/>
      <c r="I227" s="25">
        <v>3.4</v>
      </c>
      <c r="J227" s="24" t="s">
        <v>65</v>
      </c>
      <c r="K227" s="24" t="s">
        <v>1121</v>
      </c>
      <c r="L227" s="24" t="s">
        <v>67</v>
      </c>
      <c r="M227" s="24" t="s">
        <v>382</v>
      </c>
      <c r="N227" s="24" t="s">
        <v>382</v>
      </c>
      <c r="O227" s="25">
        <v>0.7</v>
      </c>
      <c r="P227" s="24"/>
      <c r="Q227" s="24"/>
      <c r="R227" s="24"/>
      <c r="S227" s="24">
        <v>0.3</v>
      </c>
      <c r="T227" s="24"/>
      <c r="U227" s="24"/>
      <c r="V227" s="24">
        <v>2.4</v>
      </c>
      <c r="XDO227"/>
      <c r="XDP227"/>
      <c r="XDQ227"/>
      <c r="XDR227"/>
      <c r="XDS227"/>
    </row>
    <row r="228" s="21" customFormat="1" spans="1:16347">
      <c r="A228" s="24" t="s">
        <v>58</v>
      </c>
      <c r="B228" s="25" t="s">
        <v>59</v>
      </c>
      <c r="C228" s="24" t="s">
        <v>60</v>
      </c>
      <c r="D228" s="24" t="s">
        <v>1122</v>
      </c>
      <c r="E228" s="24" t="s">
        <v>1123</v>
      </c>
      <c r="F228" s="24" t="s">
        <v>1124</v>
      </c>
      <c r="G228" s="24" t="s">
        <v>1125</v>
      </c>
      <c r="H228" s="24"/>
      <c r="I228" s="25">
        <v>3.6</v>
      </c>
      <c r="J228" s="24" t="s">
        <v>65</v>
      </c>
      <c r="K228" s="24" t="s">
        <v>1126</v>
      </c>
      <c r="L228" s="24" t="s">
        <v>67</v>
      </c>
      <c r="M228" s="24" t="s">
        <v>200</v>
      </c>
      <c r="N228" s="24" t="s">
        <v>200</v>
      </c>
      <c r="O228" s="25">
        <v>0.7</v>
      </c>
      <c r="P228" s="24"/>
      <c r="Q228" s="24"/>
      <c r="R228" s="24"/>
      <c r="S228" s="24">
        <v>0.5</v>
      </c>
      <c r="T228" s="24"/>
      <c r="U228" s="24"/>
      <c r="V228" s="24">
        <v>2.4</v>
      </c>
      <c r="XDO228"/>
      <c r="XDP228"/>
      <c r="XDQ228"/>
      <c r="XDR228"/>
      <c r="XDS228"/>
    </row>
    <row r="229" s="21" customFormat="1" spans="1:16347">
      <c r="A229" s="24" t="s">
        <v>58</v>
      </c>
      <c r="B229" s="25" t="s">
        <v>59</v>
      </c>
      <c r="C229" s="24" t="s">
        <v>60</v>
      </c>
      <c r="D229" s="24" t="s">
        <v>1127</v>
      </c>
      <c r="E229" s="24" t="s">
        <v>1128</v>
      </c>
      <c r="F229" s="24" t="s">
        <v>1129</v>
      </c>
      <c r="G229" s="24" t="s">
        <v>1130</v>
      </c>
      <c r="H229" s="24"/>
      <c r="I229" s="25">
        <v>3.6</v>
      </c>
      <c r="J229" s="24" t="s">
        <v>65</v>
      </c>
      <c r="K229" s="24" t="s">
        <v>1131</v>
      </c>
      <c r="L229" s="24" t="s">
        <v>67</v>
      </c>
      <c r="M229" s="24" t="s">
        <v>200</v>
      </c>
      <c r="N229" s="24" t="s">
        <v>200</v>
      </c>
      <c r="O229" s="25">
        <v>0.7</v>
      </c>
      <c r="P229" s="24"/>
      <c r="Q229" s="24"/>
      <c r="R229" s="24"/>
      <c r="S229" s="24">
        <v>0.5</v>
      </c>
      <c r="T229" s="24"/>
      <c r="U229" s="24"/>
      <c r="V229" s="24">
        <v>2.4</v>
      </c>
      <c r="XDO229"/>
      <c r="XDP229"/>
      <c r="XDQ229"/>
      <c r="XDR229"/>
      <c r="XDS229"/>
    </row>
    <row r="230" s="21" customFormat="1" spans="1:16347">
      <c r="A230" s="24" t="s">
        <v>58</v>
      </c>
      <c r="B230" s="25" t="s">
        <v>59</v>
      </c>
      <c r="C230" s="24" t="s">
        <v>60</v>
      </c>
      <c r="D230" s="24" t="s">
        <v>1132</v>
      </c>
      <c r="E230" s="24" t="s">
        <v>1133</v>
      </c>
      <c r="F230" s="24" t="s">
        <v>1134</v>
      </c>
      <c r="G230" s="24" t="s">
        <v>1125</v>
      </c>
      <c r="H230" s="24"/>
      <c r="I230" s="25">
        <v>3.6</v>
      </c>
      <c r="J230" s="24" t="s">
        <v>65</v>
      </c>
      <c r="K230" s="24" t="s">
        <v>1135</v>
      </c>
      <c r="L230" s="24" t="s">
        <v>67</v>
      </c>
      <c r="M230" s="24" t="s">
        <v>200</v>
      </c>
      <c r="N230" s="24" t="s">
        <v>200</v>
      </c>
      <c r="O230" s="25">
        <v>0.7</v>
      </c>
      <c r="P230" s="24"/>
      <c r="Q230" s="24"/>
      <c r="R230" s="24"/>
      <c r="S230" s="24">
        <v>0.5</v>
      </c>
      <c r="T230" s="24"/>
      <c r="U230" s="24"/>
      <c r="V230" s="24">
        <v>2.4</v>
      </c>
      <c r="XDO230"/>
      <c r="XDP230"/>
      <c r="XDQ230"/>
      <c r="XDR230"/>
      <c r="XDS230"/>
    </row>
    <row r="231" s="21" customFormat="1" spans="1:16347">
      <c r="A231" s="24" t="s">
        <v>58</v>
      </c>
      <c r="B231" s="25" t="s">
        <v>59</v>
      </c>
      <c r="C231" s="24" t="s">
        <v>60</v>
      </c>
      <c r="D231" s="24" t="s">
        <v>1136</v>
      </c>
      <c r="E231" s="24" t="s">
        <v>1137</v>
      </c>
      <c r="F231" s="24" t="s">
        <v>1138</v>
      </c>
      <c r="G231" s="24" t="s">
        <v>1139</v>
      </c>
      <c r="H231" s="24"/>
      <c r="I231" s="25">
        <v>2.5</v>
      </c>
      <c r="J231" s="24" t="s">
        <v>881</v>
      </c>
      <c r="K231" s="24" t="s">
        <v>1140</v>
      </c>
      <c r="L231" s="24" t="s">
        <v>67</v>
      </c>
      <c r="M231" s="24" t="s">
        <v>137</v>
      </c>
      <c r="N231" s="24" t="s">
        <v>137</v>
      </c>
      <c r="O231" s="25">
        <v>0.5</v>
      </c>
      <c r="P231" s="24"/>
      <c r="Q231" s="24"/>
      <c r="R231" s="24"/>
      <c r="S231" s="24">
        <v>0.2</v>
      </c>
      <c r="T231" s="24"/>
      <c r="U231" s="24"/>
      <c r="V231" s="24">
        <v>1.8</v>
      </c>
      <c r="XDO231"/>
      <c r="XDP231"/>
      <c r="XDQ231"/>
      <c r="XDR231"/>
      <c r="XDS231"/>
    </row>
    <row r="232" s="21" customFormat="1" spans="1:16347">
      <c r="A232" s="24" t="s">
        <v>58</v>
      </c>
      <c r="B232" s="25" t="s">
        <v>59</v>
      </c>
      <c r="C232" s="24" t="s">
        <v>60</v>
      </c>
      <c r="D232" s="24" t="s">
        <v>1141</v>
      </c>
      <c r="E232" s="24" t="s">
        <v>1142</v>
      </c>
      <c r="F232" s="24" t="s">
        <v>1143</v>
      </c>
      <c r="G232" s="24" t="s">
        <v>1139</v>
      </c>
      <c r="H232" s="24"/>
      <c r="I232" s="25">
        <v>3</v>
      </c>
      <c r="J232" s="24" t="s">
        <v>65</v>
      </c>
      <c r="K232" s="24" t="s">
        <v>1144</v>
      </c>
      <c r="L232" s="24" t="s">
        <v>67</v>
      </c>
      <c r="M232" s="24" t="s">
        <v>672</v>
      </c>
      <c r="N232" s="24" t="s">
        <v>672</v>
      </c>
      <c r="O232" s="25">
        <v>0.5</v>
      </c>
      <c r="P232" s="24"/>
      <c r="Q232" s="24"/>
      <c r="R232" s="24"/>
      <c r="S232" s="24">
        <v>0.2</v>
      </c>
      <c r="T232" s="24"/>
      <c r="U232" s="24"/>
      <c r="V232" s="24">
        <v>2.3</v>
      </c>
      <c r="XDO232"/>
      <c r="XDP232"/>
      <c r="XDQ232"/>
      <c r="XDR232"/>
      <c r="XDS232"/>
    </row>
    <row r="233" s="21" customFormat="1" spans="1:16347">
      <c r="A233" s="24" t="s">
        <v>58</v>
      </c>
      <c r="B233" s="25" t="s">
        <v>59</v>
      </c>
      <c r="C233" s="24" t="s">
        <v>60</v>
      </c>
      <c r="D233" s="24" t="s">
        <v>1145</v>
      </c>
      <c r="E233" s="24" t="s">
        <v>1146</v>
      </c>
      <c r="F233" s="24" t="s">
        <v>1147</v>
      </c>
      <c r="G233" s="24" t="s">
        <v>1130</v>
      </c>
      <c r="H233" s="24"/>
      <c r="I233" s="25">
        <v>3.6</v>
      </c>
      <c r="J233" s="24" t="s">
        <v>65</v>
      </c>
      <c r="K233" s="24" t="s">
        <v>1148</v>
      </c>
      <c r="L233" s="24" t="s">
        <v>67</v>
      </c>
      <c r="M233" s="24" t="s">
        <v>479</v>
      </c>
      <c r="N233" s="24" t="s">
        <v>479</v>
      </c>
      <c r="O233" s="25">
        <v>0.7</v>
      </c>
      <c r="P233" s="24"/>
      <c r="Q233" s="24"/>
      <c r="R233" s="24"/>
      <c r="S233" s="24">
        <v>0.5</v>
      </c>
      <c r="T233" s="24"/>
      <c r="U233" s="24"/>
      <c r="V233" s="24">
        <v>2.4</v>
      </c>
      <c r="XDO233"/>
      <c r="XDP233"/>
      <c r="XDQ233"/>
      <c r="XDR233"/>
      <c r="XDS233"/>
    </row>
    <row r="234" s="21" customFormat="1" spans="1:16347">
      <c r="A234" s="24" t="s">
        <v>58</v>
      </c>
      <c r="B234" s="25" t="s">
        <v>59</v>
      </c>
      <c r="C234" s="24" t="s">
        <v>60</v>
      </c>
      <c r="D234" s="24" t="s">
        <v>1149</v>
      </c>
      <c r="E234" s="24" t="s">
        <v>1150</v>
      </c>
      <c r="F234" s="24" t="s">
        <v>1151</v>
      </c>
      <c r="G234" s="24" t="s">
        <v>1130</v>
      </c>
      <c r="H234" s="24"/>
      <c r="I234" s="25">
        <v>3.6</v>
      </c>
      <c r="J234" s="24" t="s">
        <v>65</v>
      </c>
      <c r="K234" s="24" t="s">
        <v>1152</v>
      </c>
      <c r="L234" s="24" t="s">
        <v>67</v>
      </c>
      <c r="M234" s="24" t="s">
        <v>200</v>
      </c>
      <c r="N234" s="24" t="s">
        <v>200</v>
      </c>
      <c r="O234" s="25">
        <v>0.7</v>
      </c>
      <c r="P234" s="24"/>
      <c r="Q234" s="24"/>
      <c r="R234" s="24"/>
      <c r="S234" s="24">
        <v>0.5</v>
      </c>
      <c r="T234" s="24"/>
      <c r="U234" s="24"/>
      <c r="V234" s="24">
        <v>2.4</v>
      </c>
      <c r="XDO234"/>
      <c r="XDP234"/>
      <c r="XDQ234"/>
      <c r="XDR234"/>
      <c r="XDS234"/>
    </row>
    <row r="235" s="21" customFormat="1" spans="1:16347">
      <c r="A235" s="24" t="s">
        <v>58</v>
      </c>
      <c r="B235" s="25" t="s">
        <v>59</v>
      </c>
      <c r="C235" s="24" t="s">
        <v>60</v>
      </c>
      <c r="D235" s="24" t="s">
        <v>1153</v>
      </c>
      <c r="E235" s="24" t="s">
        <v>1154</v>
      </c>
      <c r="F235" s="24" t="s">
        <v>1155</v>
      </c>
      <c r="G235" s="24" t="s">
        <v>1139</v>
      </c>
      <c r="H235" s="24"/>
      <c r="I235" s="25">
        <v>3.6</v>
      </c>
      <c r="J235" s="24" t="s">
        <v>65</v>
      </c>
      <c r="K235" s="24" t="s">
        <v>1156</v>
      </c>
      <c r="L235" s="24" t="s">
        <v>67</v>
      </c>
      <c r="M235" s="24" t="s">
        <v>200</v>
      </c>
      <c r="N235" s="24" t="s">
        <v>200</v>
      </c>
      <c r="O235" s="25">
        <v>0.7</v>
      </c>
      <c r="P235" s="24"/>
      <c r="Q235" s="24"/>
      <c r="R235" s="24"/>
      <c r="S235" s="24">
        <v>0.5</v>
      </c>
      <c r="T235" s="24"/>
      <c r="U235" s="24"/>
      <c r="V235" s="24">
        <v>2.4</v>
      </c>
      <c r="XDO235"/>
      <c r="XDP235"/>
      <c r="XDQ235"/>
      <c r="XDR235"/>
      <c r="XDS235"/>
    </row>
    <row r="236" s="21" customFormat="1" spans="1:16347">
      <c r="A236" s="24" t="s">
        <v>58</v>
      </c>
      <c r="B236" s="25" t="s">
        <v>59</v>
      </c>
      <c r="C236" s="24" t="s">
        <v>60</v>
      </c>
      <c r="D236" s="24" t="s">
        <v>1157</v>
      </c>
      <c r="E236" s="24" t="s">
        <v>1158</v>
      </c>
      <c r="F236" s="24" t="s">
        <v>1159</v>
      </c>
      <c r="G236" s="24" t="s">
        <v>1160</v>
      </c>
      <c r="H236" s="24"/>
      <c r="I236" s="25">
        <v>3</v>
      </c>
      <c r="J236" s="24" t="s">
        <v>65</v>
      </c>
      <c r="K236" s="24" t="s">
        <v>1161</v>
      </c>
      <c r="L236" s="24" t="s">
        <v>67</v>
      </c>
      <c r="M236" s="24" t="s">
        <v>672</v>
      </c>
      <c r="N236" s="24" t="s">
        <v>672</v>
      </c>
      <c r="O236" s="25">
        <v>0.5</v>
      </c>
      <c r="P236" s="24"/>
      <c r="Q236" s="24"/>
      <c r="R236" s="24"/>
      <c r="S236" s="24">
        <v>0.2</v>
      </c>
      <c r="T236" s="24"/>
      <c r="U236" s="24"/>
      <c r="V236" s="24">
        <v>2.3</v>
      </c>
      <c r="XDO236"/>
      <c r="XDP236"/>
      <c r="XDQ236"/>
      <c r="XDR236"/>
      <c r="XDS236"/>
    </row>
    <row r="237" s="21" customFormat="1" spans="1:16347">
      <c r="A237" s="24" t="s">
        <v>58</v>
      </c>
      <c r="B237" s="25" t="s">
        <v>59</v>
      </c>
      <c r="C237" s="24" t="s">
        <v>60</v>
      </c>
      <c r="D237" s="24" t="s">
        <v>1162</v>
      </c>
      <c r="E237" s="24" t="s">
        <v>1163</v>
      </c>
      <c r="F237" s="24" t="s">
        <v>1164</v>
      </c>
      <c r="G237" s="24" t="s">
        <v>1160</v>
      </c>
      <c r="H237" s="24"/>
      <c r="I237" s="25">
        <v>4.8</v>
      </c>
      <c r="J237" s="24" t="s">
        <v>65</v>
      </c>
      <c r="K237" s="24" t="s">
        <v>1165</v>
      </c>
      <c r="L237" s="24" t="s">
        <v>67</v>
      </c>
      <c r="M237" s="24" t="s">
        <v>164</v>
      </c>
      <c r="N237" s="24" t="s">
        <v>164</v>
      </c>
      <c r="O237" s="25">
        <v>2</v>
      </c>
      <c r="P237" s="24"/>
      <c r="Q237" s="24"/>
      <c r="R237" s="24"/>
      <c r="S237" s="24"/>
      <c r="T237" s="24"/>
      <c r="U237" s="24"/>
      <c r="V237" s="24">
        <v>2.8</v>
      </c>
      <c r="XDO237"/>
      <c r="XDP237"/>
      <c r="XDQ237"/>
      <c r="XDR237"/>
      <c r="XDS237"/>
    </row>
    <row r="238" s="21" customFormat="1" spans="1:16347">
      <c r="A238" s="24" t="s">
        <v>58</v>
      </c>
      <c r="B238" s="25" t="s">
        <v>59</v>
      </c>
      <c r="C238" s="24" t="s">
        <v>60</v>
      </c>
      <c r="D238" s="24" t="s">
        <v>1166</v>
      </c>
      <c r="E238" s="24" t="s">
        <v>1167</v>
      </c>
      <c r="F238" s="24" t="s">
        <v>1168</v>
      </c>
      <c r="G238" s="24" t="s">
        <v>1160</v>
      </c>
      <c r="H238" s="24"/>
      <c r="I238" s="25">
        <v>2.65</v>
      </c>
      <c r="J238" s="24" t="s">
        <v>881</v>
      </c>
      <c r="K238" s="24" t="s">
        <v>1169</v>
      </c>
      <c r="L238" s="24" t="s">
        <v>67</v>
      </c>
      <c r="M238" s="24" t="s">
        <v>363</v>
      </c>
      <c r="N238" s="24" t="s">
        <v>363</v>
      </c>
      <c r="O238" s="25">
        <v>0.5</v>
      </c>
      <c r="P238" s="24"/>
      <c r="Q238" s="24"/>
      <c r="R238" s="24"/>
      <c r="S238" s="24">
        <v>0.2</v>
      </c>
      <c r="T238" s="24"/>
      <c r="U238" s="24"/>
      <c r="V238" s="24">
        <v>1.95</v>
      </c>
      <c r="XDO238"/>
      <c r="XDP238"/>
      <c r="XDQ238"/>
      <c r="XDR238"/>
      <c r="XDS238"/>
    </row>
    <row r="239" s="21" customFormat="1" spans="1:16347">
      <c r="A239" s="24" t="s">
        <v>58</v>
      </c>
      <c r="B239" s="25" t="s">
        <v>59</v>
      </c>
      <c r="C239" s="24" t="s">
        <v>60</v>
      </c>
      <c r="D239" s="24" t="s">
        <v>1170</v>
      </c>
      <c r="E239" s="24" t="s">
        <v>1171</v>
      </c>
      <c r="F239" s="24" t="s">
        <v>1172</v>
      </c>
      <c r="G239" s="24" t="s">
        <v>1173</v>
      </c>
      <c r="H239" s="24"/>
      <c r="I239" s="25">
        <v>3.6</v>
      </c>
      <c r="J239" s="24" t="s">
        <v>65</v>
      </c>
      <c r="K239" s="24" t="s">
        <v>1174</v>
      </c>
      <c r="L239" s="24" t="s">
        <v>67</v>
      </c>
      <c r="M239" s="24" t="s">
        <v>200</v>
      </c>
      <c r="N239" s="24" t="s">
        <v>200</v>
      </c>
      <c r="O239" s="25">
        <v>0.7</v>
      </c>
      <c r="P239" s="24"/>
      <c r="Q239" s="24"/>
      <c r="R239" s="24"/>
      <c r="S239" s="24">
        <v>0.5</v>
      </c>
      <c r="T239" s="24"/>
      <c r="U239" s="24"/>
      <c r="V239" s="24">
        <v>2.4</v>
      </c>
      <c r="XDO239"/>
      <c r="XDP239"/>
      <c r="XDQ239"/>
      <c r="XDR239"/>
      <c r="XDS239"/>
    </row>
    <row r="240" s="21" customFormat="1" spans="1:16347">
      <c r="A240" s="24" t="s">
        <v>58</v>
      </c>
      <c r="B240" s="25" t="s">
        <v>59</v>
      </c>
      <c r="C240" s="24" t="s">
        <v>60</v>
      </c>
      <c r="D240" s="24" t="s">
        <v>1175</v>
      </c>
      <c r="E240" s="24" t="s">
        <v>1176</v>
      </c>
      <c r="F240" s="24" t="s">
        <v>1177</v>
      </c>
      <c r="G240" s="24" t="s">
        <v>1173</v>
      </c>
      <c r="H240" s="24"/>
      <c r="I240" s="25">
        <v>3.6</v>
      </c>
      <c r="J240" s="24" t="s">
        <v>65</v>
      </c>
      <c r="K240" s="24" t="s">
        <v>1178</v>
      </c>
      <c r="L240" s="24" t="s">
        <v>67</v>
      </c>
      <c r="M240" s="24" t="s">
        <v>179</v>
      </c>
      <c r="N240" s="24" t="s">
        <v>179</v>
      </c>
      <c r="O240" s="25">
        <v>0.7</v>
      </c>
      <c r="P240" s="24"/>
      <c r="Q240" s="24"/>
      <c r="R240" s="24"/>
      <c r="S240" s="24">
        <v>0.5</v>
      </c>
      <c r="T240" s="24"/>
      <c r="U240" s="24"/>
      <c r="V240" s="24">
        <v>2.4</v>
      </c>
      <c r="XDO240"/>
      <c r="XDP240"/>
      <c r="XDQ240"/>
      <c r="XDR240"/>
      <c r="XDS240"/>
    </row>
    <row r="241" s="21" customFormat="1" spans="1:16347">
      <c r="A241" s="24" t="s">
        <v>58</v>
      </c>
      <c r="B241" s="25" t="s">
        <v>59</v>
      </c>
      <c r="C241" s="24" t="s">
        <v>60</v>
      </c>
      <c r="D241" s="24" t="s">
        <v>1179</v>
      </c>
      <c r="E241" s="24" t="s">
        <v>1180</v>
      </c>
      <c r="F241" s="24" t="s">
        <v>1181</v>
      </c>
      <c r="G241" s="24" t="s">
        <v>1182</v>
      </c>
      <c r="H241" s="24"/>
      <c r="I241" s="25">
        <v>3.1</v>
      </c>
      <c r="J241" s="24" t="s">
        <v>65</v>
      </c>
      <c r="K241" s="24" t="s">
        <v>1183</v>
      </c>
      <c r="L241" s="24" t="s">
        <v>67</v>
      </c>
      <c r="M241" s="24" t="s">
        <v>594</v>
      </c>
      <c r="N241" s="24" t="s">
        <v>594</v>
      </c>
      <c r="O241" s="25">
        <v>0.7</v>
      </c>
      <c r="P241" s="24"/>
      <c r="Q241" s="24"/>
      <c r="R241" s="24"/>
      <c r="S241" s="24"/>
      <c r="T241" s="24"/>
      <c r="U241" s="24"/>
      <c r="V241" s="24">
        <v>2.4</v>
      </c>
      <c r="XDO241"/>
      <c r="XDP241"/>
      <c r="XDQ241"/>
      <c r="XDR241"/>
      <c r="XDS241"/>
    </row>
    <row r="242" s="21" customFormat="1" spans="1:16347">
      <c r="A242" s="24" t="s">
        <v>58</v>
      </c>
      <c r="B242" s="25" t="s">
        <v>59</v>
      </c>
      <c r="C242" s="24" t="s">
        <v>60</v>
      </c>
      <c r="D242" s="24" t="s">
        <v>1184</v>
      </c>
      <c r="E242" s="24" t="s">
        <v>1185</v>
      </c>
      <c r="F242" s="24" t="s">
        <v>1186</v>
      </c>
      <c r="G242" s="24" t="s">
        <v>1187</v>
      </c>
      <c r="H242" s="24"/>
      <c r="I242" s="25">
        <v>3</v>
      </c>
      <c r="J242" s="24" t="s">
        <v>1188</v>
      </c>
      <c r="K242" s="24" t="s">
        <v>1189</v>
      </c>
      <c r="L242" s="24" t="s">
        <v>67</v>
      </c>
      <c r="M242" s="24" t="s">
        <v>209</v>
      </c>
      <c r="N242" s="24" t="s">
        <v>209</v>
      </c>
      <c r="O242" s="25">
        <v>0.5</v>
      </c>
      <c r="P242" s="24"/>
      <c r="Q242" s="24"/>
      <c r="R242" s="24"/>
      <c r="S242" s="24"/>
      <c r="T242" s="24"/>
      <c r="U242" s="24"/>
      <c r="V242" s="24">
        <v>2.5</v>
      </c>
      <c r="XDO242"/>
      <c r="XDP242"/>
      <c r="XDQ242"/>
      <c r="XDR242"/>
      <c r="XDS242"/>
    </row>
    <row r="243" s="21" customFormat="1" spans="1:16347">
      <c r="A243" s="24" t="s">
        <v>58</v>
      </c>
      <c r="B243" s="25" t="s">
        <v>59</v>
      </c>
      <c r="C243" s="24" t="s">
        <v>60</v>
      </c>
      <c r="D243" s="24" t="s">
        <v>1190</v>
      </c>
      <c r="E243" s="24" t="s">
        <v>1191</v>
      </c>
      <c r="F243" s="24" t="s">
        <v>1192</v>
      </c>
      <c r="G243" s="24" t="s">
        <v>1187</v>
      </c>
      <c r="H243" s="24"/>
      <c r="I243" s="25">
        <v>3.2</v>
      </c>
      <c r="J243" s="24" t="s">
        <v>1188</v>
      </c>
      <c r="K243" s="24" t="s">
        <v>1193</v>
      </c>
      <c r="L243" s="24" t="s">
        <v>67</v>
      </c>
      <c r="M243" s="24" t="s">
        <v>179</v>
      </c>
      <c r="N243" s="24" t="s">
        <v>179</v>
      </c>
      <c r="O243" s="25">
        <v>0.7</v>
      </c>
      <c r="P243" s="24"/>
      <c r="Q243" s="24"/>
      <c r="R243" s="24"/>
      <c r="S243" s="24"/>
      <c r="T243" s="24"/>
      <c r="U243" s="24"/>
      <c r="V243" s="24">
        <v>2.5</v>
      </c>
      <c r="XDO243"/>
      <c r="XDP243"/>
      <c r="XDQ243"/>
      <c r="XDR243"/>
      <c r="XDS243"/>
    </row>
    <row r="244" s="21" customFormat="1" spans="1:16347">
      <c r="A244" s="24" t="s">
        <v>58</v>
      </c>
      <c r="B244" s="25" t="s">
        <v>59</v>
      </c>
      <c r="C244" s="24" t="s">
        <v>60</v>
      </c>
      <c r="D244" s="24" t="s">
        <v>1194</v>
      </c>
      <c r="E244" s="24" t="s">
        <v>1195</v>
      </c>
      <c r="F244" s="24" t="s">
        <v>1196</v>
      </c>
      <c r="G244" s="24" t="s">
        <v>1197</v>
      </c>
      <c r="H244" s="24"/>
      <c r="I244" s="25">
        <v>2.8</v>
      </c>
      <c r="J244" s="24" t="s">
        <v>65</v>
      </c>
      <c r="K244" s="24" t="s">
        <v>1198</v>
      </c>
      <c r="L244" s="24" t="s">
        <v>67</v>
      </c>
      <c r="M244" s="24" t="s">
        <v>363</v>
      </c>
      <c r="N244" s="24" t="s">
        <v>363</v>
      </c>
      <c r="O244" s="25">
        <v>0.5</v>
      </c>
      <c r="P244" s="24"/>
      <c r="Q244" s="24"/>
      <c r="R244" s="24"/>
      <c r="S244" s="24"/>
      <c r="T244" s="24"/>
      <c r="U244" s="24"/>
      <c r="V244" s="24">
        <v>2.3</v>
      </c>
      <c r="XDO244"/>
      <c r="XDP244"/>
      <c r="XDQ244"/>
      <c r="XDR244"/>
      <c r="XDS244"/>
    </row>
    <row r="245" s="21" customFormat="1" spans="1:16347">
      <c r="A245" s="24" t="s">
        <v>58</v>
      </c>
      <c r="B245" s="25" t="s">
        <v>59</v>
      </c>
      <c r="C245" s="24" t="s">
        <v>60</v>
      </c>
      <c r="D245" s="24" t="s">
        <v>1199</v>
      </c>
      <c r="E245" s="24" t="s">
        <v>1200</v>
      </c>
      <c r="F245" s="24" t="s">
        <v>1201</v>
      </c>
      <c r="G245" s="24" t="s">
        <v>1187</v>
      </c>
      <c r="H245" s="24"/>
      <c r="I245" s="25">
        <v>3</v>
      </c>
      <c r="J245" s="24" t="s">
        <v>65</v>
      </c>
      <c r="K245" s="24" t="s">
        <v>1202</v>
      </c>
      <c r="L245" s="24" t="s">
        <v>67</v>
      </c>
      <c r="M245" s="24" t="s">
        <v>79</v>
      </c>
      <c r="N245" s="24" t="s">
        <v>79</v>
      </c>
      <c r="O245" s="25">
        <v>0.7</v>
      </c>
      <c r="P245" s="24"/>
      <c r="Q245" s="24"/>
      <c r="R245" s="24"/>
      <c r="S245" s="24"/>
      <c r="T245" s="24"/>
      <c r="U245" s="24"/>
      <c r="V245" s="24">
        <v>2.3</v>
      </c>
      <c r="XDO245"/>
      <c r="XDP245"/>
      <c r="XDQ245"/>
      <c r="XDR245"/>
      <c r="XDS245"/>
    </row>
    <row r="246" s="21" customFormat="1" spans="1:16347">
      <c r="A246" s="24" t="s">
        <v>58</v>
      </c>
      <c r="B246" s="25" t="s">
        <v>59</v>
      </c>
      <c r="C246" s="24" t="s">
        <v>60</v>
      </c>
      <c r="D246" s="24" t="s">
        <v>1203</v>
      </c>
      <c r="E246" s="24" t="s">
        <v>1204</v>
      </c>
      <c r="F246" s="24" t="s">
        <v>1205</v>
      </c>
      <c r="G246" s="24" t="s">
        <v>1197</v>
      </c>
      <c r="H246" s="24"/>
      <c r="I246" s="25">
        <v>3.3</v>
      </c>
      <c r="J246" s="24" t="s">
        <v>65</v>
      </c>
      <c r="K246" s="24" t="s">
        <v>1206</v>
      </c>
      <c r="L246" s="24" t="s">
        <v>67</v>
      </c>
      <c r="M246" s="24" t="s">
        <v>79</v>
      </c>
      <c r="N246" s="24" t="s">
        <v>79</v>
      </c>
      <c r="O246" s="25">
        <v>0.7</v>
      </c>
      <c r="P246" s="24"/>
      <c r="Q246" s="24"/>
      <c r="R246" s="24"/>
      <c r="S246" s="24">
        <v>0.3</v>
      </c>
      <c r="T246" s="24"/>
      <c r="U246" s="24"/>
      <c r="V246" s="24">
        <v>2.3</v>
      </c>
      <c r="XDO246"/>
      <c r="XDP246"/>
      <c r="XDQ246"/>
      <c r="XDR246"/>
      <c r="XDS246"/>
    </row>
    <row r="247" s="21" customFormat="1" spans="1:16347">
      <c r="A247" s="24" t="s">
        <v>58</v>
      </c>
      <c r="B247" s="25" t="s">
        <v>59</v>
      </c>
      <c r="C247" s="24" t="s">
        <v>60</v>
      </c>
      <c r="D247" s="24" t="s">
        <v>1207</v>
      </c>
      <c r="E247" s="24" t="s">
        <v>1208</v>
      </c>
      <c r="F247" s="24" t="s">
        <v>1209</v>
      </c>
      <c r="G247" s="24" t="s">
        <v>1210</v>
      </c>
      <c r="H247" s="24"/>
      <c r="I247" s="25">
        <v>3.3</v>
      </c>
      <c r="J247" s="24" t="s">
        <v>65</v>
      </c>
      <c r="K247" s="24" t="s">
        <v>1211</v>
      </c>
      <c r="L247" s="24" t="s">
        <v>67</v>
      </c>
      <c r="M247" s="24" t="s">
        <v>79</v>
      </c>
      <c r="N247" s="24" t="s">
        <v>79</v>
      </c>
      <c r="O247" s="25">
        <v>0.7</v>
      </c>
      <c r="P247" s="24"/>
      <c r="Q247" s="24"/>
      <c r="R247" s="24"/>
      <c r="S247" s="24">
        <v>0.3</v>
      </c>
      <c r="T247" s="24"/>
      <c r="U247" s="24"/>
      <c r="V247" s="24">
        <v>2.3</v>
      </c>
      <c r="XDO247"/>
      <c r="XDP247"/>
      <c r="XDQ247"/>
      <c r="XDR247"/>
      <c r="XDS247"/>
    </row>
    <row r="248" s="21" customFormat="1" spans="1:16347">
      <c r="A248" s="24" t="s">
        <v>58</v>
      </c>
      <c r="B248" s="25" t="s">
        <v>59</v>
      </c>
      <c r="C248" s="24" t="s">
        <v>60</v>
      </c>
      <c r="D248" s="24" t="s">
        <v>1212</v>
      </c>
      <c r="E248" s="24" t="s">
        <v>1213</v>
      </c>
      <c r="F248" s="24" t="s">
        <v>1214</v>
      </c>
      <c r="G248" s="24" t="s">
        <v>1215</v>
      </c>
      <c r="H248" s="24"/>
      <c r="I248" s="25">
        <v>3.6</v>
      </c>
      <c r="J248" s="24" t="s">
        <v>65</v>
      </c>
      <c r="K248" s="24" t="s">
        <v>1216</v>
      </c>
      <c r="L248" s="24" t="s">
        <v>615</v>
      </c>
      <c r="M248" s="24" t="s">
        <v>200</v>
      </c>
      <c r="N248" s="24" t="s">
        <v>200</v>
      </c>
      <c r="O248" s="25">
        <v>0.7</v>
      </c>
      <c r="P248" s="24"/>
      <c r="Q248" s="24"/>
      <c r="R248" s="24"/>
      <c r="S248" s="24">
        <v>0.5</v>
      </c>
      <c r="T248" s="24"/>
      <c r="U248" s="24"/>
      <c r="V248" s="24">
        <v>2.4</v>
      </c>
      <c r="XDO248"/>
      <c r="XDP248"/>
      <c r="XDQ248"/>
      <c r="XDR248"/>
      <c r="XDS248"/>
    </row>
    <row r="249" s="21" customFormat="1" spans="1:16347">
      <c r="A249" s="24" t="s">
        <v>58</v>
      </c>
      <c r="B249" s="25" t="s">
        <v>59</v>
      </c>
      <c r="C249" s="24" t="s">
        <v>60</v>
      </c>
      <c r="D249" s="24" t="s">
        <v>1217</v>
      </c>
      <c r="E249" s="24" t="s">
        <v>1218</v>
      </c>
      <c r="F249" s="24" t="s">
        <v>1219</v>
      </c>
      <c r="G249" s="24" t="s">
        <v>1215</v>
      </c>
      <c r="H249" s="24"/>
      <c r="I249" s="25">
        <v>3.3</v>
      </c>
      <c r="J249" s="24" t="s">
        <v>65</v>
      </c>
      <c r="K249" s="24" t="s">
        <v>1220</v>
      </c>
      <c r="L249" s="24" t="s">
        <v>67</v>
      </c>
      <c r="M249" s="24" t="s">
        <v>79</v>
      </c>
      <c r="N249" s="24" t="s">
        <v>79</v>
      </c>
      <c r="O249" s="25">
        <v>0.7</v>
      </c>
      <c r="P249" s="24"/>
      <c r="Q249" s="24"/>
      <c r="R249" s="24"/>
      <c r="S249" s="24">
        <v>0.3</v>
      </c>
      <c r="T249" s="24"/>
      <c r="U249" s="24"/>
      <c r="V249" s="24">
        <v>2.3</v>
      </c>
      <c r="XDO249"/>
      <c r="XDP249"/>
      <c r="XDQ249"/>
      <c r="XDR249"/>
      <c r="XDS249"/>
    </row>
    <row r="250" s="21" customFormat="1" spans="1:16347">
      <c r="A250" s="24" t="s">
        <v>58</v>
      </c>
      <c r="B250" s="25" t="s">
        <v>59</v>
      </c>
      <c r="C250" s="24" t="s">
        <v>60</v>
      </c>
      <c r="D250" s="24" t="s">
        <v>1221</v>
      </c>
      <c r="E250" s="24" t="s">
        <v>1222</v>
      </c>
      <c r="F250" s="24" t="s">
        <v>1223</v>
      </c>
      <c r="G250" s="24" t="s">
        <v>1215</v>
      </c>
      <c r="H250" s="24"/>
      <c r="I250" s="25">
        <v>3.6</v>
      </c>
      <c r="J250" s="24" t="s">
        <v>65</v>
      </c>
      <c r="K250" s="24" t="s">
        <v>1224</v>
      </c>
      <c r="L250" s="24" t="s">
        <v>67</v>
      </c>
      <c r="M250" s="24" t="s">
        <v>179</v>
      </c>
      <c r="N250" s="24" t="s">
        <v>179</v>
      </c>
      <c r="O250" s="25">
        <v>0.7</v>
      </c>
      <c r="P250" s="24"/>
      <c r="Q250" s="24"/>
      <c r="R250" s="24"/>
      <c r="S250" s="24">
        <v>0.5</v>
      </c>
      <c r="T250" s="24"/>
      <c r="U250" s="24"/>
      <c r="V250" s="24">
        <v>2.4</v>
      </c>
      <c r="XDO250"/>
      <c r="XDP250"/>
      <c r="XDQ250"/>
      <c r="XDR250"/>
      <c r="XDS250"/>
    </row>
    <row r="251" s="21" customFormat="1" spans="1:16347">
      <c r="A251" s="24" t="s">
        <v>58</v>
      </c>
      <c r="B251" s="25" t="s">
        <v>59</v>
      </c>
      <c r="C251" s="24" t="s">
        <v>60</v>
      </c>
      <c r="D251" s="24" t="s">
        <v>1225</v>
      </c>
      <c r="E251" s="24" t="s">
        <v>1226</v>
      </c>
      <c r="F251" s="24" t="s">
        <v>1227</v>
      </c>
      <c r="G251" s="24" t="s">
        <v>1228</v>
      </c>
      <c r="H251" s="24"/>
      <c r="I251" s="25">
        <v>3.6</v>
      </c>
      <c r="J251" s="24" t="s">
        <v>65</v>
      </c>
      <c r="K251" s="24" t="s">
        <v>1229</v>
      </c>
      <c r="L251" s="24" t="s">
        <v>67</v>
      </c>
      <c r="M251" s="24" t="s">
        <v>200</v>
      </c>
      <c r="N251" s="24" t="s">
        <v>200</v>
      </c>
      <c r="O251" s="25">
        <v>0.7</v>
      </c>
      <c r="P251" s="24"/>
      <c r="Q251" s="24"/>
      <c r="R251" s="24"/>
      <c r="S251" s="24">
        <v>0.5</v>
      </c>
      <c r="T251" s="24"/>
      <c r="U251" s="24"/>
      <c r="V251" s="24">
        <v>2.4</v>
      </c>
      <c r="XDO251"/>
      <c r="XDP251"/>
      <c r="XDQ251"/>
      <c r="XDR251"/>
      <c r="XDS251"/>
    </row>
    <row r="252" s="21" customFormat="1" spans="1:16347">
      <c r="A252" s="24" t="s">
        <v>58</v>
      </c>
      <c r="B252" s="25" t="s">
        <v>59</v>
      </c>
      <c r="C252" s="24" t="s">
        <v>60</v>
      </c>
      <c r="D252" s="24" t="s">
        <v>1230</v>
      </c>
      <c r="E252" s="24" t="s">
        <v>1231</v>
      </c>
      <c r="F252" s="24" t="s">
        <v>1232</v>
      </c>
      <c r="G252" s="24" t="s">
        <v>1228</v>
      </c>
      <c r="H252" s="24"/>
      <c r="I252" s="25">
        <v>3.6</v>
      </c>
      <c r="J252" s="24" t="s">
        <v>65</v>
      </c>
      <c r="K252" s="24" t="s">
        <v>1233</v>
      </c>
      <c r="L252" s="24" t="s">
        <v>67</v>
      </c>
      <c r="M252" s="24" t="s">
        <v>200</v>
      </c>
      <c r="N252" s="24" t="s">
        <v>200</v>
      </c>
      <c r="O252" s="25">
        <v>0.7</v>
      </c>
      <c r="P252" s="24"/>
      <c r="Q252" s="24"/>
      <c r="R252" s="24"/>
      <c r="S252" s="24">
        <v>0.5</v>
      </c>
      <c r="T252" s="24"/>
      <c r="U252" s="24"/>
      <c r="V252" s="24">
        <v>2.4</v>
      </c>
      <c r="XDO252"/>
      <c r="XDP252"/>
      <c r="XDQ252"/>
      <c r="XDR252"/>
      <c r="XDS252"/>
    </row>
    <row r="253" s="21" customFormat="1" spans="1:16347">
      <c r="A253" s="24" t="s">
        <v>58</v>
      </c>
      <c r="B253" s="25" t="s">
        <v>59</v>
      </c>
      <c r="C253" s="24" t="s">
        <v>60</v>
      </c>
      <c r="D253" s="24" t="s">
        <v>1234</v>
      </c>
      <c r="E253" s="24" t="s">
        <v>1235</v>
      </c>
      <c r="F253" s="24" t="s">
        <v>1236</v>
      </c>
      <c r="G253" s="24" t="s">
        <v>1228</v>
      </c>
      <c r="H253" s="24"/>
      <c r="I253" s="25">
        <v>3.6</v>
      </c>
      <c r="J253" s="24" t="s">
        <v>65</v>
      </c>
      <c r="K253" s="24" t="s">
        <v>1237</v>
      </c>
      <c r="L253" s="24" t="s">
        <v>67</v>
      </c>
      <c r="M253" s="24" t="s">
        <v>200</v>
      </c>
      <c r="N253" s="24" t="s">
        <v>200</v>
      </c>
      <c r="O253" s="25">
        <v>0.7</v>
      </c>
      <c r="P253" s="24"/>
      <c r="Q253" s="24"/>
      <c r="R253" s="24"/>
      <c r="S253" s="24">
        <v>0.5</v>
      </c>
      <c r="T253" s="24"/>
      <c r="U253" s="24"/>
      <c r="V253" s="24">
        <v>2.4</v>
      </c>
      <c r="XDO253"/>
      <c r="XDP253"/>
      <c r="XDQ253"/>
      <c r="XDR253"/>
      <c r="XDS253"/>
    </row>
    <row r="254" s="21" customFormat="1" spans="1:16347">
      <c r="A254" s="24" t="s">
        <v>58</v>
      </c>
      <c r="B254" s="25" t="s">
        <v>59</v>
      </c>
      <c r="C254" s="24" t="s">
        <v>60</v>
      </c>
      <c r="D254" s="24" t="s">
        <v>1238</v>
      </c>
      <c r="E254" s="24" t="s">
        <v>1239</v>
      </c>
      <c r="F254" s="24" t="s">
        <v>1240</v>
      </c>
      <c r="G254" s="24" t="s">
        <v>1228</v>
      </c>
      <c r="H254" s="24"/>
      <c r="I254" s="25">
        <v>3.6</v>
      </c>
      <c r="J254" s="24" t="s">
        <v>65</v>
      </c>
      <c r="K254" s="24" t="s">
        <v>1241</v>
      </c>
      <c r="L254" s="24" t="s">
        <v>67</v>
      </c>
      <c r="M254" s="24" t="s">
        <v>179</v>
      </c>
      <c r="N254" s="24" t="s">
        <v>179</v>
      </c>
      <c r="O254" s="25">
        <v>0.7</v>
      </c>
      <c r="P254" s="24"/>
      <c r="Q254" s="24"/>
      <c r="R254" s="24"/>
      <c r="S254" s="24">
        <v>0.5</v>
      </c>
      <c r="T254" s="24"/>
      <c r="U254" s="24"/>
      <c r="V254" s="24">
        <v>2.4</v>
      </c>
      <c r="XDO254"/>
      <c r="XDP254"/>
      <c r="XDQ254"/>
      <c r="XDR254"/>
      <c r="XDS254"/>
    </row>
    <row r="255" s="21" customFormat="1" spans="1:16347">
      <c r="A255" s="24" t="s">
        <v>58</v>
      </c>
      <c r="B255" s="25" t="s">
        <v>59</v>
      </c>
      <c r="C255" s="24" t="s">
        <v>60</v>
      </c>
      <c r="D255" s="24" t="s">
        <v>1242</v>
      </c>
      <c r="E255" s="24" t="s">
        <v>1243</v>
      </c>
      <c r="F255" s="24" t="s">
        <v>1244</v>
      </c>
      <c r="G255" s="24" t="s">
        <v>1228</v>
      </c>
      <c r="H255" s="24"/>
      <c r="I255" s="25">
        <v>2.45</v>
      </c>
      <c r="J255" s="24" t="s">
        <v>881</v>
      </c>
      <c r="K255" s="24" t="s">
        <v>1245</v>
      </c>
      <c r="L255" s="24" t="s">
        <v>67</v>
      </c>
      <c r="M255" s="24" t="s">
        <v>1246</v>
      </c>
      <c r="N255" s="24" t="s">
        <v>1246</v>
      </c>
      <c r="O255" s="25">
        <v>0.5</v>
      </c>
      <c r="P255" s="24"/>
      <c r="Q255" s="24"/>
      <c r="R255" s="24"/>
      <c r="S255" s="24"/>
      <c r="T255" s="24"/>
      <c r="U255" s="24"/>
      <c r="V255" s="24">
        <v>1.95</v>
      </c>
      <c r="XDO255"/>
      <c r="XDP255"/>
      <c r="XDQ255"/>
      <c r="XDR255"/>
      <c r="XDS255"/>
    </row>
    <row r="256" s="21" customFormat="1" spans="1:16347">
      <c r="A256" s="24" t="s">
        <v>58</v>
      </c>
      <c r="B256" s="25" t="s">
        <v>59</v>
      </c>
      <c r="C256" s="24" t="s">
        <v>60</v>
      </c>
      <c r="D256" s="24" t="s">
        <v>1247</v>
      </c>
      <c r="E256" s="24" t="s">
        <v>1248</v>
      </c>
      <c r="F256" s="24" t="s">
        <v>1249</v>
      </c>
      <c r="G256" s="24" t="s">
        <v>1250</v>
      </c>
      <c r="H256" s="24"/>
      <c r="I256" s="25">
        <v>3.1</v>
      </c>
      <c r="J256" s="24" t="s">
        <v>65</v>
      </c>
      <c r="K256" s="24" t="s">
        <v>1251</v>
      </c>
      <c r="L256" s="24" t="s">
        <v>67</v>
      </c>
      <c r="M256" s="24" t="s">
        <v>594</v>
      </c>
      <c r="N256" s="24" t="s">
        <v>594</v>
      </c>
      <c r="O256" s="25">
        <v>0.7</v>
      </c>
      <c r="P256" s="24"/>
      <c r="Q256" s="24"/>
      <c r="R256" s="24"/>
      <c r="S256" s="24"/>
      <c r="T256" s="24"/>
      <c r="U256" s="24"/>
      <c r="V256" s="24">
        <v>2.4</v>
      </c>
      <c r="XDO256"/>
      <c r="XDP256"/>
      <c r="XDQ256"/>
      <c r="XDR256"/>
      <c r="XDS256"/>
    </row>
    <row r="257" s="21" customFormat="1" spans="1:16347">
      <c r="A257" s="24" t="s">
        <v>58</v>
      </c>
      <c r="B257" s="25" t="s">
        <v>59</v>
      </c>
      <c r="C257" s="24" t="s">
        <v>60</v>
      </c>
      <c r="D257" s="24" t="s">
        <v>1252</v>
      </c>
      <c r="E257" s="24" t="s">
        <v>1253</v>
      </c>
      <c r="F257" s="24" t="s">
        <v>1254</v>
      </c>
      <c r="G257" s="24" t="s">
        <v>1255</v>
      </c>
      <c r="H257" s="24"/>
      <c r="I257" s="25">
        <v>4.8</v>
      </c>
      <c r="J257" s="24" t="s">
        <v>65</v>
      </c>
      <c r="K257" s="24" t="s">
        <v>1256</v>
      </c>
      <c r="L257" s="24" t="s">
        <v>67</v>
      </c>
      <c r="M257" s="24" t="s">
        <v>164</v>
      </c>
      <c r="N257" s="24" t="s">
        <v>164</v>
      </c>
      <c r="O257" s="25">
        <v>2</v>
      </c>
      <c r="P257" s="24"/>
      <c r="Q257" s="24"/>
      <c r="R257" s="24"/>
      <c r="S257" s="24"/>
      <c r="T257" s="24"/>
      <c r="U257" s="24"/>
      <c r="V257" s="24">
        <v>2.8</v>
      </c>
      <c r="XDO257"/>
      <c r="XDP257"/>
      <c r="XDQ257"/>
      <c r="XDR257"/>
      <c r="XDS257"/>
    </row>
    <row r="258" s="21" customFormat="1" spans="1:16347">
      <c r="A258" s="24" t="s">
        <v>58</v>
      </c>
      <c r="B258" s="25" t="s">
        <v>59</v>
      </c>
      <c r="C258" s="24" t="s">
        <v>60</v>
      </c>
      <c r="D258" s="24" t="s">
        <v>1257</v>
      </c>
      <c r="E258" s="24" t="s">
        <v>1258</v>
      </c>
      <c r="F258" s="24" t="s">
        <v>1259</v>
      </c>
      <c r="G258" s="24" t="s">
        <v>1255</v>
      </c>
      <c r="H258" s="24"/>
      <c r="I258" s="25">
        <v>3</v>
      </c>
      <c r="J258" s="24" t="s">
        <v>65</v>
      </c>
      <c r="K258" s="24" t="s">
        <v>1260</v>
      </c>
      <c r="L258" s="24" t="s">
        <v>67</v>
      </c>
      <c r="M258" s="24" t="s">
        <v>1261</v>
      </c>
      <c r="N258" s="24" t="s">
        <v>1261</v>
      </c>
      <c r="O258" s="25">
        <v>0.7</v>
      </c>
      <c r="P258" s="24"/>
      <c r="Q258" s="24"/>
      <c r="R258" s="24"/>
      <c r="S258" s="24"/>
      <c r="T258" s="24"/>
      <c r="U258" s="24"/>
      <c r="V258" s="24">
        <v>2.3</v>
      </c>
      <c r="XDO258"/>
      <c r="XDP258"/>
      <c r="XDQ258"/>
      <c r="XDR258"/>
      <c r="XDS258"/>
    </row>
    <row r="259" s="21" customFormat="1" spans="1:16347">
      <c r="A259" s="24" t="s">
        <v>58</v>
      </c>
      <c r="B259" s="25" t="s">
        <v>59</v>
      </c>
      <c r="C259" s="24" t="s">
        <v>60</v>
      </c>
      <c r="D259" s="24" t="s">
        <v>1262</v>
      </c>
      <c r="E259" s="24" t="s">
        <v>1263</v>
      </c>
      <c r="F259" s="24" t="s">
        <v>1264</v>
      </c>
      <c r="G259" s="24" t="s">
        <v>1255</v>
      </c>
      <c r="H259" s="24"/>
      <c r="I259" s="25">
        <v>3</v>
      </c>
      <c r="J259" s="24" t="s">
        <v>65</v>
      </c>
      <c r="K259" s="24" t="s">
        <v>1265</v>
      </c>
      <c r="L259" s="24" t="s">
        <v>67</v>
      </c>
      <c r="M259" s="24" t="s">
        <v>672</v>
      </c>
      <c r="N259" s="24" t="s">
        <v>672</v>
      </c>
      <c r="O259" s="25">
        <v>0.5</v>
      </c>
      <c r="P259" s="24"/>
      <c r="Q259" s="24"/>
      <c r="R259" s="24"/>
      <c r="S259" s="24">
        <v>0.2</v>
      </c>
      <c r="T259" s="24"/>
      <c r="U259" s="24"/>
      <c r="V259" s="24">
        <v>2.3</v>
      </c>
      <c r="XDO259"/>
      <c r="XDP259"/>
      <c r="XDQ259"/>
      <c r="XDR259"/>
      <c r="XDS259"/>
    </row>
    <row r="260" s="21" customFormat="1" spans="1:16347">
      <c r="A260" s="24" t="s">
        <v>58</v>
      </c>
      <c r="B260" s="25" t="s">
        <v>59</v>
      </c>
      <c r="C260" s="24" t="s">
        <v>60</v>
      </c>
      <c r="D260" s="24" t="s">
        <v>1266</v>
      </c>
      <c r="E260" s="24" t="s">
        <v>1267</v>
      </c>
      <c r="F260" s="24" t="s">
        <v>1268</v>
      </c>
      <c r="G260" s="24" t="s">
        <v>1255</v>
      </c>
      <c r="H260" s="24"/>
      <c r="I260" s="25">
        <v>3.1</v>
      </c>
      <c r="J260" s="24" t="s">
        <v>65</v>
      </c>
      <c r="K260" s="24" t="s">
        <v>1269</v>
      </c>
      <c r="L260" s="24" t="s">
        <v>67</v>
      </c>
      <c r="M260" s="24" t="s">
        <v>594</v>
      </c>
      <c r="N260" s="24" t="s">
        <v>594</v>
      </c>
      <c r="O260" s="25">
        <v>0.7</v>
      </c>
      <c r="P260" s="24"/>
      <c r="Q260" s="24"/>
      <c r="R260" s="24"/>
      <c r="S260" s="24"/>
      <c r="T260" s="24"/>
      <c r="U260" s="24"/>
      <c r="V260" s="24">
        <v>2.4</v>
      </c>
      <c r="XDO260"/>
      <c r="XDP260"/>
      <c r="XDQ260"/>
      <c r="XDR260"/>
      <c r="XDS260"/>
    </row>
    <row r="261" s="21" customFormat="1" spans="1:16347">
      <c r="A261" s="24" t="s">
        <v>58</v>
      </c>
      <c r="B261" s="25" t="s">
        <v>59</v>
      </c>
      <c r="C261" s="24" t="s">
        <v>60</v>
      </c>
      <c r="D261" s="24" t="s">
        <v>1270</v>
      </c>
      <c r="E261" s="24" t="s">
        <v>1271</v>
      </c>
      <c r="F261" s="24" t="s">
        <v>1272</v>
      </c>
      <c r="G261" s="24" t="s">
        <v>1273</v>
      </c>
      <c r="H261" s="24"/>
      <c r="I261" s="25">
        <v>3.6</v>
      </c>
      <c r="J261" s="24" t="s">
        <v>65</v>
      </c>
      <c r="K261" s="24" t="s">
        <v>1274</v>
      </c>
      <c r="L261" s="24" t="s">
        <v>67</v>
      </c>
      <c r="M261" s="24" t="s">
        <v>479</v>
      </c>
      <c r="N261" s="24" t="s">
        <v>479</v>
      </c>
      <c r="O261" s="25">
        <v>0.7</v>
      </c>
      <c r="P261" s="24"/>
      <c r="Q261" s="24"/>
      <c r="R261" s="24"/>
      <c r="S261" s="24">
        <v>0.5</v>
      </c>
      <c r="T261" s="24"/>
      <c r="U261" s="24"/>
      <c r="V261" s="24">
        <v>2.4</v>
      </c>
      <c r="XDO261"/>
      <c r="XDP261"/>
      <c r="XDQ261"/>
      <c r="XDR261"/>
      <c r="XDS261"/>
    </row>
    <row r="262" s="21" customFormat="1" spans="1:16347">
      <c r="A262" s="24" t="s">
        <v>58</v>
      </c>
      <c r="B262" s="25" t="s">
        <v>59</v>
      </c>
      <c r="C262" s="24" t="s">
        <v>60</v>
      </c>
      <c r="D262" s="24" t="s">
        <v>1275</v>
      </c>
      <c r="E262" s="24" t="s">
        <v>1276</v>
      </c>
      <c r="F262" s="24" t="s">
        <v>1277</v>
      </c>
      <c r="G262" s="24" t="s">
        <v>1278</v>
      </c>
      <c r="H262" s="24"/>
      <c r="I262" s="25">
        <v>3.6</v>
      </c>
      <c r="J262" s="24" t="s">
        <v>65</v>
      </c>
      <c r="K262" s="24" t="s">
        <v>1279</v>
      </c>
      <c r="L262" s="24" t="s">
        <v>67</v>
      </c>
      <c r="M262" s="24" t="s">
        <v>876</v>
      </c>
      <c r="N262" s="24" t="s">
        <v>876</v>
      </c>
      <c r="O262" s="25">
        <v>1</v>
      </c>
      <c r="P262" s="24"/>
      <c r="Q262" s="24"/>
      <c r="R262" s="24"/>
      <c r="S262" s="24"/>
      <c r="T262" s="24"/>
      <c r="U262" s="24"/>
      <c r="V262" s="24">
        <v>2.6</v>
      </c>
      <c r="XDO262"/>
      <c r="XDP262"/>
      <c r="XDQ262"/>
      <c r="XDR262"/>
      <c r="XDS262"/>
    </row>
    <row r="263" s="21" customFormat="1" spans="1:16347">
      <c r="A263" s="24" t="s">
        <v>58</v>
      </c>
      <c r="B263" s="25" t="s">
        <v>59</v>
      </c>
      <c r="C263" s="24" t="s">
        <v>60</v>
      </c>
      <c r="D263" s="24" t="s">
        <v>1280</v>
      </c>
      <c r="E263" s="24" t="s">
        <v>1281</v>
      </c>
      <c r="F263" s="24" t="s">
        <v>1282</v>
      </c>
      <c r="G263" s="24" t="s">
        <v>1283</v>
      </c>
      <c r="H263" s="24"/>
      <c r="I263" s="25">
        <v>3</v>
      </c>
      <c r="J263" s="24" t="s">
        <v>65</v>
      </c>
      <c r="K263" s="24" t="s">
        <v>1284</v>
      </c>
      <c r="L263" s="24" t="s">
        <v>67</v>
      </c>
      <c r="M263" s="24" t="s">
        <v>672</v>
      </c>
      <c r="N263" s="24" t="s">
        <v>672</v>
      </c>
      <c r="O263" s="25">
        <v>0.5</v>
      </c>
      <c r="P263" s="24"/>
      <c r="Q263" s="24"/>
      <c r="R263" s="24"/>
      <c r="S263" s="24">
        <v>0.2</v>
      </c>
      <c r="T263" s="24"/>
      <c r="U263" s="24"/>
      <c r="V263" s="24">
        <v>2.3</v>
      </c>
      <c r="XDO263"/>
      <c r="XDP263"/>
      <c r="XDQ263"/>
      <c r="XDR263"/>
      <c r="XDS263"/>
    </row>
    <row r="264" s="21" customFormat="1" spans="1:16347">
      <c r="A264" s="24" t="s">
        <v>58</v>
      </c>
      <c r="B264" s="25" t="s">
        <v>59</v>
      </c>
      <c r="C264" s="24" t="s">
        <v>60</v>
      </c>
      <c r="D264" s="24" t="s">
        <v>1285</v>
      </c>
      <c r="E264" s="24" t="s">
        <v>1286</v>
      </c>
      <c r="F264" s="24" t="s">
        <v>1287</v>
      </c>
      <c r="G264" s="24" t="s">
        <v>1288</v>
      </c>
      <c r="H264" s="24"/>
      <c r="I264" s="25">
        <v>3.1</v>
      </c>
      <c r="J264" s="24" t="s">
        <v>65</v>
      </c>
      <c r="K264" s="24" t="s">
        <v>1289</v>
      </c>
      <c r="L264" s="24" t="s">
        <v>67</v>
      </c>
      <c r="M264" s="24" t="s">
        <v>661</v>
      </c>
      <c r="N264" s="24" t="s">
        <v>661</v>
      </c>
      <c r="O264" s="25">
        <v>0.7</v>
      </c>
      <c r="P264" s="24"/>
      <c r="Q264" s="24"/>
      <c r="R264" s="24"/>
      <c r="S264" s="24"/>
      <c r="T264" s="24"/>
      <c r="U264" s="24"/>
      <c r="V264" s="24">
        <v>2.4</v>
      </c>
      <c r="XDO264"/>
      <c r="XDP264"/>
      <c r="XDQ264"/>
      <c r="XDR264"/>
      <c r="XDS264"/>
    </row>
    <row r="265" s="21" customFormat="1" spans="1:16347">
      <c r="A265" s="24" t="s">
        <v>58</v>
      </c>
      <c r="B265" s="25" t="s">
        <v>59</v>
      </c>
      <c r="C265" s="24" t="s">
        <v>60</v>
      </c>
      <c r="D265" s="24" t="s">
        <v>1290</v>
      </c>
      <c r="E265" s="24" t="s">
        <v>1291</v>
      </c>
      <c r="F265" s="24" t="s">
        <v>1292</v>
      </c>
      <c r="G265" s="24" t="s">
        <v>1288</v>
      </c>
      <c r="H265" s="24"/>
      <c r="I265" s="25">
        <v>4.8</v>
      </c>
      <c r="J265" s="24" t="s">
        <v>65</v>
      </c>
      <c r="K265" s="24" t="s">
        <v>1293</v>
      </c>
      <c r="L265" s="24" t="s">
        <v>67</v>
      </c>
      <c r="M265" s="24" t="s">
        <v>164</v>
      </c>
      <c r="N265" s="24" t="s">
        <v>164</v>
      </c>
      <c r="O265" s="25">
        <v>2</v>
      </c>
      <c r="P265" s="24"/>
      <c r="Q265" s="24"/>
      <c r="R265" s="24"/>
      <c r="S265" s="24"/>
      <c r="T265" s="24"/>
      <c r="U265" s="24"/>
      <c r="V265" s="24">
        <v>2.8</v>
      </c>
      <c r="XDO265"/>
      <c r="XDP265"/>
      <c r="XDQ265"/>
      <c r="XDR265"/>
      <c r="XDS265"/>
    </row>
    <row r="266" s="21" customFormat="1" spans="1:16347">
      <c r="A266" s="24" t="s">
        <v>58</v>
      </c>
      <c r="B266" s="25" t="s">
        <v>59</v>
      </c>
      <c r="C266" s="24" t="s">
        <v>60</v>
      </c>
      <c r="D266" s="24" t="s">
        <v>1294</v>
      </c>
      <c r="E266" s="24" t="s">
        <v>1295</v>
      </c>
      <c r="F266" s="24" t="s">
        <v>1296</v>
      </c>
      <c r="G266" s="24" t="s">
        <v>1288</v>
      </c>
      <c r="H266" s="24"/>
      <c r="I266" s="25">
        <v>2.5</v>
      </c>
      <c r="J266" s="24" t="s">
        <v>881</v>
      </c>
      <c r="K266" s="24" t="s">
        <v>1297</v>
      </c>
      <c r="L266" s="24" t="s">
        <v>67</v>
      </c>
      <c r="M266" s="24" t="s">
        <v>74</v>
      </c>
      <c r="N266" s="24" t="s">
        <v>74</v>
      </c>
      <c r="O266" s="25">
        <v>0.5</v>
      </c>
      <c r="P266" s="24"/>
      <c r="Q266" s="24"/>
      <c r="R266" s="24"/>
      <c r="S266" s="24">
        <v>0.2</v>
      </c>
      <c r="T266" s="24"/>
      <c r="U266" s="24"/>
      <c r="V266" s="24">
        <v>1.8</v>
      </c>
      <c r="XDO266"/>
      <c r="XDP266"/>
      <c r="XDQ266"/>
      <c r="XDR266"/>
      <c r="XDS266"/>
    </row>
    <row r="267" s="21" customFormat="1" spans="1:16347">
      <c r="A267" s="24" t="s">
        <v>58</v>
      </c>
      <c r="B267" s="25" t="s">
        <v>59</v>
      </c>
      <c r="C267" s="24" t="s">
        <v>60</v>
      </c>
      <c r="D267" s="24" t="s">
        <v>1298</v>
      </c>
      <c r="E267" s="24" t="s">
        <v>1299</v>
      </c>
      <c r="F267" s="24" t="s">
        <v>1300</v>
      </c>
      <c r="G267" s="24" t="s">
        <v>1301</v>
      </c>
      <c r="H267" s="24"/>
      <c r="I267" s="25">
        <v>3.5</v>
      </c>
      <c r="J267" s="24" t="s">
        <v>65</v>
      </c>
      <c r="K267" s="24" t="s">
        <v>1302</v>
      </c>
      <c r="L267" s="24" t="s">
        <v>67</v>
      </c>
      <c r="M267" s="24" t="s">
        <v>79</v>
      </c>
      <c r="N267" s="24" t="s">
        <v>79</v>
      </c>
      <c r="O267" s="25">
        <v>0.7</v>
      </c>
      <c r="P267" s="24"/>
      <c r="Q267" s="24"/>
      <c r="R267" s="24"/>
      <c r="S267" s="24">
        <v>0.5</v>
      </c>
      <c r="T267" s="24"/>
      <c r="U267" s="24"/>
      <c r="V267" s="24">
        <v>2.3</v>
      </c>
      <c r="XDO267"/>
      <c r="XDP267"/>
      <c r="XDQ267"/>
      <c r="XDR267"/>
      <c r="XDS267"/>
    </row>
    <row r="268" s="21" customFormat="1" spans="1:16347">
      <c r="A268" s="24" t="s">
        <v>58</v>
      </c>
      <c r="B268" s="25" t="s">
        <v>59</v>
      </c>
      <c r="C268" s="24" t="s">
        <v>60</v>
      </c>
      <c r="D268" s="24" t="s">
        <v>1303</v>
      </c>
      <c r="E268" s="24" t="s">
        <v>1304</v>
      </c>
      <c r="F268" s="24" t="s">
        <v>1305</v>
      </c>
      <c r="G268" s="24" t="s">
        <v>1283</v>
      </c>
      <c r="H268" s="24"/>
      <c r="I268" s="25">
        <v>2.45</v>
      </c>
      <c r="J268" s="24" t="s">
        <v>881</v>
      </c>
      <c r="K268" s="24" t="s">
        <v>1306</v>
      </c>
      <c r="L268" s="24" t="s">
        <v>67</v>
      </c>
      <c r="M268" s="24" t="s">
        <v>169</v>
      </c>
      <c r="N268" s="24" t="s">
        <v>169</v>
      </c>
      <c r="O268" s="25">
        <v>0.5</v>
      </c>
      <c r="P268" s="24"/>
      <c r="Q268" s="24"/>
      <c r="R268" s="24"/>
      <c r="S268" s="24"/>
      <c r="T268" s="24"/>
      <c r="U268" s="24"/>
      <c r="V268" s="24">
        <v>1.95</v>
      </c>
      <c r="XDO268"/>
      <c r="XDP268"/>
      <c r="XDQ268"/>
      <c r="XDR268"/>
      <c r="XDS268"/>
    </row>
    <row r="269" s="21" customFormat="1" spans="1:16347">
      <c r="A269" s="24" t="s">
        <v>58</v>
      </c>
      <c r="B269" s="25" t="s">
        <v>59</v>
      </c>
      <c r="C269" s="24" t="s">
        <v>60</v>
      </c>
      <c r="D269" s="24" t="s">
        <v>1307</v>
      </c>
      <c r="E269" s="24" t="s">
        <v>1308</v>
      </c>
      <c r="F269" s="24" t="s">
        <v>1309</v>
      </c>
      <c r="G269" s="24" t="s">
        <v>1283</v>
      </c>
      <c r="H269" s="24"/>
      <c r="I269" s="25">
        <v>3.6</v>
      </c>
      <c r="J269" s="24" t="s">
        <v>65</v>
      </c>
      <c r="K269" s="24" t="s">
        <v>1310</v>
      </c>
      <c r="L269" s="24" t="s">
        <v>67</v>
      </c>
      <c r="M269" s="24" t="s">
        <v>652</v>
      </c>
      <c r="N269" s="24" t="s">
        <v>652</v>
      </c>
      <c r="O269" s="25">
        <v>1</v>
      </c>
      <c r="P269" s="24"/>
      <c r="Q269" s="24"/>
      <c r="R269" s="24"/>
      <c r="S269" s="24"/>
      <c r="T269" s="24"/>
      <c r="U269" s="24"/>
      <c r="V269" s="24">
        <v>2.6</v>
      </c>
      <c r="XDO269"/>
      <c r="XDP269"/>
      <c r="XDQ269"/>
      <c r="XDR269"/>
      <c r="XDS269"/>
    </row>
    <row r="270" s="21" customFormat="1" spans="1:16347">
      <c r="A270" s="24" t="s">
        <v>58</v>
      </c>
      <c r="B270" s="25" t="s">
        <v>59</v>
      </c>
      <c r="C270" s="24" t="s">
        <v>60</v>
      </c>
      <c r="D270" s="24" t="s">
        <v>1311</v>
      </c>
      <c r="E270" s="24" t="s">
        <v>1312</v>
      </c>
      <c r="F270" s="24" t="s">
        <v>1313</v>
      </c>
      <c r="G270" s="24" t="s">
        <v>1314</v>
      </c>
      <c r="H270" s="24"/>
      <c r="I270" s="25">
        <v>3.5</v>
      </c>
      <c r="J270" s="24" t="s">
        <v>65</v>
      </c>
      <c r="K270" s="24" t="s">
        <v>1315</v>
      </c>
      <c r="L270" s="24" t="s">
        <v>67</v>
      </c>
      <c r="M270" s="24" t="s">
        <v>79</v>
      </c>
      <c r="N270" s="24" t="s">
        <v>79</v>
      </c>
      <c r="O270" s="25">
        <v>0.7</v>
      </c>
      <c r="P270" s="24"/>
      <c r="Q270" s="24"/>
      <c r="R270" s="24"/>
      <c r="S270" s="24">
        <v>0.5</v>
      </c>
      <c r="T270" s="24"/>
      <c r="U270" s="24"/>
      <c r="V270" s="24">
        <v>2.3</v>
      </c>
      <c r="XDO270"/>
      <c r="XDP270"/>
      <c r="XDQ270"/>
      <c r="XDR270"/>
      <c r="XDS270"/>
    </row>
    <row r="271" s="21" customFormat="1" spans="1:16347">
      <c r="A271" s="24" t="s">
        <v>58</v>
      </c>
      <c r="B271" s="25" t="s">
        <v>59</v>
      </c>
      <c r="C271" s="24" t="s">
        <v>60</v>
      </c>
      <c r="D271" s="24" t="s">
        <v>1316</v>
      </c>
      <c r="E271" s="24" t="s">
        <v>1317</v>
      </c>
      <c r="F271" s="24" t="s">
        <v>1318</v>
      </c>
      <c r="G271" s="24" t="s">
        <v>1301</v>
      </c>
      <c r="H271" s="24"/>
      <c r="I271" s="25">
        <v>3</v>
      </c>
      <c r="J271" s="24" t="s">
        <v>65</v>
      </c>
      <c r="K271" s="24" t="s">
        <v>1319</v>
      </c>
      <c r="L271" s="24" t="s">
        <v>67</v>
      </c>
      <c r="M271" s="24" t="s">
        <v>672</v>
      </c>
      <c r="N271" s="24" t="s">
        <v>672</v>
      </c>
      <c r="O271" s="25">
        <v>0.5</v>
      </c>
      <c r="P271" s="24"/>
      <c r="Q271" s="24"/>
      <c r="R271" s="24"/>
      <c r="S271" s="24">
        <v>0.2</v>
      </c>
      <c r="T271" s="24"/>
      <c r="U271" s="24"/>
      <c r="V271" s="24">
        <v>2.3</v>
      </c>
      <c r="XDO271"/>
      <c r="XDP271"/>
      <c r="XDQ271"/>
      <c r="XDR271"/>
      <c r="XDS271"/>
    </row>
    <row r="272" s="21" customFormat="1" spans="1:16347">
      <c r="A272" s="24" t="s">
        <v>58</v>
      </c>
      <c r="B272" s="25" t="s">
        <v>59</v>
      </c>
      <c r="C272" s="24" t="s">
        <v>60</v>
      </c>
      <c r="D272" s="24" t="s">
        <v>1320</v>
      </c>
      <c r="E272" s="24" t="s">
        <v>1321</v>
      </c>
      <c r="F272" s="24" t="s">
        <v>1322</v>
      </c>
      <c r="G272" s="24" t="s">
        <v>1301</v>
      </c>
      <c r="H272" s="24"/>
      <c r="I272" s="25">
        <v>3.6</v>
      </c>
      <c r="J272" s="24" t="s">
        <v>65</v>
      </c>
      <c r="K272" s="24" t="s">
        <v>1323</v>
      </c>
      <c r="L272" s="24" t="s">
        <v>67</v>
      </c>
      <c r="M272" s="24" t="s">
        <v>200</v>
      </c>
      <c r="N272" s="24" t="s">
        <v>200</v>
      </c>
      <c r="O272" s="25">
        <v>0.7</v>
      </c>
      <c r="P272" s="24"/>
      <c r="Q272" s="24"/>
      <c r="R272" s="24"/>
      <c r="S272" s="24">
        <v>0.5</v>
      </c>
      <c r="T272" s="24"/>
      <c r="U272" s="24"/>
      <c r="V272" s="24">
        <v>2.4</v>
      </c>
      <c r="XDO272"/>
      <c r="XDP272"/>
      <c r="XDQ272"/>
      <c r="XDR272"/>
      <c r="XDS272"/>
    </row>
    <row r="273" s="21" customFormat="1" spans="1:16347">
      <c r="A273" s="24" t="s">
        <v>58</v>
      </c>
      <c r="B273" s="25" t="s">
        <v>59</v>
      </c>
      <c r="C273" s="24" t="s">
        <v>60</v>
      </c>
      <c r="D273" s="24" t="s">
        <v>1324</v>
      </c>
      <c r="E273" s="24" t="s">
        <v>1325</v>
      </c>
      <c r="F273" s="24" t="s">
        <v>1326</v>
      </c>
      <c r="G273" s="24" t="s">
        <v>1327</v>
      </c>
      <c r="H273" s="24"/>
      <c r="I273" s="25">
        <v>4.8</v>
      </c>
      <c r="J273" s="24" t="s">
        <v>65</v>
      </c>
      <c r="K273" s="24" t="s">
        <v>1328</v>
      </c>
      <c r="L273" s="24" t="s">
        <v>67</v>
      </c>
      <c r="M273" s="24" t="s">
        <v>164</v>
      </c>
      <c r="N273" s="24" t="s">
        <v>164</v>
      </c>
      <c r="O273" s="25">
        <v>2</v>
      </c>
      <c r="P273" s="24"/>
      <c r="Q273" s="24"/>
      <c r="R273" s="24"/>
      <c r="S273" s="24"/>
      <c r="T273" s="24"/>
      <c r="U273" s="24"/>
      <c r="V273" s="24">
        <v>2.8</v>
      </c>
      <c r="XDO273"/>
      <c r="XDP273"/>
      <c r="XDQ273"/>
      <c r="XDR273"/>
      <c r="XDS273"/>
    </row>
    <row r="274" s="21" customFormat="1" spans="1:16347">
      <c r="A274" s="24" t="s">
        <v>58</v>
      </c>
      <c r="B274" s="25" t="s">
        <v>59</v>
      </c>
      <c r="C274" s="24" t="s">
        <v>60</v>
      </c>
      <c r="D274" s="24" t="s">
        <v>1329</v>
      </c>
      <c r="E274" s="24" t="s">
        <v>1330</v>
      </c>
      <c r="F274" s="24" t="s">
        <v>1331</v>
      </c>
      <c r="G274" s="24" t="s">
        <v>1314</v>
      </c>
      <c r="H274" s="24"/>
      <c r="I274" s="25">
        <v>3.6</v>
      </c>
      <c r="J274" s="24" t="s">
        <v>65</v>
      </c>
      <c r="K274" s="24" t="s">
        <v>1332</v>
      </c>
      <c r="L274" s="24" t="s">
        <v>67</v>
      </c>
      <c r="M274" s="24" t="s">
        <v>79</v>
      </c>
      <c r="N274" s="24" t="s">
        <v>79</v>
      </c>
      <c r="O274" s="25">
        <v>1</v>
      </c>
      <c r="P274" s="24"/>
      <c r="Q274" s="24"/>
      <c r="R274" s="24"/>
      <c r="S274" s="24">
        <v>0.3</v>
      </c>
      <c r="T274" s="24"/>
      <c r="U274" s="24"/>
      <c r="V274" s="24">
        <v>2.3</v>
      </c>
      <c r="XDO274"/>
      <c r="XDP274"/>
      <c r="XDQ274"/>
      <c r="XDR274"/>
      <c r="XDS274"/>
    </row>
    <row r="275" s="21" customFormat="1" spans="1:16347">
      <c r="A275" s="24" t="s">
        <v>58</v>
      </c>
      <c r="B275" s="25" t="s">
        <v>59</v>
      </c>
      <c r="C275" s="24" t="s">
        <v>60</v>
      </c>
      <c r="D275" s="24" t="s">
        <v>1333</v>
      </c>
      <c r="E275" s="24" t="s">
        <v>1334</v>
      </c>
      <c r="F275" s="24" t="s">
        <v>1335</v>
      </c>
      <c r="G275" s="24" t="s">
        <v>1314</v>
      </c>
      <c r="H275" s="24"/>
      <c r="I275" s="25">
        <v>3.6</v>
      </c>
      <c r="J275" s="24" t="s">
        <v>65</v>
      </c>
      <c r="K275" s="24" t="s">
        <v>1336</v>
      </c>
      <c r="L275" s="24" t="s">
        <v>67</v>
      </c>
      <c r="M275" s="24" t="s">
        <v>179</v>
      </c>
      <c r="N275" s="24" t="s">
        <v>179</v>
      </c>
      <c r="O275" s="25">
        <v>0.7</v>
      </c>
      <c r="P275" s="24"/>
      <c r="Q275" s="24"/>
      <c r="R275" s="24"/>
      <c r="S275" s="24">
        <v>0.5</v>
      </c>
      <c r="T275" s="24"/>
      <c r="U275" s="24"/>
      <c r="V275" s="24">
        <v>2.4</v>
      </c>
      <c r="XDO275"/>
      <c r="XDP275"/>
      <c r="XDQ275"/>
      <c r="XDR275"/>
      <c r="XDS275"/>
    </row>
    <row r="276" s="21" customFormat="1" spans="1:16347">
      <c r="A276" s="24" t="s">
        <v>58</v>
      </c>
      <c r="B276" s="25" t="s">
        <v>59</v>
      </c>
      <c r="C276" s="24" t="s">
        <v>60</v>
      </c>
      <c r="D276" s="24" t="s">
        <v>1337</v>
      </c>
      <c r="E276" s="24" t="s">
        <v>1338</v>
      </c>
      <c r="F276" s="24" t="s">
        <v>1339</v>
      </c>
      <c r="G276" s="24" t="s">
        <v>1340</v>
      </c>
      <c r="H276" s="24"/>
      <c r="I276" s="25">
        <v>3.5</v>
      </c>
      <c r="J276" s="24" t="s">
        <v>65</v>
      </c>
      <c r="K276" s="24" t="s">
        <v>1341</v>
      </c>
      <c r="L276" s="24" t="s">
        <v>67</v>
      </c>
      <c r="M276" s="24" t="s">
        <v>79</v>
      </c>
      <c r="N276" s="24" t="s">
        <v>79</v>
      </c>
      <c r="O276" s="25">
        <v>0.7</v>
      </c>
      <c r="P276" s="24"/>
      <c r="Q276" s="24"/>
      <c r="R276" s="24"/>
      <c r="S276" s="24">
        <v>0.5</v>
      </c>
      <c r="T276" s="24"/>
      <c r="U276" s="24"/>
      <c r="V276" s="24">
        <v>2.3</v>
      </c>
      <c r="XDO276"/>
      <c r="XDP276"/>
      <c r="XDQ276"/>
      <c r="XDR276"/>
      <c r="XDS276"/>
    </row>
    <row r="277" s="21" customFormat="1" spans="1:16347">
      <c r="A277" s="24" t="s">
        <v>58</v>
      </c>
      <c r="B277" s="25" t="s">
        <v>59</v>
      </c>
      <c r="C277" s="24" t="s">
        <v>60</v>
      </c>
      <c r="D277" s="24" t="s">
        <v>1342</v>
      </c>
      <c r="E277" s="24" t="s">
        <v>1343</v>
      </c>
      <c r="F277" s="24" t="s">
        <v>1344</v>
      </c>
      <c r="G277" s="24" t="s">
        <v>1327</v>
      </c>
      <c r="H277" s="24"/>
      <c r="I277" s="25">
        <v>3.4</v>
      </c>
      <c r="J277" s="24" t="s">
        <v>65</v>
      </c>
      <c r="K277" s="24" t="s">
        <v>1345</v>
      </c>
      <c r="L277" s="24" t="s">
        <v>67</v>
      </c>
      <c r="M277" s="24" t="s">
        <v>179</v>
      </c>
      <c r="N277" s="24" t="s">
        <v>179</v>
      </c>
      <c r="O277" s="25">
        <v>0.7</v>
      </c>
      <c r="P277" s="24"/>
      <c r="Q277" s="24"/>
      <c r="R277" s="24"/>
      <c r="S277" s="24">
        <v>0.3</v>
      </c>
      <c r="T277" s="24"/>
      <c r="U277" s="24"/>
      <c r="V277" s="24">
        <v>2.4</v>
      </c>
      <c r="XDO277"/>
      <c r="XDP277"/>
      <c r="XDQ277"/>
      <c r="XDR277"/>
      <c r="XDS277"/>
    </row>
    <row r="278" s="21" customFormat="1" spans="1:16347">
      <c r="A278" s="24" t="s">
        <v>58</v>
      </c>
      <c r="B278" s="25" t="s">
        <v>59</v>
      </c>
      <c r="C278" s="24" t="s">
        <v>60</v>
      </c>
      <c r="D278" s="24" t="s">
        <v>1346</v>
      </c>
      <c r="E278" s="24" t="s">
        <v>1347</v>
      </c>
      <c r="F278" s="24" t="s">
        <v>1348</v>
      </c>
      <c r="G278" s="24" t="s">
        <v>1327</v>
      </c>
      <c r="H278" s="24"/>
      <c r="I278" s="25">
        <v>3.1</v>
      </c>
      <c r="J278" s="24" t="s">
        <v>65</v>
      </c>
      <c r="K278" s="24" t="s">
        <v>1349</v>
      </c>
      <c r="L278" s="24" t="s">
        <v>67</v>
      </c>
      <c r="M278" s="24" t="s">
        <v>200</v>
      </c>
      <c r="N278" s="24" t="s">
        <v>200</v>
      </c>
      <c r="O278" s="25">
        <v>0.7</v>
      </c>
      <c r="P278" s="24"/>
      <c r="Q278" s="24"/>
      <c r="R278" s="24"/>
      <c r="S278" s="24"/>
      <c r="T278" s="24"/>
      <c r="U278" s="24"/>
      <c r="V278" s="24">
        <v>2.4</v>
      </c>
      <c r="XDO278"/>
      <c r="XDP278"/>
      <c r="XDQ278"/>
      <c r="XDR278"/>
      <c r="XDS278"/>
    </row>
    <row r="279" s="21" customFormat="1" spans="1:16347">
      <c r="A279" s="24" t="s">
        <v>58</v>
      </c>
      <c r="B279" s="25" t="s">
        <v>59</v>
      </c>
      <c r="C279" s="24" t="s">
        <v>60</v>
      </c>
      <c r="D279" s="24" t="s">
        <v>1350</v>
      </c>
      <c r="E279" s="24" t="s">
        <v>1351</v>
      </c>
      <c r="F279" s="24" t="s">
        <v>1352</v>
      </c>
      <c r="G279" s="24" t="s">
        <v>1340</v>
      </c>
      <c r="H279" s="24"/>
      <c r="I279" s="25">
        <v>2.95</v>
      </c>
      <c r="J279" s="24" t="s">
        <v>881</v>
      </c>
      <c r="K279" s="24" t="s">
        <v>1353</v>
      </c>
      <c r="L279" s="24" t="s">
        <v>67</v>
      </c>
      <c r="M279" s="24" t="s">
        <v>209</v>
      </c>
      <c r="N279" s="24" t="s">
        <v>209</v>
      </c>
      <c r="O279" s="25">
        <v>0.5</v>
      </c>
      <c r="P279" s="24"/>
      <c r="Q279" s="24"/>
      <c r="R279" s="24"/>
      <c r="S279" s="24">
        <v>0.5</v>
      </c>
      <c r="T279" s="24"/>
      <c r="U279" s="24"/>
      <c r="V279" s="24">
        <v>1.95</v>
      </c>
      <c r="XDO279"/>
      <c r="XDP279"/>
      <c r="XDQ279"/>
      <c r="XDR279"/>
      <c r="XDS279"/>
    </row>
    <row r="280" s="21" customFormat="1" spans="1:16347">
      <c r="A280" s="24" t="s">
        <v>58</v>
      </c>
      <c r="B280" s="25" t="s">
        <v>59</v>
      </c>
      <c r="C280" s="24" t="s">
        <v>60</v>
      </c>
      <c r="D280" s="24" t="s">
        <v>1354</v>
      </c>
      <c r="E280" s="24" t="s">
        <v>1355</v>
      </c>
      <c r="F280" s="24" t="s">
        <v>1356</v>
      </c>
      <c r="G280" s="24" t="s">
        <v>1357</v>
      </c>
      <c r="H280" s="24"/>
      <c r="I280" s="25">
        <v>7.2</v>
      </c>
      <c r="J280" s="24" t="s">
        <v>65</v>
      </c>
      <c r="K280" s="24" t="s">
        <v>1358</v>
      </c>
      <c r="L280" s="24" t="s">
        <v>67</v>
      </c>
      <c r="M280" s="24" t="s">
        <v>1359</v>
      </c>
      <c r="N280" s="24" t="s">
        <v>1359</v>
      </c>
      <c r="O280" s="25">
        <v>2.7</v>
      </c>
      <c r="P280" s="24"/>
      <c r="Q280" s="24"/>
      <c r="R280" s="24"/>
      <c r="S280" s="24">
        <v>1</v>
      </c>
      <c r="T280" s="24"/>
      <c r="U280" s="24"/>
      <c r="V280" s="24">
        <v>3.5</v>
      </c>
      <c r="XDO280"/>
      <c r="XDP280"/>
      <c r="XDQ280"/>
      <c r="XDR280"/>
      <c r="XDS280"/>
    </row>
    <row r="281" s="21" customFormat="1" spans="1:16347">
      <c r="A281" s="24" t="s">
        <v>58</v>
      </c>
      <c r="B281" s="25" t="s">
        <v>59</v>
      </c>
      <c r="C281" s="24" t="s">
        <v>60</v>
      </c>
      <c r="D281" s="24" t="s">
        <v>1360</v>
      </c>
      <c r="E281" s="24" t="s">
        <v>1361</v>
      </c>
      <c r="F281" s="24" t="s">
        <v>1362</v>
      </c>
      <c r="G281" s="24" t="s">
        <v>1363</v>
      </c>
      <c r="H281" s="24"/>
      <c r="I281" s="25">
        <v>3.6</v>
      </c>
      <c r="J281" s="24" t="s">
        <v>65</v>
      </c>
      <c r="K281" s="24" t="s">
        <v>1364</v>
      </c>
      <c r="L281" s="24" t="s">
        <v>67</v>
      </c>
      <c r="M281" s="24" t="s">
        <v>876</v>
      </c>
      <c r="N281" s="24" t="s">
        <v>876</v>
      </c>
      <c r="O281" s="25">
        <v>1</v>
      </c>
      <c r="P281" s="24"/>
      <c r="Q281" s="24"/>
      <c r="R281" s="24"/>
      <c r="S281" s="24"/>
      <c r="T281" s="24"/>
      <c r="U281" s="24"/>
      <c r="V281" s="24">
        <v>2.6</v>
      </c>
      <c r="XDO281"/>
      <c r="XDP281"/>
      <c r="XDQ281"/>
      <c r="XDR281"/>
      <c r="XDS281"/>
    </row>
    <row r="282" s="21" customFormat="1" spans="1:16347">
      <c r="A282" s="24" t="s">
        <v>58</v>
      </c>
      <c r="B282" s="25" t="s">
        <v>59</v>
      </c>
      <c r="C282" s="24" t="s">
        <v>60</v>
      </c>
      <c r="D282" s="24" t="s">
        <v>1365</v>
      </c>
      <c r="E282" s="24" t="s">
        <v>1366</v>
      </c>
      <c r="F282" s="24" t="s">
        <v>1367</v>
      </c>
      <c r="G282" s="24" t="s">
        <v>1363</v>
      </c>
      <c r="H282" s="24"/>
      <c r="I282" s="25">
        <v>3.6</v>
      </c>
      <c r="J282" s="24" t="s">
        <v>65</v>
      </c>
      <c r="K282" s="24" t="s">
        <v>1368</v>
      </c>
      <c r="L282" s="24" t="s">
        <v>67</v>
      </c>
      <c r="M282" s="24" t="s">
        <v>200</v>
      </c>
      <c r="N282" s="24" t="s">
        <v>200</v>
      </c>
      <c r="O282" s="25">
        <v>0.7</v>
      </c>
      <c r="P282" s="24"/>
      <c r="Q282" s="24"/>
      <c r="R282" s="24"/>
      <c r="S282" s="24">
        <v>0.5</v>
      </c>
      <c r="T282" s="24"/>
      <c r="U282" s="24"/>
      <c r="V282" s="24">
        <v>2.4</v>
      </c>
      <c r="XDO282"/>
      <c r="XDP282"/>
      <c r="XDQ282"/>
      <c r="XDR282"/>
      <c r="XDS282"/>
    </row>
    <row r="283" s="21" customFormat="1" spans="1:16347">
      <c r="A283" s="24" t="s">
        <v>58</v>
      </c>
      <c r="B283" s="25" t="s">
        <v>59</v>
      </c>
      <c r="C283" s="24" t="s">
        <v>60</v>
      </c>
      <c r="D283" s="24" t="s">
        <v>1369</v>
      </c>
      <c r="E283" s="24" t="s">
        <v>1370</v>
      </c>
      <c r="F283" s="24" t="s">
        <v>1371</v>
      </c>
      <c r="G283" s="24" t="s">
        <v>1363</v>
      </c>
      <c r="H283" s="24"/>
      <c r="I283" s="25">
        <v>2.5</v>
      </c>
      <c r="J283" s="24" t="s">
        <v>881</v>
      </c>
      <c r="K283" s="24" t="s">
        <v>1372</v>
      </c>
      <c r="L283" s="24" t="s">
        <v>67</v>
      </c>
      <c r="M283" s="24" t="s">
        <v>74</v>
      </c>
      <c r="N283" s="24" t="s">
        <v>74</v>
      </c>
      <c r="O283" s="25">
        <v>0.5</v>
      </c>
      <c r="P283" s="24"/>
      <c r="Q283" s="24"/>
      <c r="R283" s="24"/>
      <c r="S283" s="24">
        <v>0.2</v>
      </c>
      <c r="T283" s="24"/>
      <c r="U283" s="24"/>
      <c r="V283" s="24">
        <v>1.8</v>
      </c>
      <c r="XDO283"/>
      <c r="XDP283"/>
      <c r="XDQ283"/>
      <c r="XDR283"/>
      <c r="XDS283"/>
    </row>
    <row r="284" s="21" customFormat="1" spans="1:16347">
      <c r="A284" s="24" t="s">
        <v>58</v>
      </c>
      <c r="B284" s="25" t="s">
        <v>59</v>
      </c>
      <c r="C284" s="24" t="s">
        <v>60</v>
      </c>
      <c r="D284" s="24" t="s">
        <v>1373</v>
      </c>
      <c r="E284" s="24" t="s">
        <v>1374</v>
      </c>
      <c r="F284" s="24" t="s">
        <v>1375</v>
      </c>
      <c r="G284" s="24" t="s">
        <v>1363</v>
      </c>
      <c r="H284" s="24"/>
      <c r="I284" s="25">
        <v>3.6</v>
      </c>
      <c r="J284" s="24" t="s">
        <v>65</v>
      </c>
      <c r="K284" s="24" t="s">
        <v>1376</v>
      </c>
      <c r="L284" s="24" t="s">
        <v>67</v>
      </c>
      <c r="M284" s="24" t="s">
        <v>1377</v>
      </c>
      <c r="N284" s="24" t="s">
        <v>1377</v>
      </c>
      <c r="O284" s="25">
        <v>0.7</v>
      </c>
      <c r="P284" s="24"/>
      <c r="Q284" s="24"/>
      <c r="R284" s="24"/>
      <c r="S284" s="24">
        <v>0.5</v>
      </c>
      <c r="T284" s="24"/>
      <c r="U284" s="24"/>
      <c r="V284" s="24">
        <v>2.4</v>
      </c>
      <c r="XDO284"/>
      <c r="XDP284"/>
      <c r="XDQ284"/>
      <c r="XDR284"/>
      <c r="XDS284"/>
    </row>
    <row r="285" s="21" customFormat="1" spans="1:16347">
      <c r="A285" s="24" t="s">
        <v>58</v>
      </c>
      <c r="B285" s="25" t="s">
        <v>59</v>
      </c>
      <c r="C285" s="24" t="s">
        <v>60</v>
      </c>
      <c r="D285" s="24" t="s">
        <v>1378</v>
      </c>
      <c r="E285" s="24" t="s">
        <v>1379</v>
      </c>
      <c r="F285" s="24" t="s">
        <v>1380</v>
      </c>
      <c r="G285" s="24" t="s">
        <v>1357</v>
      </c>
      <c r="H285" s="24"/>
      <c r="I285" s="25">
        <v>3.4</v>
      </c>
      <c r="J285" s="24" t="s">
        <v>65</v>
      </c>
      <c r="K285" s="24" t="s">
        <v>1381</v>
      </c>
      <c r="L285" s="24" t="s">
        <v>67</v>
      </c>
      <c r="M285" s="24" t="s">
        <v>179</v>
      </c>
      <c r="N285" s="24" t="s">
        <v>179</v>
      </c>
      <c r="O285" s="25">
        <v>0.7</v>
      </c>
      <c r="P285" s="24"/>
      <c r="Q285" s="24"/>
      <c r="R285" s="24"/>
      <c r="S285" s="24">
        <v>0.3</v>
      </c>
      <c r="T285" s="24"/>
      <c r="U285" s="24"/>
      <c r="V285" s="24">
        <v>2.4</v>
      </c>
      <c r="XDO285"/>
      <c r="XDP285"/>
      <c r="XDQ285"/>
      <c r="XDR285"/>
      <c r="XDS285"/>
    </row>
    <row r="286" s="21" customFormat="1" spans="1:16347">
      <c r="A286" s="24" t="s">
        <v>58</v>
      </c>
      <c r="B286" s="25" t="s">
        <v>59</v>
      </c>
      <c r="C286" s="24" t="s">
        <v>60</v>
      </c>
      <c r="D286" s="24" t="s">
        <v>1382</v>
      </c>
      <c r="E286" s="24" t="s">
        <v>1383</v>
      </c>
      <c r="F286" s="24" t="s">
        <v>1384</v>
      </c>
      <c r="G286" s="24" t="s">
        <v>1385</v>
      </c>
      <c r="H286" s="24"/>
      <c r="I286" s="25">
        <v>3.6</v>
      </c>
      <c r="J286" s="24" t="s">
        <v>65</v>
      </c>
      <c r="K286" s="24" t="s">
        <v>1386</v>
      </c>
      <c r="L286" s="24" t="s">
        <v>67</v>
      </c>
      <c r="M286" s="24" t="s">
        <v>200</v>
      </c>
      <c r="N286" s="24" t="s">
        <v>200</v>
      </c>
      <c r="O286" s="25">
        <v>0.7</v>
      </c>
      <c r="P286" s="24"/>
      <c r="Q286" s="24"/>
      <c r="R286" s="24"/>
      <c r="S286" s="24">
        <v>0.5</v>
      </c>
      <c r="T286" s="24"/>
      <c r="U286" s="24"/>
      <c r="V286" s="24">
        <v>2.4</v>
      </c>
      <c r="XDO286"/>
      <c r="XDP286"/>
      <c r="XDQ286"/>
      <c r="XDR286"/>
      <c r="XDS286"/>
    </row>
    <row r="287" s="21" customFormat="1" spans="1:16347">
      <c r="A287" s="24" t="s">
        <v>58</v>
      </c>
      <c r="B287" s="25" t="s">
        <v>59</v>
      </c>
      <c r="C287" s="24" t="s">
        <v>60</v>
      </c>
      <c r="D287" s="24" t="s">
        <v>1387</v>
      </c>
      <c r="E287" s="24" t="s">
        <v>1388</v>
      </c>
      <c r="F287" s="24" t="s">
        <v>1389</v>
      </c>
      <c r="G287" s="24" t="s">
        <v>1385</v>
      </c>
      <c r="H287" s="24"/>
      <c r="I287" s="25">
        <v>3.6</v>
      </c>
      <c r="J287" s="24" t="s">
        <v>65</v>
      </c>
      <c r="K287" s="24" t="s">
        <v>1390</v>
      </c>
      <c r="L287" s="24" t="s">
        <v>67</v>
      </c>
      <c r="M287" s="24" t="s">
        <v>200</v>
      </c>
      <c r="N287" s="24" t="s">
        <v>200</v>
      </c>
      <c r="O287" s="25">
        <v>0.7</v>
      </c>
      <c r="P287" s="24"/>
      <c r="Q287" s="24"/>
      <c r="R287" s="24"/>
      <c r="S287" s="24">
        <v>0.5</v>
      </c>
      <c r="T287" s="24"/>
      <c r="U287" s="24"/>
      <c r="V287" s="24">
        <v>2.4</v>
      </c>
      <c r="XDO287"/>
      <c r="XDP287"/>
      <c r="XDQ287"/>
      <c r="XDR287"/>
      <c r="XDS287"/>
    </row>
    <row r="288" s="21" customFormat="1" spans="1:16347">
      <c r="A288" s="24" t="s">
        <v>58</v>
      </c>
      <c r="B288" s="25" t="s">
        <v>59</v>
      </c>
      <c r="C288" s="24" t="s">
        <v>60</v>
      </c>
      <c r="D288" s="24" t="s">
        <v>1391</v>
      </c>
      <c r="E288" s="24" t="s">
        <v>1392</v>
      </c>
      <c r="F288" s="24" t="s">
        <v>1393</v>
      </c>
      <c r="G288" s="24" t="s">
        <v>1385</v>
      </c>
      <c r="H288" s="24"/>
      <c r="I288" s="25">
        <v>3.6</v>
      </c>
      <c r="J288" s="24" t="s">
        <v>65</v>
      </c>
      <c r="K288" s="24" t="s">
        <v>1394</v>
      </c>
      <c r="L288" s="24" t="s">
        <v>67</v>
      </c>
      <c r="M288" s="24" t="s">
        <v>200</v>
      </c>
      <c r="N288" s="24" t="s">
        <v>200</v>
      </c>
      <c r="O288" s="25">
        <v>0.7</v>
      </c>
      <c r="P288" s="24"/>
      <c r="Q288" s="24"/>
      <c r="R288" s="24"/>
      <c r="S288" s="24">
        <v>0.5</v>
      </c>
      <c r="T288" s="24"/>
      <c r="U288" s="24"/>
      <c r="V288" s="24">
        <v>2.4</v>
      </c>
      <c r="XDO288"/>
      <c r="XDP288"/>
      <c r="XDQ288"/>
      <c r="XDR288"/>
      <c r="XDS288"/>
    </row>
    <row r="289" s="21" customFormat="1" spans="1:16347">
      <c r="A289" s="24" t="s">
        <v>58</v>
      </c>
      <c r="B289" s="25" t="s">
        <v>59</v>
      </c>
      <c r="C289" s="24" t="s">
        <v>60</v>
      </c>
      <c r="D289" s="24" t="s">
        <v>1395</v>
      </c>
      <c r="E289" s="24" t="s">
        <v>1396</v>
      </c>
      <c r="F289" s="24" t="s">
        <v>1397</v>
      </c>
      <c r="G289" s="24" t="s">
        <v>1398</v>
      </c>
      <c r="H289" s="24"/>
      <c r="I289" s="25">
        <v>3.6</v>
      </c>
      <c r="J289" s="24" t="s">
        <v>65</v>
      </c>
      <c r="K289" s="24" t="s">
        <v>1399</v>
      </c>
      <c r="L289" s="24" t="s">
        <v>67</v>
      </c>
      <c r="M289" s="24" t="s">
        <v>189</v>
      </c>
      <c r="N289" s="24" t="s">
        <v>189</v>
      </c>
      <c r="O289" s="25">
        <v>0.7</v>
      </c>
      <c r="P289" s="24"/>
      <c r="Q289" s="24"/>
      <c r="R289" s="24"/>
      <c r="S289" s="24">
        <v>0.5</v>
      </c>
      <c r="T289" s="24"/>
      <c r="U289" s="24"/>
      <c r="V289" s="24">
        <v>2.4</v>
      </c>
      <c r="XDO289"/>
      <c r="XDP289"/>
      <c r="XDQ289"/>
      <c r="XDR289"/>
      <c r="XDS289"/>
    </row>
    <row r="290" s="21" customFormat="1" spans="1:16347">
      <c r="A290" s="24" t="s">
        <v>58</v>
      </c>
      <c r="B290" s="25" t="s">
        <v>59</v>
      </c>
      <c r="C290" s="24" t="s">
        <v>60</v>
      </c>
      <c r="D290" s="24" t="s">
        <v>1400</v>
      </c>
      <c r="E290" s="24" t="s">
        <v>1401</v>
      </c>
      <c r="F290" s="24" t="s">
        <v>1402</v>
      </c>
      <c r="G290" s="24" t="s">
        <v>1403</v>
      </c>
      <c r="H290" s="24"/>
      <c r="I290" s="25">
        <v>2.45</v>
      </c>
      <c r="J290" s="24" t="s">
        <v>881</v>
      </c>
      <c r="K290" s="24" t="s">
        <v>1404</v>
      </c>
      <c r="L290" s="24" t="s">
        <v>67</v>
      </c>
      <c r="M290" s="24" t="s">
        <v>363</v>
      </c>
      <c r="N290" s="24" t="s">
        <v>363</v>
      </c>
      <c r="O290" s="25">
        <v>0.5</v>
      </c>
      <c r="P290" s="24"/>
      <c r="Q290" s="24"/>
      <c r="R290" s="24"/>
      <c r="S290" s="24"/>
      <c r="T290" s="24"/>
      <c r="U290" s="24"/>
      <c r="V290" s="24">
        <v>1.95</v>
      </c>
      <c r="XDO290"/>
      <c r="XDP290"/>
      <c r="XDQ290"/>
      <c r="XDR290"/>
      <c r="XDS290"/>
    </row>
    <row r="291" s="21" customFormat="1" spans="1:16347">
      <c r="A291" s="24" t="s">
        <v>58</v>
      </c>
      <c r="B291" s="25" t="s">
        <v>59</v>
      </c>
      <c r="C291" s="24" t="s">
        <v>60</v>
      </c>
      <c r="D291" s="24" t="s">
        <v>1405</v>
      </c>
      <c r="E291" s="24" t="s">
        <v>1406</v>
      </c>
      <c r="F291" s="24" t="s">
        <v>1407</v>
      </c>
      <c r="G291" s="24" t="s">
        <v>1403</v>
      </c>
      <c r="H291" s="24"/>
      <c r="I291" s="25">
        <v>4.3</v>
      </c>
      <c r="J291" s="24" t="s">
        <v>65</v>
      </c>
      <c r="K291" s="24" t="s">
        <v>1408</v>
      </c>
      <c r="L291" s="24" t="s">
        <v>67</v>
      </c>
      <c r="M291" s="24" t="s">
        <v>1377</v>
      </c>
      <c r="N291" s="24" t="s">
        <v>1377</v>
      </c>
      <c r="O291" s="25">
        <v>1.4</v>
      </c>
      <c r="P291" s="24"/>
      <c r="Q291" s="24"/>
      <c r="R291" s="24"/>
      <c r="S291" s="24">
        <v>0.5</v>
      </c>
      <c r="T291" s="24"/>
      <c r="U291" s="24"/>
      <c r="V291" s="24">
        <v>2.4</v>
      </c>
      <c r="XDO291"/>
      <c r="XDP291"/>
      <c r="XDQ291"/>
      <c r="XDR291"/>
      <c r="XDS291"/>
    </row>
    <row r="292" s="21" customFormat="1" spans="1:16347">
      <c r="A292" s="24" t="s">
        <v>58</v>
      </c>
      <c r="B292" s="25" t="s">
        <v>59</v>
      </c>
      <c r="C292" s="24" t="s">
        <v>60</v>
      </c>
      <c r="D292" s="24" t="s">
        <v>1409</v>
      </c>
      <c r="E292" s="24" t="s">
        <v>1410</v>
      </c>
      <c r="F292" s="24" t="s">
        <v>1411</v>
      </c>
      <c r="G292" s="24" t="s">
        <v>1412</v>
      </c>
      <c r="H292" s="24"/>
      <c r="I292" s="25">
        <v>4.1</v>
      </c>
      <c r="J292" s="24" t="s">
        <v>65</v>
      </c>
      <c r="K292" s="24" t="s">
        <v>1413</v>
      </c>
      <c r="L292" s="24" t="s">
        <v>67</v>
      </c>
      <c r="M292" s="24" t="s">
        <v>1414</v>
      </c>
      <c r="N292" s="24" t="s">
        <v>1414</v>
      </c>
      <c r="O292" s="25">
        <v>1</v>
      </c>
      <c r="P292" s="24"/>
      <c r="Q292" s="24"/>
      <c r="R292" s="24"/>
      <c r="S292" s="24">
        <v>0.5</v>
      </c>
      <c r="T292" s="24"/>
      <c r="U292" s="24"/>
      <c r="V292" s="24">
        <v>2.6</v>
      </c>
      <c r="XDO292"/>
      <c r="XDP292"/>
      <c r="XDQ292"/>
      <c r="XDR292"/>
      <c r="XDS292"/>
    </row>
    <row r="293" s="21" customFormat="1" spans="1:16347">
      <c r="A293" s="24" t="s">
        <v>58</v>
      </c>
      <c r="B293" s="25" t="s">
        <v>59</v>
      </c>
      <c r="C293" s="24" t="s">
        <v>60</v>
      </c>
      <c r="D293" s="24" t="s">
        <v>1415</v>
      </c>
      <c r="E293" s="24" t="s">
        <v>1416</v>
      </c>
      <c r="F293" s="24" t="s">
        <v>1417</v>
      </c>
      <c r="G293" s="24" t="s">
        <v>1412</v>
      </c>
      <c r="H293" s="24"/>
      <c r="I293" s="25">
        <v>4.8</v>
      </c>
      <c r="J293" s="24" t="s">
        <v>65</v>
      </c>
      <c r="K293" s="24" t="s">
        <v>1418</v>
      </c>
      <c r="L293" s="24" t="s">
        <v>67</v>
      </c>
      <c r="M293" s="24" t="s">
        <v>164</v>
      </c>
      <c r="N293" s="24" t="s">
        <v>164</v>
      </c>
      <c r="O293" s="25">
        <v>2</v>
      </c>
      <c r="P293" s="24"/>
      <c r="Q293" s="24"/>
      <c r="R293" s="24"/>
      <c r="S293" s="24"/>
      <c r="T293" s="24"/>
      <c r="U293" s="24"/>
      <c r="V293" s="24">
        <v>2.8</v>
      </c>
      <c r="XDO293"/>
      <c r="XDP293"/>
      <c r="XDQ293"/>
      <c r="XDR293"/>
      <c r="XDS293"/>
    </row>
    <row r="294" s="21" customFormat="1" spans="1:16347">
      <c r="A294" s="24" t="s">
        <v>58</v>
      </c>
      <c r="B294" s="25" t="s">
        <v>59</v>
      </c>
      <c r="C294" s="24" t="s">
        <v>60</v>
      </c>
      <c r="D294" s="24" t="s">
        <v>1419</v>
      </c>
      <c r="E294" s="24" t="s">
        <v>1420</v>
      </c>
      <c r="F294" s="24" t="s">
        <v>1421</v>
      </c>
      <c r="G294" s="24" t="s">
        <v>1422</v>
      </c>
      <c r="H294" s="24"/>
      <c r="I294" s="25">
        <v>3.6</v>
      </c>
      <c r="J294" s="24" t="s">
        <v>65</v>
      </c>
      <c r="K294" s="24" t="s">
        <v>1423</v>
      </c>
      <c r="L294" s="24" t="s">
        <v>67</v>
      </c>
      <c r="M294" s="24" t="s">
        <v>463</v>
      </c>
      <c r="N294" s="24" t="s">
        <v>463</v>
      </c>
      <c r="O294" s="25">
        <v>1</v>
      </c>
      <c r="P294" s="24"/>
      <c r="Q294" s="24"/>
      <c r="R294" s="24"/>
      <c r="S294" s="24"/>
      <c r="T294" s="24"/>
      <c r="U294" s="24"/>
      <c r="V294" s="24">
        <v>2.6</v>
      </c>
      <c r="XDO294"/>
      <c r="XDP294"/>
      <c r="XDQ294"/>
      <c r="XDR294"/>
      <c r="XDS294"/>
    </row>
    <row r="295" s="21" customFormat="1" spans="1:16347">
      <c r="A295" s="24" t="s">
        <v>58</v>
      </c>
      <c r="B295" s="25" t="s">
        <v>59</v>
      </c>
      <c r="C295" s="24" t="s">
        <v>60</v>
      </c>
      <c r="D295" s="24" t="s">
        <v>1424</v>
      </c>
      <c r="E295" s="24" t="s">
        <v>1425</v>
      </c>
      <c r="F295" s="24" t="s">
        <v>1426</v>
      </c>
      <c r="G295" s="24" t="s">
        <v>1427</v>
      </c>
      <c r="H295" s="24"/>
      <c r="I295" s="25">
        <v>3.6</v>
      </c>
      <c r="J295" s="24" t="s">
        <v>65</v>
      </c>
      <c r="K295" s="24" t="s">
        <v>1428</v>
      </c>
      <c r="L295" s="24" t="s">
        <v>67</v>
      </c>
      <c r="M295" s="24" t="s">
        <v>876</v>
      </c>
      <c r="N295" s="24" t="s">
        <v>876</v>
      </c>
      <c r="O295" s="25">
        <v>1</v>
      </c>
      <c r="P295" s="24"/>
      <c r="Q295" s="24"/>
      <c r="R295" s="24"/>
      <c r="S295" s="24"/>
      <c r="T295" s="24"/>
      <c r="U295" s="24"/>
      <c r="V295" s="24">
        <v>2.6</v>
      </c>
      <c r="XDO295"/>
      <c r="XDP295"/>
      <c r="XDQ295"/>
      <c r="XDR295"/>
      <c r="XDS295"/>
    </row>
    <row r="296" s="21" customFormat="1" spans="1:16347">
      <c r="A296" s="24" t="s">
        <v>58</v>
      </c>
      <c r="B296" s="25" t="s">
        <v>59</v>
      </c>
      <c r="C296" s="24" t="s">
        <v>60</v>
      </c>
      <c r="D296" s="24" t="s">
        <v>1429</v>
      </c>
      <c r="E296" s="24" t="s">
        <v>1430</v>
      </c>
      <c r="F296" s="24" t="s">
        <v>1431</v>
      </c>
      <c r="G296" s="24" t="s">
        <v>1427</v>
      </c>
      <c r="H296" s="24"/>
      <c r="I296" s="25">
        <v>2.5</v>
      </c>
      <c r="J296" s="24" t="s">
        <v>881</v>
      </c>
      <c r="K296" s="24" t="s">
        <v>1432</v>
      </c>
      <c r="L296" s="24" t="s">
        <v>67</v>
      </c>
      <c r="M296" s="24" t="s">
        <v>74</v>
      </c>
      <c r="N296" s="24" t="s">
        <v>74</v>
      </c>
      <c r="O296" s="25">
        <v>0.5</v>
      </c>
      <c r="P296" s="24"/>
      <c r="Q296" s="24"/>
      <c r="R296" s="24"/>
      <c r="S296" s="24">
        <v>0.2</v>
      </c>
      <c r="T296" s="24"/>
      <c r="U296" s="24"/>
      <c r="V296" s="24">
        <v>1.8</v>
      </c>
      <c r="XDO296"/>
      <c r="XDP296"/>
      <c r="XDQ296"/>
      <c r="XDR296"/>
      <c r="XDS296"/>
    </row>
    <row r="297" s="21" customFormat="1" spans="1:16347">
      <c r="A297" s="24" t="s">
        <v>58</v>
      </c>
      <c r="B297" s="25" t="s">
        <v>59</v>
      </c>
      <c r="C297" s="24" t="s">
        <v>60</v>
      </c>
      <c r="D297" s="24" t="s">
        <v>1433</v>
      </c>
      <c r="E297" s="24" t="s">
        <v>1434</v>
      </c>
      <c r="F297" s="24" t="s">
        <v>1435</v>
      </c>
      <c r="G297" s="24" t="s">
        <v>1436</v>
      </c>
      <c r="H297" s="24"/>
      <c r="I297" s="25">
        <v>2.5</v>
      </c>
      <c r="J297" s="24" t="s">
        <v>881</v>
      </c>
      <c r="K297" s="24" t="s">
        <v>1437</v>
      </c>
      <c r="L297" s="24" t="s">
        <v>67</v>
      </c>
      <c r="M297" s="24" t="s">
        <v>74</v>
      </c>
      <c r="N297" s="24" t="s">
        <v>74</v>
      </c>
      <c r="O297" s="25">
        <v>0.5</v>
      </c>
      <c r="P297" s="24"/>
      <c r="Q297" s="24"/>
      <c r="R297" s="24"/>
      <c r="S297" s="24">
        <v>0.2</v>
      </c>
      <c r="T297" s="24"/>
      <c r="U297" s="24"/>
      <c r="V297" s="24">
        <v>1.8</v>
      </c>
      <c r="XDO297"/>
      <c r="XDP297"/>
      <c r="XDQ297"/>
      <c r="XDR297"/>
      <c r="XDS297"/>
    </row>
    <row r="298" s="21" customFormat="1" spans="1:16347">
      <c r="A298" s="24" t="s">
        <v>58</v>
      </c>
      <c r="B298" s="25" t="s">
        <v>59</v>
      </c>
      <c r="C298" s="24" t="s">
        <v>60</v>
      </c>
      <c r="D298" s="24" t="s">
        <v>1438</v>
      </c>
      <c r="E298" s="24" t="s">
        <v>1439</v>
      </c>
      <c r="F298" s="24" t="s">
        <v>1440</v>
      </c>
      <c r="G298" s="24" t="s">
        <v>1441</v>
      </c>
      <c r="H298" s="24"/>
      <c r="I298" s="25">
        <v>4.8</v>
      </c>
      <c r="J298" s="24" t="s">
        <v>65</v>
      </c>
      <c r="K298" s="24" t="s">
        <v>1442</v>
      </c>
      <c r="L298" s="24" t="s">
        <v>67</v>
      </c>
      <c r="M298" s="24" t="s">
        <v>164</v>
      </c>
      <c r="N298" s="24" t="s">
        <v>164</v>
      </c>
      <c r="O298" s="25">
        <v>2</v>
      </c>
      <c r="P298" s="24"/>
      <c r="Q298" s="24"/>
      <c r="R298" s="24"/>
      <c r="S298" s="24"/>
      <c r="T298" s="24"/>
      <c r="U298" s="24"/>
      <c r="V298" s="24">
        <v>2.8</v>
      </c>
      <c r="XDO298"/>
      <c r="XDP298"/>
      <c r="XDQ298"/>
      <c r="XDR298"/>
      <c r="XDS298"/>
    </row>
    <row r="299" s="21" customFormat="1" spans="1:16347">
      <c r="A299" s="24" t="s">
        <v>58</v>
      </c>
      <c r="B299" s="25" t="s">
        <v>59</v>
      </c>
      <c r="C299" s="24" t="s">
        <v>60</v>
      </c>
      <c r="D299" s="24" t="s">
        <v>1443</v>
      </c>
      <c r="E299" s="24" t="s">
        <v>1444</v>
      </c>
      <c r="F299" s="24" t="s">
        <v>1445</v>
      </c>
      <c r="G299" s="24" t="s">
        <v>1441</v>
      </c>
      <c r="H299" s="24"/>
      <c r="I299" s="25">
        <v>4.5</v>
      </c>
      <c r="J299" s="24" t="s">
        <v>65</v>
      </c>
      <c r="K299" s="24" t="s">
        <v>1446</v>
      </c>
      <c r="L299" s="24" t="s">
        <v>67</v>
      </c>
      <c r="M299" s="24" t="s">
        <v>652</v>
      </c>
      <c r="N299" s="24" t="s">
        <v>652</v>
      </c>
      <c r="O299" s="25">
        <v>1.4</v>
      </c>
      <c r="P299" s="24"/>
      <c r="Q299" s="24"/>
      <c r="R299" s="24"/>
      <c r="S299" s="24">
        <v>0.5</v>
      </c>
      <c r="T299" s="24"/>
      <c r="U299" s="24"/>
      <c r="V299" s="24">
        <v>2.6</v>
      </c>
      <c r="XDO299"/>
      <c r="XDP299"/>
      <c r="XDQ299"/>
      <c r="XDR299"/>
      <c r="XDS299"/>
    </row>
    <row r="300" s="21" customFormat="1" spans="1:16347">
      <c r="A300" s="24" t="s">
        <v>58</v>
      </c>
      <c r="B300" s="25" t="s">
        <v>59</v>
      </c>
      <c r="C300" s="24" t="s">
        <v>60</v>
      </c>
      <c r="D300" s="24" t="s">
        <v>1447</v>
      </c>
      <c r="E300" s="24" t="s">
        <v>1448</v>
      </c>
      <c r="F300" s="24" t="s">
        <v>1449</v>
      </c>
      <c r="G300" s="24" t="s">
        <v>1436</v>
      </c>
      <c r="H300" s="24"/>
      <c r="I300" s="25">
        <v>3.6</v>
      </c>
      <c r="J300" s="24" t="s">
        <v>65</v>
      </c>
      <c r="K300" s="24" t="s">
        <v>1450</v>
      </c>
      <c r="L300" s="24" t="s">
        <v>67</v>
      </c>
      <c r="M300" s="24" t="s">
        <v>189</v>
      </c>
      <c r="N300" s="24" t="s">
        <v>189</v>
      </c>
      <c r="O300" s="25">
        <v>0.7</v>
      </c>
      <c r="P300" s="24"/>
      <c r="Q300" s="24"/>
      <c r="R300" s="24"/>
      <c r="S300" s="24">
        <v>0.5</v>
      </c>
      <c r="T300" s="24"/>
      <c r="U300" s="24"/>
      <c r="V300" s="24">
        <v>2.4</v>
      </c>
      <c r="XDO300"/>
      <c r="XDP300"/>
      <c r="XDQ300"/>
      <c r="XDR300"/>
      <c r="XDS300"/>
    </row>
    <row r="301" s="21" customFormat="1" spans="1:16347">
      <c r="A301" s="24" t="s">
        <v>58</v>
      </c>
      <c r="B301" s="25" t="s">
        <v>59</v>
      </c>
      <c r="C301" s="24" t="s">
        <v>60</v>
      </c>
      <c r="D301" s="24" t="s">
        <v>1451</v>
      </c>
      <c r="E301" s="24" t="s">
        <v>1452</v>
      </c>
      <c r="F301" s="24" t="s">
        <v>1453</v>
      </c>
      <c r="G301" s="24" t="s">
        <v>1454</v>
      </c>
      <c r="H301" s="24"/>
      <c r="I301" s="25">
        <v>2.5</v>
      </c>
      <c r="J301" s="24" t="s">
        <v>881</v>
      </c>
      <c r="K301" s="24" t="s">
        <v>1455</v>
      </c>
      <c r="L301" s="24" t="s">
        <v>67</v>
      </c>
      <c r="M301" s="24" t="s">
        <v>74</v>
      </c>
      <c r="N301" s="24" t="s">
        <v>74</v>
      </c>
      <c r="O301" s="25">
        <v>0.5</v>
      </c>
      <c r="P301" s="24"/>
      <c r="Q301" s="24"/>
      <c r="R301" s="24"/>
      <c r="S301" s="24">
        <v>0.2</v>
      </c>
      <c r="T301" s="24"/>
      <c r="U301" s="24"/>
      <c r="V301" s="24">
        <v>1.8</v>
      </c>
      <c r="XDO301"/>
      <c r="XDP301"/>
      <c r="XDQ301"/>
      <c r="XDR301"/>
      <c r="XDS301"/>
    </row>
    <row r="302" s="21" customFormat="1" spans="1:16347">
      <c r="A302" s="24" t="s">
        <v>58</v>
      </c>
      <c r="B302" s="25" t="s">
        <v>59</v>
      </c>
      <c r="C302" s="24" t="s">
        <v>60</v>
      </c>
      <c r="D302" s="24" t="s">
        <v>1456</v>
      </c>
      <c r="E302" s="24" t="s">
        <v>1457</v>
      </c>
      <c r="F302" s="24" t="s">
        <v>1458</v>
      </c>
      <c r="G302" s="24" t="s">
        <v>1454</v>
      </c>
      <c r="H302" s="24"/>
      <c r="I302" s="25">
        <v>4.8</v>
      </c>
      <c r="J302" s="24" t="s">
        <v>65</v>
      </c>
      <c r="K302" s="24" t="s">
        <v>1459</v>
      </c>
      <c r="L302" s="24" t="s">
        <v>67</v>
      </c>
      <c r="M302" s="24" t="s">
        <v>164</v>
      </c>
      <c r="N302" s="24" t="s">
        <v>164</v>
      </c>
      <c r="O302" s="25">
        <v>2</v>
      </c>
      <c r="P302" s="24"/>
      <c r="Q302" s="24"/>
      <c r="R302" s="24"/>
      <c r="S302" s="24"/>
      <c r="T302" s="24"/>
      <c r="U302" s="24"/>
      <c r="V302" s="24">
        <v>2.8</v>
      </c>
      <c r="XDO302"/>
      <c r="XDP302"/>
      <c r="XDQ302"/>
      <c r="XDR302"/>
      <c r="XDS302"/>
    </row>
    <row r="303" s="21" customFormat="1" spans="1:16347">
      <c r="A303" s="24" t="s">
        <v>58</v>
      </c>
      <c r="B303" s="25" t="s">
        <v>59</v>
      </c>
      <c r="C303" s="24" t="s">
        <v>60</v>
      </c>
      <c r="D303" s="24" t="s">
        <v>1460</v>
      </c>
      <c r="E303" s="24" t="s">
        <v>1461</v>
      </c>
      <c r="F303" s="24" t="s">
        <v>1462</v>
      </c>
      <c r="G303" s="24" t="s">
        <v>1463</v>
      </c>
      <c r="H303" s="24"/>
      <c r="I303" s="25">
        <v>3</v>
      </c>
      <c r="J303" s="24" t="s">
        <v>65</v>
      </c>
      <c r="K303" s="24" t="s">
        <v>1464</v>
      </c>
      <c r="L303" s="24" t="s">
        <v>67</v>
      </c>
      <c r="M303" s="24" t="s">
        <v>672</v>
      </c>
      <c r="N303" s="24" t="s">
        <v>672</v>
      </c>
      <c r="O303" s="25">
        <v>0.5</v>
      </c>
      <c r="P303" s="24"/>
      <c r="Q303" s="24"/>
      <c r="R303" s="24"/>
      <c r="S303" s="24">
        <v>0.2</v>
      </c>
      <c r="T303" s="24"/>
      <c r="U303" s="24"/>
      <c r="V303" s="24">
        <v>2.3</v>
      </c>
      <c r="XDO303"/>
      <c r="XDP303"/>
      <c r="XDQ303"/>
      <c r="XDR303"/>
      <c r="XDS303"/>
    </row>
    <row r="304" s="21" customFormat="1" spans="1:16347">
      <c r="A304" s="24" t="s">
        <v>58</v>
      </c>
      <c r="B304" s="25" t="s">
        <v>59</v>
      </c>
      <c r="C304" s="24" t="s">
        <v>60</v>
      </c>
      <c r="D304" s="24" t="s">
        <v>1465</v>
      </c>
      <c r="E304" s="24" t="s">
        <v>1466</v>
      </c>
      <c r="F304" s="24" t="s">
        <v>1467</v>
      </c>
      <c r="G304" s="24" t="s">
        <v>1468</v>
      </c>
      <c r="H304" s="24"/>
      <c r="I304" s="25">
        <v>3.6</v>
      </c>
      <c r="J304" s="24" t="s">
        <v>65</v>
      </c>
      <c r="K304" s="24" t="s">
        <v>1469</v>
      </c>
      <c r="L304" s="24" t="s">
        <v>67</v>
      </c>
      <c r="M304" s="24" t="s">
        <v>382</v>
      </c>
      <c r="N304" s="24" t="s">
        <v>382</v>
      </c>
      <c r="O304" s="25">
        <v>0.7</v>
      </c>
      <c r="P304" s="24"/>
      <c r="Q304" s="24"/>
      <c r="R304" s="24"/>
      <c r="S304" s="24">
        <v>0.5</v>
      </c>
      <c r="T304" s="24"/>
      <c r="U304" s="24"/>
      <c r="V304" s="24">
        <v>2.4</v>
      </c>
      <c r="XDO304"/>
      <c r="XDP304"/>
      <c r="XDQ304"/>
      <c r="XDR304"/>
      <c r="XDS304"/>
    </row>
    <row r="305" s="21" customFormat="1" spans="1:16347">
      <c r="A305" s="24" t="s">
        <v>58</v>
      </c>
      <c r="B305" s="25" t="s">
        <v>59</v>
      </c>
      <c r="C305" s="24" t="s">
        <v>60</v>
      </c>
      <c r="D305" s="24" t="s">
        <v>1470</v>
      </c>
      <c r="E305" s="24" t="s">
        <v>1471</v>
      </c>
      <c r="F305" s="24" t="s">
        <v>1472</v>
      </c>
      <c r="G305" s="24" t="s">
        <v>1473</v>
      </c>
      <c r="H305" s="24"/>
      <c r="I305" s="25">
        <v>3.1</v>
      </c>
      <c r="J305" s="24" t="s">
        <v>65</v>
      </c>
      <c r="K305" s="24" t="s">
        <v>1474</v>
      </c>
      <c r="L305" s="24" t="s">
        <v>67</v>
      </c>
      <c r="M305" s="24" t="s">
        <v>1087</v>
      </c>
      <c r="N305" s="24" t="s">
        <v>1087</v>
      </c>
      <c r="O305" s="25">
        <v>0.7</v>
      </c>
      <c r="P305" s="24"/>
      <c r="Q305" s="24"/>
      <c r="R305" s="24"/>
      <c r="S305" s="24"/>
      <c r="T305" s="24"/>
      <c r="U305" s="24"/>
      <c r="V305" s="24">
        <v>2.4</v>
      </c>
      <c r="XDO305"/>
      <c r="XDP305"/>
      <c r="XDQ305"/>
      <c r="XDR305"/>
      <c r="XDS305"/>
    </row>
    <row r="306" s="21" customFormat="1" spans="1:16347">
      <c r="A306" s="24" t="s">
        <v>58</v>
      </c>
      <c r="B306" s="25" t="s">
        <v>59</v>
      </c>
      <c r="C306" s="24" t="s">
        <v>60</v>
      </c>
      <c r="D306" s="24" t="s">
        <v>1475</v>
      </c>
      <c r="E306" s="24" t="s">
        <v>1476</v>
      </c>
      <c r="F306" s="24" t="s">
        <v>1477</v>
      </c>
      <c r="G306" s="24" t="s">
        <v>1468</v>
      </c>
      <c r="H306" s="24"/>
      <c r="I306" s="25">
        <v>4.8</v>
      </c>
      <c r="J306" s="24" t="s">
        <v>65</v>
      </c>
      <c r="K306" s="24" t="s">
        <v>1478</v>
      </c>
      <c r="L306" s="24" t="s">
        <v>67</v>
      </c>
      <c r="M306" s="24" t="s">
        <v>164</v>
      </c>
      <c r="N306" s="24" t="s">
        <v>164</v>
      </c>
      <c r="O306" s="25">
        <v>2</v>
      </c>
      <c r="P306" s="24"/>
      <c r="Q306" s="24"/>
      <c r="R306" s="24"/>
      <c r="S306" s="24"/>
      <c r="T306" s="24"/>
      <c r="U306" s="24"/>
      <c r="V306" s="24">
        <v>2.8</v>
      </c>
      <c r="XDO306"/>
      <c r="XDP306"/>
      <c r="XDQ306"/>
      <c r="XDR306"/>
      <c r="XDS306"/>
    </row>
    <row r="307" s="21" customFormat="1" spans="1:16347">
      <c r="A307" s="24" t="s">
        <v>58</v>
      </c>
      <c r="B307" s="25" t="s">
        <v>59</v>
      </c>
      <c r="C307" s="24" t="s">
        <v>60</v>
      </c>
      <c r="D307" s="24" t="s">
        <v>1479</v>
      </c>
      <c r="E307" s="24" t="s">
        <v>1480</v>
      </c>
      <c r="F307" s="24" t="s">
        <v>1481</v>
      </c>
      <c r="G307" s="24" t="s">
        <v>1468</v>
      </c>
      <c r="H307" s="24"/>
      <c r="I307" s="25">
        <v>5</v>
      </c>
      <c r="J307" s="24" t="s">
        <v>65</v>
      </c>
      <c r="K307" s="24" t="s">
        <v>1482</v>
      </c>
      <c r="L307" s="24" t="s">
        <v>67</v>
      </c>
      <c r="M307" s="24" t="s">
        <v>1483</v>
      </c>
      <c r="N307" s="24" t="s">
        <v>1483</v>
      </c>
      <c r="O307" s="25">
        <v>1.4</v>
      </c>
      <c r="P307" s="24"/>
      <c r="Q307" s="24"/>
      <c r="R307" s="24"/>
      <c r="S307" s="24">
        <v>1</v>
      </c>
      <c r="T307" s="24"/>
      <c r="U307" s="24"/>
      <c r="V307" s="24">
        <v>2.6</v>
      </c>
      <c r="XDO307"/>
      <c r="XDP307"/>
      <c r="XDQ307"/>
      <c r="XDR307"/>
      <c r="XDS307"/>
    </row>
    <row r="308" s="21" customFormat="1" spans="1:16347">
      <c r="A308" s="24" t="s">
        <v>58</v>
      </c>
      <c r="B308" s="25" t="s">
        <v>59</v>
      </c>
      <c r="C308" s="24" t="s">
        <v>60</v>
      </c>
      <c r="D308" s="24" t="s">
        <v>1484</v>
      </c>
      <c r="E308" s="24" t="s">
        <v>1485</v>
      </c>
      <c r="F308" s="24" t="s">
        <v>1486</v>
      </c>
      <c r="G308" s="24" t="s">
        <v>1473</v>
      </c>
      <c r="H308" s="24"/>
      <c r="I308" s="25">
        <v>3.6</v>
      </c>
      <c r="J308" s="24" t="s">
        <v>65</v>
      </c>
      <c r="K308" s="24" t="s">
        <v>1487</v>
      </c>
      <c r="L308" s="24" t="s">
        <v>67</v>
      </c>
      <c r="M308" s="24" t="s">
        <v>189</v>
      </c>
      <c r="N308" s="24" t="s">
        <v>189</v>
      </c>
      <c r="O308" s="25">
        <v>0.7</v>
      </c>
      <c r="P308" s="24"/>
      <c r="Q308" s="24"/>
      <c r="R308" s="24"/>
      <c r="S308" s="24">
        <v>0.5</v>
      </c>
      <c r="T308" s="24"/>
      <c r="U308" s="24"/>
      <c r="V308" s="24">
        <v>2.4</v>
      </c>
      <c r="XDO308"/>
      <c r="XDP308"/>
      <c r="XDQ308"/>
      <c r="XDR308"/>
      <c r="XDS308"/>
    </row>
    <row r="309" s="21" customFormat="1" spans="1:16347">
      <c r="A309" s="24" t="s">
        <v>58</v>
      </c>
      <c r="B309" s="25" t="s">
        <v>59</v>
      </c>
      <c r="C309" s="24" t="s">
        <v>60</v>
      </c>
      <c r="D309" s="24" t="s">
        <v>1488</v>
      </c>
      <c r="E309" s="24" t="s">
        <v>1489</v>
      </c>
      <c r="F309" s="24" t="s">
        <v>1490</v>
      </c>
      <c r="G309" s="24" t="s">
        <v>1491</v>
      </c>
      <c r="H309" s="24"/>
      <c r="I309" s="25">
        <v>4.8</v>
      </c>
      <c r="J309" s="24" t="s">
        <v>65</v>
      </c>
      <c r="K309" s="24" t="s">
        <v>1492</v>
      </c>
      <c r="L309" s="24" t="s">
        <v>1493</v>
      </c>
      <c r="M309" s="24" t="s">
        <v>164</v>
      </c>
      <c r="N309" s="24" t="s">
        <v>164</v>
      </c>
      <c r="O309" s="25">
        <v>2</v>
      </c>
      <c r="P309" s="24"/>
      <c r="Q309" s="24"/>
      <c r="R309" s="24"/>
      <c r="S309" s="24"/>
      <c r="T309" s="24"/>
      <c r="U309" s="24"/>
      <c r="V309" s="24">
        <v>2.8</v>
      </c>
      <c r="XDO309"/>
      <c r="XDP309"/>
      <c r="XDQ309"/>
      <c r="XDR309"/>
      <c r="XDS309"/>
    </row>
    <row r="310" s="21" customFormat="1" spans="1:16347">
      <c r="A310" s="24" t="s">
        <v>58</v>
      </c>
      <c r="B310" s="25" t="s">
        <v>59</v>
      </c>
      <c r="C310" s="24" t="s">
        <v>60</v>
      </c>
      <c r="D310" s="24" t="s">
        <v>1494</v>
      </c>
      <c r="E310" s="24" t="s">
        <v>1495</v>
      </c>
      <c r="F310" s="24" t="s">
        <v>1496</v>
      </c>
      <c r="G310" s="24" t="s">
        <v>1497</v>
      </c>
      <c r="H310" s="24"/>
      <c r="I310" s="25">
        <v>2.5</v>
      </c>
      <c r="J310" s="24" t="s">
        <v>881</v>
      </c>
      <c r="K310" s="24" t="s">
        <v>1498</v>
      </c>
      <c r="L310" s="24" t="s">
        <v>67</v>
      </c>
      <c r="M310" s="24" t="s">
        <v>74</v>
      </c>
      <c r="N310" s="24" t="s">
        <v>74</v>
      </c>
      <c r="O310" s="25">
        <v>0.5</v>
      </c>
      <c r="P310" s="24"/>
      <c r="Q310" s="24"/>
      <c r="R310" s="24"/>
      <c r="S310" s="24">
        <v>0.2</v>
      </c>
      <c r="T310" s="24"/>
      <c r="U310" s="24"/>
      <c r="V310" s="24">
        <v>1.8</v>
      </c>
      <c r="XDO310"/>
      <c r="XDP310"/>
      <c r="XDQ310"/>
      <c r="XDR310"/>
      <c r="XDS310"/>
    </row>
    <row r="311" s="21" customFormat="1" spans="1:16347">
      <c r="A311" s="24" t="s">
        <v>58</v>
      </c>
      <c r="B311" s="25" t="s">
        <v>59</v>
      </c>
      <c r="C311" s="24" t="s">
        <v>60</v>
      </c>
      <c r="D311" s="24" t="s">
        <v>1499</v>
      </c>
      <c r="E311" s="24" t="s">
        <v>1500</v>
      </c>
      <c r="F311" s="24" t="s">
        <v>1501</v>
      </c>
      <c r="G311" s="24" t="s">
        <v>1497</v>
      </c>
      <c r="H311" s="24"/>
      <c r="I311" s="25">
        <v>3</v>
      </c>
      <c r="J311" s="24" t="s">
        <v>65</v>
      </c>
      <c r="K311" s="24" t="s">
        <v>1502</v>
      </c>
      <c r="L311" s="24" t="s">
        <v>67</v>
      </c>
      <c r="M311" s="24" t="s">
        <v>672</v>
      </c>
      <c r="N311" s="24" t="s">
        <v>672</v>
      </c>
      <c r="O311" s="25">
        <v>0.5</v>
      </c>
      <c r="P311" s="24"/>
      <c r="Q311" s="24"/>
      <c r="R311" s="24"/>
      <c r="S311" s="24">
        <v>0.2</v>
      </c>
      <c r="T311" s="24"/>
      <c r="U311" s="24"/>
      <c r="V311" s="24">
        <v>2.3</v>
      </c>
      <c r="XDO311"/>
      <c r="XDP311"/>
      <c r="XDQ311"/>
      <c r="XDR311"/>
      <c r="XDS311"/>
    </row>
    <row r="312" s="21" customFormat="1" spans="1:16347">
      <c r="A312" s="24" t="s">
        <v>58</v>
      </c>
      <c r="B312" s="25" t="s">
        <v>59</v>
      </c>
      <c r="C312" s="24" t="s">
        <v>60</v>
      </c>
      <c r="D312" s="24" t="s">
        <v>1503</v>
      </c>
      <c r="E312" s="24" t="s">
        <v>1504</v>
      </c>
      <c r="F312" s="24" t="s">
        <v>1505</v>
      </c>
      <c r="G312" s="24" t="s">
        <v>1497</v>
      </c>
      <c r="H312" s="24"/>
      <c r="I312" s="25">
        <v>3</v>
      </c>
      <c r="J312" s="24" t="s">
        <v>65</v>
      </c>
      <c r="K312" s="24" t="s">
        <v>1506</v>
      </c>
      <c r="L312" s="24" t="s">
        <v>67</v>
      </c>
      <c r="M312" s="24" t="s">
        <v>672</v>
      </c>
      <c r="N312" s="24" t="s">
        <v>672</v>
      </c>
      <c r="O312" s="25">
        <v>0.5</v>
      </c>
      <c r="P312" s="24"/>
      <c r="Q312" s="24"/>
      <c r="R312" s="24"/>
      <c r="S312" s="24">
        <v>0.2</v>
      </c>
      <c r="T312" s="24"/>
      <c r="U312" s="24"/>
      <c r="V312" s="24">
        <v>2.3</v>
      </c>
      <c r="XDO312"/>
      <c r="XDP312"/>
      <c r="XDQ312"/>
      <c r="XDR312"/>
      <c r="XDS312"/>
    </row>
    <row r="313" s="21" customFormat="1" spans="1:16347">
      <c r="A313" s="24" t="s">
        <v>58</v>
      </c>
      <c r="B313" s="25" t="s">
        <v>59</v>
      </c>
      <c r="C313" s="24" t="s">
        <v>60</v>
      </c>
      <c r="D313" s="24" t="s">
        <v>1507</v>
      </c>
      <c r="E313" s="24" t="s">
        <v>1508</v>
      </c>
      <c r="F313" s="24" t="s">
        <v>1509</v>
      </c>
      <c r="G313" s="24" t="s">
        <v>1510</v>
      </c>
      <c r="H313" s="24"/>
      <c r="I313" s="25">
        <v>3.5</v>
      </c>
      <c r="J313" s="24" t="s">
        <v>65</v>
      </c>
      <c r="K313" s="24" t="s">
        <v>1511</v>
      </c>
      <c r="L313" s="24" t="s">
        <v>67</v>
      </c>
      <c r="M313" s="24" t="s">
        <v>79</v>
      </c>
      <c r="N313" s="24" t="s">
        <v>79</v>
      </c>
      <c r="O313" s="25">
        <v>0.7</v>
      </c>
      <c r="P313" s="24"/>
      <c r="Q313" s="24"/>
      <c r="R313" s="24"/>
      <c r="S313" s="24">
        <v>0.5</v>
      </c>
      <c r="T313" s="24"/>
      <c r="U313" s="24"/>
      <c r="V313" s="24">
        <v>2.3</v>
      </c>
      <c r="XDO313"/>
      <c r="XDP313"/>
      <c r="XDQ313"/>
      <c r="XDR313"/>
      <c r="XDS313"/>
    </row>
    <row r="314" s="21" customFormat="1" spans="1:16347">
      <c r="A314" s="24" t="s">
        <v>58</v>
      </c>
      <c r="B314" s="25" t="s">
        <v>59</v>
      </c>
      <c r="C314" s="24" t="s">
        <v>60</v>
      </c>
      <c r="D314" s="24" t="s">
        <v>1512</v>
      </c>
      <c r="E314" s="24" t="s">
        <v>1513</v>
      </c>
      <c r="F314" s="24" t="s">
        <v>1514</v>
      </c>
      <c r="G314" s="24" t="s">
        <v>1515</v>
      </c>
      <c r="H314" s="24"/>
      <c r="I314" s="25">
        <v>3</v>
      </c>
      <c r="J314" s="24" t="s">
        <v>65</v>
      </c>
      <c r="K314" s="24" t="s">
        <v>1516</v>
      </c>
      <c r="L314" s="24" t="s">
        <v>67</v>
      </c>
      <c r="M314" s="24" t="s">
        <v>672</v>
      </c>
      <c r="N314" s="24" t="s">
        <v>672</v>
      </c>
      <c r="O314" s="25">
        <v>0.5</v>
      </c>
      <c r="P314" s="24"/>
      <c r="Q314" s="24"/>
      <c r="R314" s="24"/>
      <c r="S314" s="24">
        <v>0.2</v>
      </c>
      <c r="T314" s="24"/>
      <c r="U314" s="24"/>
      <c r="V314" s="24">
        <v>2.3</v>
      </c>
      <c r="XDO314"/>
      <c r="XDP314"/>
      <c r="XDQ314"/>
      <c r="XDR314"/>
      <c r="XDS314"/>
    </row>
    <row r="315" s="21" customFormat="1" spans="1:16347">
      <c r="A315" s="24" t="s">
        <v>58</v>
      </c>
      <c r="B315" s="25" t="s">
        <v>59</v>
      </c>
      <c r="C315" s="24" t="s">
        <v>60</v>
      </c>
      <c r="D315" s="24" t="s">
        <v>1517</v>
      </c>
      <c r="E315" s="24" t="s">
        <v>1518</v>
      </c>
      <c r="F315" s="24" t="s">
        <v>1519</v>
      </c>
      <c r="G315" s="24" t="s">
        <v>1515</v>
      </c>
      <c r="H315" s="24"/>
      <c r="I315" s="25">
        <v>3.4</v>
      </c>
      <c r="J315" s="24" t="s">
        <v>65</v>
      </c>
      <c r="K315" s="24" t="s">
        <v>1520</v>
      </c>
      <c r="L315" s="24" t="s">
        <v>67</v>
      </c>
      <c r="M315" s="24" t="s">
        <v>200</v>
      </c>
      <c r="N315" s="24" t="s">
        <v>200</v>
      </c>
      <c r="O315" s="25">
        <v>0.7</v>
      </c>
      <c r="P315" s="24"/>
      <c r="Q315" s="24"/>
      <c r="R315" s="24"/>
      <c r="S315" s="24">
        <v>0.3</v>
      </c>
      <c r="T315" s="24"/>
      <c r="U315" s="24"/>
      <c r="V315" s="24">
        <v>2.4</v>
      </c>
      <c r="XDO315"/>
      <c r="XDP315"/>
      <c r="XDQ315"/>
      <c r="XDR315"/>
      <c r="XDS315"/>
    </row>
    <row r="316" s="21" customFormat="1" spans="1:16347">
      <c r="A316" s="24" t="s">
        <v>58</v>
      </c>
      <c r="B316" s="25" t="s">
        <v>59</v>
      </c>
      <c r="C316" s="24" t="s">
        <v>60</v>
      </c>
      <c r="D316" s="24" t="s">
        <v>1521</v>
      </c>
      <c r="E316" s="24" t="s">
        <v>1522</v>
      </c>
      <c r="F316" s="24" t="s">
        <v>1523</v>
      </c>
      <c r="G316" s="24" t="s">
        <v>1524</v>
      </c>
      <c r="H316" s="24"/>
      <c r="I316" s="25">
        <v>3.4</v>
      </c>
      <c r="J316" s="24" t="s">
        <v>65</v>
      </c>
      <c r="K316" s="24" t="s">
        <v>1525</v>
      </c>
      <c r="L316" s="24" t="s">
        <v>67</v>
      </c>
      <c r="M316" s="24" t="s">
        <v>200</v>
      </c>
      <c r="N316" s="24" t="s">
        <v>200</v>
      </c>
      <c r="O316" s="25">
        <v>0.7</v>
      </c>
      <c r="P316" s="24"/>
      <c r="Q316" s="24"/>
      <c r="R316" s="24"/>
      <c r="S316" s="24">
        <v>0.3</v>
      </c>
      <c r="T316" s="24"/>
      <c r="U316" s="24"/>
      <c r="V316" s="24">
        <v>2.4</v>
      </c>
      <c r="XDO316"/>
      <c r="XDP316"/>
      <c r="XDQ316"/>
      <c r="XDR316"/>
      <c r="XDS316"/>
    </row>
    <row r="317" s="21" customFormat="1" spans="1:16347">
      <c r="A317" s="24" t="s">
        <v>58</v>
      </c>
      <c r="B317" s="25" t="s">
        <v>59</v>
      </c>
      <c r="C317" s="24" t="s">
        <v>60</v>
      </c>
      <c r="D317" s="24" t="s">
        <v>1526</v>
      </c>
      <c r="E317" s="24" t="s">
        <v>1527</v>
      </c>
      <c r="F317" s="24" t="s">
        <v>1528</v>
      </c>
      <c r="G317" s="24" t="s">
        <v>1524</v>
      </c>
      <c r="H317" s="24"/>
      <c r="I317" s="25">
        <v>3</v>
      </c>
      <c r="J317" s="24" t="s">
        <v>65</v>
      </c>
      <c r="K317" s="24" t="s">
        <v>1529</v>
      </c>
      <c r="L317" s="24" t="s">
        <v>67</v>
      </c>
      <c r="M317" s="24" t="s">
        <v>672</v>
      </c>
      <c r="N317" s="24" t="s">
        <v>672</v>
      </c>
      <c r="O317" s="25">
        <v>0.5</v>
      </c>
      <c r="P317" s="24"/>
      <c r="Q317" s="24"/>
      <c r="R317" s="24"/>
      <c r="S317" s="24">
        <v>0.2</v>
      </c>
      <c r="T317" s="24"/>
      <c r="U317" s="24"/>
      <c r="V317" s="24">
        <v>2.3</v>
      </c>
      <c r="XDO317"/>
      <c r="XDP317"/>
      <c r="XDQ317"/>
      <c r="XDR317"/>
      <c r="XDS317"/>
    </row>
    <row r="318" s="21" customFormat="1" spans="1:16347">
      <c r="A318" s="24" t="s">
        <v>58</v>
      </c>
      <c r="B318" s="25" t="s">
        <v>59</v>
      </c>
      <c r="C318" s="24" t="s">
        <v>60</v>
      </c>
      <c r="D318" s="24" t="s">
        <v>1530</v>
      </c>
      <c r="E318" s="24" t="s">
        <v>1531</v>
      </c>
      <c r="F318" s="24" t="s">
        <v>1532</v>
      </c>
      <c r="G318" s="24" t="s">
        <v>1533</v>
      </c>
      <c r="H318" s="24"/>
      <c r="I318" s="25">
        <v>3</v>
      </c>
      <c r="J318" s="24" t="s">
        <v>65</v>
      </c>
      <c r="K318" s="24" t="s">
        <v>1534</v>
      </c>
      <c r="L318" s="24" t="s">
        <v>67</v>
      </c>
      <c r="M318" s="24" t="s">
        <v>672</v>
      </c>
      <c r="N318" s="24" t="s">
        <v>672</v>
      </c>
      <c r="O318" s="25">
        <v>0.5</v>
      </c>
      <c r="P318" s="24"/>
      <c r="Q318" s="24"/>
      <c r="R318" s="24"/>
      <c r="S318" s="24">
        <v>0.2</v>
      </c>
      <c r="T318" s="24"/>
      <c r="U318" s="24"/>
      <c r="V318" s="24">
        <v>2.3</v>
      </c>
      <c r="XDO318"/>
      <c r="XDP318"/>
      <c r="XDQ318"/>
      <c r="XDR318"/>
      <c r="XDS318"/>
    </row>
    <row r="319" s="21" customFormat="1" spans="1:16347">
      <c r="A319" s="24" t="s">
        <v>58</v>
      </c>
      <c r="B319" s="25" t="s">
        <v>59</v>
      </c>
      <c r="C319" s="24" t="s">
        <v>60</v>
      </c>
      <c r="D319" s="24" t="s">
        <v>1535</v>
      </c>
      <c r="E319" s="24" t="s">
        <v>1536</v>
      </c>
      <c r="F319" s="24" t="s">
        <v>1537</v>
      </c>
      <c r="G319" s="24" t="s">
        <v>1533</v>
      </c>
      <c r="H319" s="24"/>
      <c r="I319" s="25">
        <v>3.6</v>
      </c>
      <c r="J319" s="24" t="s">
        <v>65</v>
      </c>
      <c r="K319" s="24" t="s">
        <v>1538</v>
      </c>
      <c r="L319" s="24" t="s">
        <v>67</v>
      </c>
      <c r="M319" s="24" t="s">
        <v>1539</v>
      </c>
      <c r="N319" s="24" t="s">
        <v>1539</v>
      </c>
      <c r="O319" s="25">
        <v>0.7</v>
      </c>
      <c r="P319" s="24"/>
      <c r="Q319" s="24"/>
      <c r="R319" s="24"/>
      <c r="S319" s="24">
        <v>0.5</v>
      </c>
      <c r="T319" s="24"/>
      <c r="U319" s="24"/>
      <c r="V319" s="24">
        <v>2.4</v>
      </c>
      <c r="XDO319"/>
      <c r="XDP319"/>
      <c r="XDQ319"/>
      <c r="XDR319"/>
      <c r="XDS319"/>
    </row>
    <row r="320" s="21" customFormat="1" spans="1:16347">
      <c r="A320" s="24" t="s">
        <v>58</v>
      </c>
      <c r="B320" s="25" t="s">
        <v>59</v>
      </c>
      <c r="C320" s="24" t="s">
        <v>60</v>
      </c>
      <c r="D320" s="24" t="s">
        <v>1540</v>
      </c>
      <c r="E320" s="24" t="s">
        <v>1541</v>
      </c>
      <c r="F320" s="24" t="s">
        <v>1542</v>
      </c>
      <c r="G320" s="24" t="s">
        <v>1533</v>
      </c>
      <c r="H320" s="24"/>
      <c r="I320" s="25">
        <v>3.6</v>
      </c>
      <c r="J320" s="24" t="s">
        <v>65</v>
      </c>
      <c r="K320" s="24" t="s">
        <v>1543</v>
      </c>
      <c r="L320" s="24" t="s">
        <v>67</v>
      </c>
      <c r="M320" s="24" t="s">
        <v>179</v>
      </c>
      <c r="N320" s="24" t="s">
        <v>179</v>
      </c>
      <c r="O320" s="25">
        <v>0.7</v>
      </c>
      <c r="P320" s="24"/>
      <c r="Q320" s="24"/>
      <c r="R320" s="24"/>
      <c r="S320" s="24">
        <v>0.5</v>
      </c>
      <c r="T320" s="24"/>
      <c r="U320" s="24"/>
      <c r="V320" s="24">
        <v>2.4</v>
      </c>
      <c r="XDO320"/>
      <c r="XDP320"/>
      <c r="XDQ320"/>
      <c r="XDR320"/>
      <c r="XDS320"/>
    </row>
    <row r="321" s="21" customFormat="1" spans="1:16347">
      <c r="A321" s="24" t="s">
        <v>58</v>
      </c>
      <c r="B321" s="25" t="s">
        <v>59</v>
      </c>
      <c r="C321" s="24" t="s">
        <v>60</v>
      </c>
      <c r="D321" s="24" t="s">
        <v>1544</v>
      </c>
      <c r="E321" s="24" t="s">
        <v>1545</v>
      </c>
      <c r="F321" s="24" t="s">
        <v>1546</v>
      </c>
      <c r="G321" s="24" t="s">
        <v>1533</v>
      </c>
      <c r="H321" s="24"/>
      <c r="I321" s="25">
        <v>3.5</v>
      </c>
      <c r="J321" s="24" t="s">
        <v>65</v>
      </c>
      <c r="K321" s="24" t="s">
        <v>1547</v>
      </c>
      <c r="L321" s="24" t="s">
        <v>67</v>
      </c>
      <c r="M321" s="24" t="s">
        <v>79</v>
      </c>
      <c r="N321" s="24" t="s">
        <v>79</v>
      </c>
      <c r="O321" s="25">
        <v>0.7</v>
      </c>
      <c r="P321" s="24"/>
      <c r="Q321" s="24"/>
      <c r="R321" s="24"/>
      <c r="S321" s="24">
        <v>0.5</v>
      </c>
      <c r="T321" s="24"/>
      <c r="U321" s="24"/>
      <c r="V321" s="24">
        <v>2.3</v>
      </c>
      <c r="XDO321"/>
      <c r="XDP321"/>
      <c r="XDQ321"/>
      <c r="XDR321"/>
      <c r="XDS321"/>
    </row>
    <row r="322" s="21" customFormat="1" spans="1:16347">
      <c r="A322" s="24" t="s">
        <v>58</v>
      </c>
      <c r="B322" s="25" t="s">
        <v>59</v>
      </c>
      <c r="C322" s="24" t="s">
        <v>60</v>
      </c>
      <c r="D322" s="24" t="s">
        <v>1548</v>
      </c>
      <c r="E322" s="24" t="s">
        <v>1549</v>
      </c>
      <c r="F322" s="24" t="s">
        <v>1550</v>
      </c>
      <c r="G322" s="24" t="s">
        <v>1515</v>
      </c>
      <c r="H322" s="24"/>
      <c r="I322" s="25">
        <v>3.1</v>
      </c>
      <c r="J322" s="24" t="s">
        <v>65</v>
      </c>
      <c r="K322" s="24" t="s">
        <v>1551</v>
      </c>
      <c r="L322" s="24" t="s">
        <v>67</v>
      </c>
      <c r="M322" s="24" t="s">
        <v>661</v>
      </c>
      <c r="N322" s="24" t="s">
        <v>661</v>
      </c>
      <c r="O322" s="25">
        <v>0.7</v>
      </c>
      <c r="P322" s="24"/>
      <c r="Q322" s="24"/>
      <c r="R322" s="24"/>
      <c r="S322" s="24"/>
      <c r="T322" s="24"/>
      <c r="U322" s="24"/>
      <c r="V322" s="24">
        <v>2.4</v>
      </c>
      <c r="XDO322"/>
      <c r="XDP322"/>
      <c r="XDQ322"/>
      <c r="XDR322"/>
      <c r="XDS322"/>
    </row>
    <row r="323" s="21" customFormat="1" spans="1:16347">
      <c r="A323" s="24" t="s">
        <v>58</v>
      </c>
      <c r="B323" s="25" t="s">
        <v>59</v>
      </c>
      <c r="C323" s="24" t="s">
        <v>60</v>
      </c>
      <c r="D323" s="24" t="s">
        <v>1552</v>
      </c>
      <c r="E323" s="24" t="s">
        <v>1553</v>
      </c>
      <c r="F323" s="24" t="s">
        <v>1554</v>
      </c>
      <c r="G323" s="24" t="s">
        <v>1555</v>
      </c>
      <c r="H323" s="24"/>
      <c r="I323" s="25">
        <v>3.6</v>
      </c>
      <c r="J323" s="24" t="s">
        <v>65</v>
      </c>
      <c r="K323" s="24" t="s">
        <v>1556</v>
      </c>
      <c r="L323" s="24" t="s">
        <v>67</v>
      </c>
      <c r="M323" s="24" t="s">
        <v>382</v>
      </c>
      <c r="N323" s="24" t="s">
        <v>382</v>
      </c>
      <c r="O323" s="25">
        <v>0.7</v>
      </c>
      <c r="P323" s="24"/>
      <c r="Q323" s="24"/>
      <c r="R323" s="24"/>
      <c r="S323" s="24">
        <v>0.5</v>
      </c>
      <c r="T323" s="24"/>
      <c r="U323" s="24"/>
      <c r="V323" s="24">
        <v>2.4</v>
      </c>
      <c r="XDO323"/>
      <c r="XDP323"/>
      <c r="XDQ323"/>
      <c r="XDR323"/>
      <c r="XDS323"/>
    </row>
    <row r="324" s="21" customFormat="1" spans="1:16347">
      <c r="A324" s="24" t="s">
        <v>58</v>
      </c>
      <c r="B324" s="25" t="s">
        <v>59</v>
      </c>
      <c r="C324" s="24" t="s">
        <v>60</v>
      </c>
      <c r="D324" s="24" t="s">
        <v>1557</v>
      </c>
      <c r="E324" s="24" t="s">
        <v>1558</v>
      </c>
      <c r="F324" s="24" t="s">
        <v>1559</v>
      </c>
      <c r="G324" s="24" t="s">
        <v>1555</v>
      </c>
      <c r="H324" s="24"/>
      <c r="I324" s="25">
        <v>3.6</v>
      </c>
      <c r="J324" s="24" t="s">
        <v>65</v>
      </c>
      <c r="K324" s="24" t="s">
        <v>1560</v>
      </c>
      <c r="L324" s="24" t="s">
        <v>67</v>
      </c>
      <c r="M324" s="24" t="s">
        <v>179</v>
      </c>
      <c r="N324" s="24" t="s">
        <v>179</v>
      </c>
      <c r="O324" s="25">
        <v>0.7</v>
      </c>
      <c r="P324" s="24"/>
      <c r="Q324" s="24"/>
      <c r="R324" s="24"/>
      <c r="S324" s="24">
        <v>0.5</v>
      </c>
      <c r="T324" s="24"/>
      <c r="U324" s="24"/>
      <c r="V324" s="24">
        <v>2.4</v>
      </c>
      <c r="XDO324"/>
      <c r="XDP324"/>
      <c r="XDQ324"/>
      <c r="XDR324"/>
      <c r="XDS324"/>
    </row>
    <row r="325" s="21" customFormat="1" spans="1:16347">
      <c r="A325" s="24" t="s">
        <v>58</v>
      </c>
      <c r="B325" s="25" t="s">
        <v>59</v>
      </c>
      <c r="C325" s="24" t="s">
        <v>60</v>
      </c>
      <c r="D325" s="24" t="s">
        <v>1561</v>
      </c>
      <c r="E325" s="24" t="s">
        <v>1562</v>
      </c>
      <c r="F325" s="24" t="s">
        <v>1563</v>
      </c>
      <c r="G325" s="24" t="s">
        <v>1555</v>
      </c>
      <c r="H325" s="24"/>
      <c r="I325" s="25">
        <v>4.3</v>
      </c>
      <c r="J325" s="24" t="s">
        <v>65</v>
      </c>
      <c r="K325" s="24" t="s">
        <v>1564</v>
      </c>
      <c r="L325" s="24" t="s">
        <v>67</v>
      </c>
      <c r="M325" s="24" t="s">
        <v>661</v>
      </c>
      <c r="N325" s="24" t="s">
        <v>661</v>
      </c>
      <c r="O325" s="25">
        <v>1.4</v>
      </c>
      <c r="P325" s="24"/>
      <c r="Q325" s="24"/>
      <c r="R325" s="24"/>
      <c r="S325" s="24">
        <v>0.5</v>
      </c>
      <c r="T325" s="24"/>
      <c r="U325" s="24"/>
      <c r="V325" s="24">
        <v>2.4</v>
      </c>
      <c r="XDO325"/>
      <c r="XDP325"/>
      <c r="XDQ325"/>
      <c r="XDR325"/>
      <c r="XDS325"/>
    </row>
    <row r="326" s="21" customFormat="1" spans="1:16347">
      <c r="A326" s="24" t="s">
        <v>58</v>
      </c>
      <c r="B326" s="25" t="s">
        <v>59</v>
      </c>
      <c r="C326" s="24" t="s">
        <v>60</v>
      </c>
      <c r="D326" s="24" t="s">
        <v>1565</v>
      </c>
      <c r="E326" s="24" t="s">
        <v>1566</v>
      </c>
      <c r="F326" s="24" t="s">
        <v>1567</v>
      </c>
      <c r="G326" s="24" t="s">
        <v>1555</v>
      </c>
      <c r="H326" s="24"/>
      <c r="I326" s="25">
        <v>2.5</v>
      </c>
      <c r="J326" s="24" t="s">
        <v>881</v>
      </c>
      <c r="K326" s="24" t="s">
        <v>1568</v>
      </c>
      <c r="L326" s="24" t="s">
        <v>67</v>
      </c>
      <c r="M326" s="24" t="s">
        <v>137</v>
      </c>
      <c r="N326" s="24" t="s">
        <v>137</v>
      </c>
      <c r="O326" s="25">
        <v>0.5</v>
      </c>
      <c r="P326" s="24"/>
      <c r="Q326" s="24"/>
      <c r="R326" s="24"/>
      <c r="S326" s="24">
        <v>0.2</v>
      </c>
      <c r="T326" s="24"/>
      <c r="U326" s="24"/>
      <c r="V326" s="24">
        <v>1.8</v>
      </c>
      <c r="XDO326"/>
      <c r="XDP326"/>
      <c r="XDQ326"/>
      <c r="XDR326"/>
      <c r="XDS326"/>
    </row>
    <row r="327" s="21" customFormat="1" spans="1:16347">
      <c r="A327" s="24" t="s">
        <v>58</v>
      </c>
      <c r="B327" s="25" t="s">
        <v>59</v>
      </c>
      <c r="C327" s="24" t="s">
        <v>60</v>
      </c>
      <c r="D327" s="24" t="s">
        <v>1569</v>
      </c>
      <c r="E327" s="24" t="s">
        <v>1570</v>
      </c>
      <c r="F327" s="24" t="s">
        <v>1571</v>
      </c>
      <c r="G327" s="24" t="s">
        <v>1572</v>
      </c>
      <c r="H327" s="24"/>
      <c r="I327" s="25">
        <v>3</v>
      </c>
      <c r="J327" s="24" t="s">
        <v>65</v>
      </c>
      <c r="K327" s="24" t="s">
        <v>1573</v>
      </c>
      <c r="L327" s="24" t="s">
        <v>67</v>
      </c>
      <c r="M327" s="24" t="s">
        <v>672</v>
      </c>
      <c r="N327" s="24" t="s">
        <v>672</v>
      </c>
      <c r="O327" s="25">
        <v>0.5</v>
      </c>
      <c r="P327" s="24"/>
      <c r="Q327" s="24"/>
      <c r="R327" s="24"/>
      <c r="S327" s="24">
        <v>0.2</v>
      </c>
      <c r="T327" s="24"/>
      <c r="U327" s="24"/>
      <c r="V327" s="24">
        <v>2.3</v>
      </c>
      <c r="XDO327"/>
      <c r="XDP327"/>
      <c r="XDQ327"/>
      <c r="XDR327"/>
      <c r="XDS327"/>
    </row>
    <row r="328" s="21" customFormat="1" spans="1:16347">
      <c r="A328" s="24" t="s">
        <v>58</v>
      </c>
      <c r="B328" s="25" t="s">
        <v>59</v>
      </c>
      <c r="C328" s="24" t="s">
        <v>60</v>
      </c>
      <c r="D328" s="24" t="s">
        <v>1574</v>
      </c>
      <c r="E328" s="24" t="s">
        <v>1575</v>
      </c>
      <c r="F328" s="24" t="s">
        <v>1576</v>
      </c>
      <c r="G328" s="24" t="s">
        <v>1577</v>
      </c>
      <c r="H328" s="24"/>
      <c r="I328" s="25">
        <v>3.4</v>
      </c>
      <c r="J328" s="24" t="s">
        <v>65</v>
      </c>
      <c r="K328" s="24" t="s">
        <v>1578</v>
      </c>
      <c r="L328" s="24" t="s">
        <v>67</v>
      </c>
      <c r="M328" s="24" t="s">
        <v>200</v>
      </c>
      <c r="N328" s="24" t="s">
        <v>200</v>
      </c>
      <c r="O328" s="25">
        <v>0.7</v>
      </c>
      <c r="P328" s="24"/>
      <c r="Q328" s="24"/>
      <c r="R328" s="24"/>
      <c r="S328" s="24">
        <v>0.3</v>
      </c>
      <c r="T328" s="24"/>
      <c r="U328" s="24"/>
      <c r="V328" s="24">
        <v>2.4</v>
      </c>
      <c r="XDO328"/>
      <c r="XDP328"/>
      <c r="XDQ328"/>
      <c r="XDR328"/>
      <c r="XDS328"/>
    </row>
    <row r="329" s="21" customFormat="1" spans="1:16347">
      <c r="A329" s="24" t="s">
        <v>58</v>
      </c>
      <c r="B329" s="25" t="s">
        <v>59</v>
      </c>
      <c r="C329" s="24" t="s">
        <v>60</v>
      </c>
      <c r="D329" s="24" t="s">
        <v>1579</v>
      </c>
      <c r="E329" s="24" t="s">
        <v>1580</v>
      </c>
      <c r="F329" s="24" t="s">
        <v>1581</v>
      </c>
      <c r="G329" s="24" t="s">
        <v>1577</v>
      </c>
      <c r="H329" s="24"/>
      <c r="I329" s="25">
        <v>4.8</v>
      </c>
      <c r="J329" s="24" t="s">
        <v>65</v>
      </c>
      <c r="K329" s="24" t="s">
        <v>1582</v>
      </c>
      <c r="L329" s="24" t="s">
        <v>67</v>
      </c>
      <c r="M329" s="24" t="s">
        <v>164</v>
      </c>
      <c r="N329" s="24" t="s">
        <v>164</v>
      </c>
      <c r="O329" s="25">
        <v>2</v>
      </c>
      <c r="P329" s="24"/>
      <c r="Q329" s="24"/>
      <c r="R329" s="24"/>
      <c r="S329" s="24"/>
      <c r="T329" s="24"/>
      <c r="U329" s="24"/>
      <c r="V329" s="24">
        <v>2.8</v>
      </c>
      <c r="XDO329"/>
      <c r="XDP329"/>
      <c r="XDQ329"/>
      <c r="XDR329"/>
      <c r="XDS329"/>
    </row>
    <row r="330" s="21" customFormat="1" spans="1:16347">
      <c r="A330" s="24" t="s">
        <v>58</v>
      </c>
      <c r="B330" s="25" t="s">
        <v>59</v>
      </c>
      <c r="C330" s="24" t="s">
        <v>60</v>
      </c>
      <c r="D330" s="24" t="s">
        <v>1583</v>
      </c>
      <c r="E330" s="24" t="s">
        <v>1584</v>
      </c>
      <c r="F330" s="24" t="s">
        <v>1585</v>
      </c>
      <c r="G330" s="24" t="s">
        <v>1586</v>
      </c>
      <c r="H330" s="24"/>
      <c r="I330" s="25">
        <v>3.6</v>
      </c>
      <c r="J330" s="24" t="s">
        <v>65</v>
      </c>
      <c r="K330" s="24" t="s">
        <v>1587</v>
      </c>
      <c r="L330" s="24" t="s">
        <v>67</v>
      </c>
      <c r="M330" s="24" t="s">
        <v>744</v>
      </c>
      <c r="N330" s="24" t="s">
        <v>744</v>
      </c>
      <c r="O330" s="25">
        <v>1</v>
      </c>
      <c r="P330" s="24"/>
      <c r="Q330" s="24"/>
      <c r="R330" s="24"/>
      <c r="S330" s="24"/>
      <c r="T330" s="24"/>
      <c r="U330" s="24"/>
      <c r="V330" s="24">
        <v>2.6</v>
      </c>
      <c r="XDO330"/>
      <c r="XDP330"/>
      <c r="XDQ330"/>
      <c r="XDR330"/>
      <c r="XDS330"/>
    </row>
    <row r="331" s="21" customFormat="1" spans="1:16347">
      <c r="A331" s="24" t="s">
        <v>58</v>
      </c>
      <c r="B331" s="25" t="s">
        <v>59</v>
      </c>
      <c r="C331" s="24" t="s">
        <v>60</v>
      </c>
      <c r="D331" s="24" t="s">
        <v>1588</v>
      </c>
      <c r="E331" s="24" t="s">
        <v>1589</v>
      </c>
      <c r="F331" s="24" t="s">
        <v>1590</v>
      </c>
      <c r="G331" s="24" t="s">
        <v>1591</v>
      </c>
      <c r="H331" s="24"/>
      <c r="I331" s="25">
        <v>2.5</v>
      </c>
      <c r="J331" s="24" t="s">
        <v>881</v>
      </c>
      <c r="K331" s="24" t="s">
        <v>1592</v>
      </c>
      <c r="L331" s="24" t="s">
        <v>67</v>
      </c>
      <c r="M331" s="24" t="s">
        <v>137</v>
      </c>
      <c r="N331" s="24" t="s">
        <v>137</v>
      </c>
      <c r="O331" s="25">
        <v>0.5</v>
      </c>
      <c r="P331" s="24"/>
      <c r="Q331" s="24"/>
      <c r="R331" s="24"/>
      <c r="S331" s="24">
        <v>0.2</v>
      </c>
      <c r="T331" s="24"/>
      <c r="U331" s="24"/>
      <c r="V331" s="24">
        <v>1.8</v>
      </c>
      <c r="XDO331"/>
      <c r="XDP331"/>
      <c r="XDQ331"/>
      <c r="XDR331"/>
      <c r="XDS331"/>
    </row>
    <row r="332" s="21" customFormat="1" spans="1:16347">
      <c r="A332" s="24" t="s">
        <v>58</v>
      </c>
      <c r="B332" s="25" t="s">
        <v>59</v>
      </c>
      <c r="C332" s="24" t="s">
        <v>60</v>
      </c>
      <c r="D332" s="24" t="s">
        <v>1593</v>
      </c>
      <c r="E332" s="24" t="s">
        <v>1594</v>
      </c>
      <c r="F332" s="24" t="s">
        <v>1595</v>
      </c>
      <c r="G332" s="24" t="s">
        <v>1591</v>
      </c>
      <c r="H332" s="24"/>
      <c r="I332" s="25">
        <v>2.5</v>
      </c>
      <c r="J332" s="24" t="s">
        <v>881</v>
      </c>
      <c r="K332" s="24" t="s">
        <v>1596</v>
      </c>
      <c r="L332" s="24" t="s">
        <v>67</v>
      </c>
      <c r="M332" s="24" t="s">
        <v>137</v>
      </c>
      <c r="N332" s="24" t="s">
        <v>137</v>
      </c>
      <c r="O332" s="25">
        <v>0.5</v>
      </c>
      <c r="P332" s="24"/>
      <c r="Q332" s="24"/>
      <c r="R332" s="24"/>
      <c r="S332" s="24">
        <v>0.2</v>
      </c>
      <c r="T332" s="24"/>
      <c r="U332" s="24"/>
      <c r="V332" s="24">
        <v>1.8</v>
      </c>
      <c r="XDO332"/>
      <c r="XDP332"/>
      <c r="XDQ332"/>
      <c r="XDR332"/>
      <c r="XDS332"/>
    </row>
    <row r="333" s="21" customFormat="1" spans="1:16347">
      <c r="A333" s="24" t="s">
        <v>58</v>
      </c>
      <c r="B333" s="25" t="s">
        <v>59</v>
      </c>
      <c r="C333" s="24" t="s">
        <v>60</v>
      </c>
      <c r="D333" s="24" t="s">
        <v>1597</v>
      </c>
      <c r="E333" s="24" t="s">
        <v>1598</v>
      </c>
      <c r="F333" s="24" t="s">
        <v>1599</v>
      </c>
      <c r="G333" s="24" t="s">
        <v>1591</v>
      </c>
      <c r="H333" s="24"/>
      <c r="I333" s="25">
        <v>3.6</v>
      </c>
      <c r="J333" s="24" t="s">
        <v>65</v>
      </c>
      <c r="K333" s="24" t="s">
        <v>1600</v>
      </c>
      <c r="L333" s="24" t="s">
        <v>67</v>
      </c>
      <c r="M333" s="24" t="s">
        <v>179</v>
      </c>
      <c r="N333" s="24" t="s">
        <v>179</v>
      </c>
      <c r="O333" s="25">
        <v>0.7</v>
      </c>
      <c r="P333" s="24"/>
      <c r="Q333" s="24"/>
      <c r="R333" s="24"/>
      <c r="S333" s="24">
        <v>0.5</v>
      </c>
      <c r="T333" s="24"/>
      <c r="U333" s="24"/>
      <c r="V333" s="24">
        <v>2.4</v>
      </c>
      <c r="XDO333"/>
      <c r="XDP333"/>
      <c r="XDQ333"/>
      <c r="XDR333"/>
      <c r="XDS333"/>
    </row>
    <row r="334" s="21" customFormat="1" spans="1:16347">
      <c r="A334" s="24" t="s">
        <v>58</v>
      </c>
      <c r="B334" s="25" t="s">
        <v>59</v>
      </c>
      <c r="C334" s="24" t="s">
        <v>60</v>
      </c>
      <c r="D334" s="24" t="s">
        <v>1601</v>
      </c>
      <c r="E334" s="24" t="s">
        <v>1602</v>
      </c>
      <c r="F334" s="24" t="s">
        <v>1603</v>
      </c>
      <c r="G334" s="24" t="s">
        <v>1604</v>
      </c>
      <c r="H334" s="24"/>
      <c r="I334" s="25">
        <v>3.6</v>
      </c>
      <c r="J334" s="24" t="s">
        <v>65</v>
      </c>
      <c r="K334" s="24" t="s">
        <v>1605</v>
      </c>
      <c r="L334" s="24" t="s">
        <v>67</v>
      </c>
      <c r="M334" s="24" t="s">
        <v>179</v>
      </c>
      <c r="N334" s="24" t="s">
        <v>179</v>
      </c>
      <c r="O334" s="25">
        <v>0.7</v>
      </c>
      <c r="P334" s="24"/>
      <c r="Q334" s="24"/>
      <c r="R334" s="24"/>
      <c r="S334" s="24">
        <v>0.5</v>
      </c>
      <c r="T334" s="24"/>
      <c r="U334" s="24"/>
      <c r="V334" s="24">
        <v>2.4</v>
      </c>
      <c r="XDO334"/>
      <c r="XDP334"/>
      <c r="XDQ334"/>
      <c r="XDR334"/>
      <c r="XDS334"/>
    </row>
    <row r="335" s="21" customFormat="1" spans="1:16347">
      <c r="A335" s="24" t="s">
        <v>58</v>
      </c>
      <c r="B335" s="25" t="s">
        <v>59</v>
      </c>
      <c r="C335" s="24" t="s">
        <v>60</v>
      </c>
      <c r="D335" s="24" t="s">
        <v>1606</v>
      </c>
      <c r="E335" s="24" t="s">
        <v>1607</v>
      </c>
      <c r="F335" s="24" t="s">
        <v>1608</v>
      </c>
      <c r="G335" s="24" t="s">
        <v>1604</v>
      </c>
      <c r="H335" s="24"/>
      <c r="I335" s="25">
        <v>3.6</v>
      </c>
      <c r="J335" s="24" t="s">
        <v>65</v>
      </c>
      <c r="K335" s="24" t="s">
        <v>1609</v>
      </c>
      <c r="L335" s="24" t="s">
        <v>67</v>
      </c>
      <c r="M335" s="24" t="s">
        <v>179</v>
      </c>
      <c r="N335" s="24" t="s">
        <v>179</v>
      </c>
      <c r="O335" s="25">
        <v>0.7</v>
      </c>
      <c r="P335" s="24"/>
      <c r="Q335" s="24"/>
      <c r="R335" s="24"/>
      <c r="S335" s="24">
        <v>0.5</v>
      </c>
      <c r="T335" s="24"/>
      <c r="U335" s="24"/>
      <c r="V335" s="24">
        <v>2.4</v>
      </c>
      <c r="XDO335"/>
      <c r="XDP335"/>
      <c r="XDQ335"/>
      <c r="XDR335"/>
      <c r="XDS335"/>
    </row>
    <row r="336" s="21" customFormat="1" spans="1:16347">
      <c r="A336" s="24" t="s">
        <v>58</v>
      </c>
      <c r="B336" s="25" t="s">
        <v>59</v>
      </c>
      <c r="C336" s="24" t="s">
        <v>60</v>
      </c>
      <c r="D336" s="24" t="s">
        <v>1610</v>
      </c>
      <c r="E336" s="24" t="s">
        <v>1611</v>
      </c>
      <c r="F336" s="24" t="s">
        <v>1612</v>
      </c>
      <c r="G336" s="24" t="s">
        <v>1604</v>
      </c>
      <c r="H336" s="24"/>
      <c r="I336" s="25">
        <v>3.7</v>
      </c>
      <c r="J336" s="24" t="s">
        <v>65</v>
      </c>
      <c r="K336" s="24" t="s">
        <v>1613</v>
      </c>
      <c r="L336" s="24" t="s">
        <v>67</v>
      </c>
      <c r="M336" s="24" t="s">
        <v>189</v>
      </c>
      <c r="N336" s="24" t="s">
        <v>189</v>
      </c>
      <c r="O336" s="25">
        <v>1</v>
      </c>
      <c r="P336" s="24"/>
      <c r="Q336" s="24"/>
      <c r="R336" s="24"/>
      <c r="S336" s="24">
        <v>0.3</v>
      </c>
      <c r="T336" s="24"/>
      <c r="U336" s="24"/>
      <c r="V336" s="24">
        <v>2.4</v>
      </c>
      <c r="XDO336"/>
      <c r="XDP336"/>
      <c r="XDQ336"/>
      <c r="XDR336"/>
      <c r="XDS336"/>
    </row>
    <row r="337" s="21" customFormat="1" spans="1:16347">
      <c r="A337" s="24" t="s">
        <v>58</v>
      </c>
      <c r="B337" s="25" t="s">
        <v>59</v>
      </c>
      <c r="C337" s="24" t="s">
        <v>60</v>
      </c>
      <c r="D337" s="24" t="s">
        <v>1614</v>
      </c>
      <c r="E337" s="24" t="s">
        <v>1615</v>
      </c>
      <c r="F337" s="24" t="s">
        <v>1616</v>
      </c>
      <c r="G337" s="24" t="s">
        <v>1604</v>
      </c>
      <c r="H337" s="24"/>
      <c r="I337" s="25">
        <v>4.8</v>
      </c>
      <c r="J337" s="24" t="s">
        <v>65</v>
      </c>
      <c r="K337" s="24" t="s">
        <v>1617</v>
      </c>
      <c r="L337" s="24" t="s">
        <v>67</v>
      </c>
      <c r="M337" s="24" t="s">
        <v>164</v>
      </c>
      <c r="N337" s="24" t="s">
        <v>164</v>
      </c>
      <c r="O337" s="25">
        <v>2</v>
      </c>
      <c r="P337" s="24"/>
      <c r="Q337" s="24"/>
      <c r="R337" s="24"/>
      <c r="S337" s="24"/>
      <c r="T337" s="24"/>
      <c r="U337" s="24"/>
      <c r="V337" s="24">
        <v>2.8</v>
      </c>
      <c r="XDO337"/>
      <c r="XDP337"/>
      <c r="XDQ337"/>
      <c r="XDR337"/>
      <c r="XDS337"/>
    </row>
    <row r="338" s="21" customFormat="1" spans="1:16347">
      <c r="A338" s="24" t="s">
        <v>58</v>
      </c>
      <c r="B338" s="25" t="s">
        <v>59</v>
      </c>
      <c r="C338" s="24" t="s">
        <v>60</v>
      </c>
      <c r="D338" s="24" t="s">
        <v>1618</v>
      </c>
      <c r="E338" s="24" t="s">
        <v>1619</v>
      </c>
      <c r="F338" s="24" t="s">
        <v>1620</v>
      </c>
      <c r="G338" s="24" t="s">
        <v>1604</v>
      </c>
      <c r="H338" s="24"/>
      <c r="I338" s="25">
        <v>2.5</v>
      </c>
      <c r="J338" s="24" t="s">
        <v>881</v>
      </c>
      <c r="K338" s="24" t="s">
        <v>1621</v>
      </c>
      <c r="L338" s="24" t="s">
        <v>67</v>
      </c>
      <c r="M338" s="24" t="s">
        <v>137</v>
      </c>
      <c r="N338" s="24" t="s">
        <v>137</v>
      </c>
      <c r="O338" s="25">
        <v>0.5</v>
      </c>
      <c r="P338" s="24"/>
      <c r="Q338" s="24"/>
      <c r="R338" s="24"/>
      <c r="S338" s="24">
        <v>0.2</v>
      </c>
      <c r="T338" s="24"/>
      <c r="U338" s="24"/>
      <c r="V338" s="24">
        <v>1.8</v>
      </c>
      <c r="XDO338"/>
      <c r="XDP338"/>
      <c r="XDQ338"/>
      <c r="XDR338"/>
      <c r="XDS338"/>
    </row>
    <row r="339" s="21" customFormat="1" spans="1:16347">
      <c r="A339" s="24" t="s">
        <v>58</v>
      </c>
      <c r="B339" s="25" t="s">
        <v>59</v>
      </c>
      <c r="C339" s="24" t="s">
        <v>60</v>
      </c>
      <c r="D339" s="24" t="s">
        <v>1622</v>
      </c>
      <c r="E339" s="24" t="s">
        <v>1623</v>
      </c>
      <c r="F339" s="24" t="s">
        <v>1624</v>
      </c>
      <c r="G339" s="24" t="s">
        <v>1625</v>
      </c>
      <c r="H339" s="24"/>
      <c r="I339" s="25">
        <v>3</v>
      </c>
      <c r="J339" s="24" t="s">
        <v>65</v>
      </c>
      <c r="K339" s="24" t="s">
        <v>1626</v>
      </c>
      <c r="L339" s="24" t="s">
        <v>67</v>
      </c>
      <c r="M339" s="24" t="s">
        <v>672</v>
      </c>
      <c r="N339" s="24" t="s">
        <v>672</v>
      </c>
      <c r="O339" s="25">
        <v>0.5</v>
      </c>
      <c r="P339" s="24"/>
      <c r="Q339" s="24"/>
      <c r="R339" s="24"/>
      <c r="S339" s="24">
        <v>0.2</v>
      </c>
      <c r="T339" s="24"/>
      <c r="U339" s="24"/>
      <c r="V339" s="24">
        <v>2.3</v>
      </c>
      <c r="XDO339"/>
      <c r="XDP339"/>
      <c r="XDQ339"/>
      <c r="XDR339"/>
      <c r="XDS339"/>
    </row>
    <row r="340" s="21" customFormat="1" spans="1:16347">
      <c r="A340" s="24" t="s">
        <v>58</v>
      </c>
      <c r="B340" s="25" t="s">
        <v>59</v>
      </c>
      <c r="C340" s="24" t="s">
        <v>60</v>
      </c>
      <c r="D340" s="24" t="s">
        <v>1627</v>
      </c>
      <c r="E340" s="24" t="s">
        <v>1628</v>
      </c>
      <c r="F340" s="24" t="s">
        <v>1629</v>
      </c>
      <c r="G340" s="24" t="s">
        <v>1630</v>
      </c>
      <c r="H340" s="24"/>
      <c r="I340" s="25">
        <v>2.5</v>
      </c>
      <c r="J340" s="24" t="s">
        <v>881</v>
      </c>
      <c r="K340" s="24" t="s">
        <v>1631</v>
      </c>
      <c r="L340" s="24" t="s">
        <v>67</v>
      </c>
      <c r="M340" s="24" t="s">
        <v>137</v>
      </c>
      <c r="N340" s="24" t="s">
        <v>137</v>
      </c>
      <c r="O340" s="25">
        <v>0.5</v>
      </c>
      <c r="P340" s="24"/>
      <c r="Q340" s="24"/>
      <c r="R340" s="24"/>
      <c r="S340" s="24">
        <v>0.2</v>
      </c>
      <c r="T340" s="24"/>
      <c r="U340" s="24"/>
      <c r="V340" s="24">
        <v>1.8</v>
      </c>
      <c r="XDO340"/>
      <c r="XDP340"/>
      <c r="XDQ340"/>
      <c r="XDR340"/>
      <c r="XDS340"/>
    </row>
    <row r="341" s="21" customFormat="1" spans="1:16347">
      <c r="A341" s="24" t="s">
        <v>58</v>
      </c>
      <c r="B341" s="25" t="s">
        <v>59</v>
      </c>
      <c r="C341" s="24" t="s">
        <v>60</v>
      </c>
      <c r="D341" s="24" t="s">
        <v>1632</v>
      </c>
      <c r="E341" s="24" t="s">
        <v>1633</v>
      </c>
      <c r="F341" s="24" t="s">
        <v>1634</v>
      </c>
      <c r="G341" s="24" t="s">
        <v>1630</v>
      </c>
      <c r="H341" s="24"/>
      <c r="I341" s="25">
        <v>3.6</v>
      </c>
      <c r="J341" s="24" t="s">
        <v>65</v>
      </c>
      <c r="K341" s="24" t="s">
        <v>1635</v>
      </c>
      <c r="L341" s="24" t="s">
        <v>67</v>
      </c>
      <c r="M341" s="24" t="s">
        <v>189</v>
      </c>
      <c r="N341" s="24" t="s">
        <v>189</v>
      </c>
      <c r="O341" s="25">
        <v>0.7</v>
      </c>
      <c r="P341" s="24"/>
      <c r="Q341" s="24"/>
      <c r="R341" s="24"/>
      <c r="S341" s="24">
        <v>0.5</v>
      </c>
      <c r="T341" s="24"/>
      <c r="U341" s="24"/>
      <c r="V341" s="24">
        <v>2.4</v>
      </c>
      <c r="XDO341"/>
      <c r="XDP341"/>
      <c r="XDQ341"/>
      <c r="XDR341"/>
      <c r="XDS341"/>
    </row>
    <row r="342" s="21" customFormat="1" spans="1:16347">
      <c r="A342" s="24" t="s">
        <v>58</v>
      </c>
      <c r="B342" s="25" t="s">
        <v>59</v>
      </c>
      <c r="C342" s="24" t="s">
        <v>60</v>
      </c>
      <c r="D342" s="24" t="s">
        <v>1636</v>
      </c>
      <c r="E342" s="24" t="s">
        <v>1637</v>
      </c>
      <c r="F342" s="24" t="s">
        <v>1638</v>
      </c>
      <c r="G342" s="24" t="s">
        <v>1630</v>
      </c>
      <c r="H342" s="24"/>
      <c r="I342" s="25">
        <v>3.5</v>
      </c>
      <c r="J342" s="24" t="s">
        <v>65</v>
      </c>
      <c r="K342" s="24" t="s">
        <v>1639</v>
      </c>
      <c r="L342" s="24" t="s">
        <v>67</v>
      </c>
      <c r="M342" s="24" t="s">
        <v>79</v>
      </c>
      <c r="N342" s="24" t="s">
        <v>79</v>
      </c>
      <c r="O342" s="25">
        <v>0.7</v>
      </c>
      <c r="P342" s="24"/>
      <c r="Q342" s="24"/>
      <c r="R342" s="24"/>
      <c r="S342" s="24">
        <v>0.5</v>
      </c>
      <c r="T342" s="24"/>
      <c r="U342" s="24"/>
      <c r="V342" s="24">
        <v>2.3</v>
      </c>
      <c r="XDO342"/>
      <c r="XDP342"/>
      <c r="XDQ342"/>
      <c r="XDR342"/>
      <c r="XDS342"/>
    </row>
    <row r="343" s="21" customFormat="1" spans="1:16347">
      <c r="A343" s="24" t="s">
        <v>58</v>
      </c>
      <c r="B343" s="25" t="s">
        <v>59</v>
      </c>
      <c r="C343" s="24" t="s">
        <v>60</v>
      </c>
      <c r="D343" s="24" t="s">
        <v>1640</v>
      </c>
      <c r="E343" s="24" t="s">
        <v>1641</v>
      </c>
      <c r="F343" s="24" t="s">
        <v>1642</v>
      </c>
      <c r="G343" s="24" t="s">
        <v>1630</v>
      </c>
      <c r="H343" s="24"/>
      <c r="I343" s="25">
        <v>4.8</v>
      </c>
      <c r="J343" s="24" t="s">
        <v>65</v>
      </c>
      <c r="K343" s="24" t="s">
        <v>1643</v>
      </c>
      <c r="L343" s="24" t="s">
        <v>67</v>
      </c>
      <c r="M343" s="24" t="s">
        <v>164</v>
      </c>
      <c r="N343" s="24" t="s">
        <v>164</v>
      </c>
      <c r="O343" s="25">
        <v>2</v>
      </c>
      <c r="P343" s="24"/>
      <c r="Q343" s="24"/>
      <c r="R343" s="24"/>
      <c r="S343" s="24"/>
      <c r="T343" s="24"/>
      <c r="U343" s="24"/>
      <c r="V343" s="24">
        <v>2.8</v>
      </c>
      <c r="XDO343"/>
      <c r="XDP343"/>
      <c r="XDQ343"/>
      <c r="XDR343"/>
      <c r="XDS343"/>
    </row>
    <row r="344" s="21" customFormat="1" spans="1:16347">
      <c r="A344" s="24" t="s">
        <v>58</v>
      </c>
      <c r="B344" s="25" t="s">
        <v>59</v>
      </c>
      <c r="C344" s="24" t="s">
        <v>60</v>
      </c>
      <c r="D344" s="24" t="s">
        <v>1644</v>
      </c>
      <c r="E344" s="24" t="s">
        <v>1645</v>
      </c>
      <c r="F344" s="24" t="s">
        <v>1646</v>
      </c>
      <c r="G344" s="24" t="s">
        <v>1647</v>
      </c>
      <c r="H344" s="24"/>
      <c r="I344" s="25">
        <v>3.6</v>
      </c>
      <c r="J344" s="24" t="s">
        <v>65</v>
      </c>
      <c r="K344" s="24" t="s">
        <v>1648</v>
      </c>
      <c r="L344" s="24" t="s">
        <v>67</v>
      </c>
      <c r="M344" s="24" t="s">
        <v>189</v>
      </c>
      <c r="N344" s="24" t="s">
        <v>189</v>
      </c>
      <c r="O344" s="25">
        <v>0.7</v>
      </c>
      <c r="P344" s="24"/>
      <c r="Q344" s="24"/>
      <c r="R344" s="24"/>
      <c r="S344" s="24">
        <v>0.5</v>
      </c>
      <c r="T344" s="24"/>
      <c r="U344" s="24"/>
      <c r="V344" s="24">
        <v>2.4</v>
      </c>
      <c r="XDO344"/>
      <c r="XDP344"/>
      <c r="XDQ344"/>
      <c r="XDR344"/>
      <c r="XDS344"/>
    </row>
    <row r="345" s="21" customFormat="1" spans="1:16347">
      <c r="A345" s="24" t="s">
        <v>58</v>
      </c>
      <c r="B345" s="25" t="s">
        <v>59</v>
      </c>
      <c r="C345" s="24" t="s">
        <v>60</v>
      </c>
      <c r="D345" s="24" t="s">
        <v>1649</v>
      </c>
      <c r="E345" s="24" t="s">
        <v>1650</v>
      </c>
      <c r="F345" s="24" t="s">
        <v>1651</v>
      </c>
      <c r="G345" s="24" t="s">
        <v>1647</v>
      </c>
      <c r="H345" s="24"/>
      <c r="I345" s="25">
        <v>3</v>
      </c>
      <c r="J345" s="24" t="s">
        <v>65</v>
      </c>
      <c r="K345" s="24" t="s">
        <v>1652</v>
      </c>
      <c r="L345" s="24" t="s">
        <v>67</v>
      </c>
      <c r="M345" s="24" t="s">
        <v>672</v>
      </c>
      <c r="N345" s="24" t="s">
        <v>672</v>
      </c>
      <c r="O345" s="25">
        <v>0.5</v>
      </c>
      <c r="P345" s="24"/>
      <c r="Q345" s="24"/>
      <c r="R345" s="24"/>
      <c r="S345" s="24">
        <v>0.2</v>
      </c>
      <c r="T345" s="24"/>
      <c r="U345" s="24"/>
      <c r="V345" s="24">
        <v>2.3</v>
      </c>
      <c r="XDO345"/>
      <c r="XDP345"/>
      <c r="XDQ345"/>
      <c r="XDR345"/>
      <c r="XDS345"/>
    </row>
    <row r="346" s="21" customFormat="1" spans="1:16347">
      <c r="A346" s="24" t="s">
        <v>58</v>
      </c>
      <c r="B346" s="25" t="s">
        <v>59</v>
      </c>
      <c r="C346" s="24" t="s">
        <v>60</v>
      </c>
      <c r="D346" s="24" t="s">
        <v>1653</v>
      </c>
      <c r="E346" s="24" t="s">
        <v>1654</v>
      </c>
      <c r="F346" s="24" t="s">
        <v>1655</v>
      </c>
      <c r="G346" s="24" t="s">
        <v>1647</v>
      </c>
      <c r="H346" s="24"/>
      <c r="I346" s="25">
        <v>4.8</v>
      </c>
      <c r="J346" s="24" t="s">
        <v>65</v>
      </c>
      <c r="K346" s="24" t="s">
        <v>1656</v>
      </c>
      <c r="L346" s="24" t="s">
        <v>67</v>
      </c>
      <c r="M346" s="24" t="s">
        <v>164</v>
      </c>
      <c r="N346" s="24" t="s">
        <v>164</v>
      </c>
      <c r="O346" s="25">
        <v>2</v>
      </c>
      <c r="P346" s="24"/>
      <c r="Q346" s="24"/>
      <c r="R346" s="24"/>
      <c r="S346" s="24"/>
      <c r="T346" s="24"/>
      <c r="U346" s="24"/>
      <c r="V346" s="24">
        <v>2.8</v>
      </c>
      <c r="XDO346"/>
      <c r="XDP346"/>
      <c r="XDQ346"/>
      <c r="XDR346"/>
      <c r="XDS346"/>
    </row>
    <row r="347" s="21" customFormat="1" spans="1:16347">
      <c r="A347" s="24" t="s">
        <v>58</v>
      </c>
      <c r="B347" s="25" t="s">
        <v>59</v>
      </c>
      <c r="C347" s="24" t="s">
        <v>60</v>
      </c>
      <c r="D347" s="24" t="s">
        <v>1657</v>
      </c>
      <c r="E347" s="24" t="s">
        <v>1658</v>
      </c>
      <c r="F347" s="24" t="s">
        <v>1659</v>
      </c>
      <c r="G347" s="24" t="s">
        <v>1660</v>
      </c>
      <c r="H347" s="24"/>
      <c r="I347" s="25">
        <v>2.5</v>
      </c>
      <c r="J347" s="24" t="s">
        <v>881</v>
      </c>
      <c r="K347" s="24" t="s">
        <v>1661</v>
      </c>
      <c r="L347" s="24" t="s">
        <v>67</v>
      </c>
      <c r="M347" s="24" t="s">
        <v>137</v>
      </c>
      <c r="N347" s="24" t="s">
        <v>137</v>
      </c>
      <c r="O347" s="25">
        <v>0.5</v>
      </c>
      <c r="P347" s="24"/>
      <c r="Q347" s="24"/>
      <c r="R347" s="24"/>
      <c r="S347" s="24">
        <v>0.2</v>
      </c>
      <c r="T347" s="24"/>
      <c r="U347" s="24"/>
      <c r="V347" s="24">
        <v>1.8</v>
      </c>
      <c r="XDO347"/>
      <c r="XDP347"/>
      <c r="XDQ347"/>
      <c r="XDR347"/>
      <c r="XDS347"/>
    </row>
    <row r="348" s="21" customFormat="1" spans="1:16347">
      <c r="A348" s="24" t="s">
        <v>58</v>
      </c>
      <c r="B348" s="25" t="s">
        <v>59</v>
      </c>
      <c r="C348" s="24" t="s">
        <v>60</v>
      </c>
      <c r="D348" s="24" t="s">
        <v>1662</v>
      </c>
      <c r="E348" s="24" t="s">
        <v>1663</v>
      </c>
      <c r="F348" s="24" t="s">
        <v>1664</v>
      </c>
      <c r="G348" s="24" t="s">
        <v>1660</v>
      </c>
      <c r="H348" s="24"/>
      <c r="I348" s="25">
        <v>3</v>
      </c>
      <c r="J348" s="24" t="s">
        <v>65</v>
      </c>
      <c r="K348" s="24" t="s">
        <v>1665</v>
      </c>
      <c r="L348" s="24" t="s">
        <v>67</v>
      </c>
      <c r="M348" s="24" t="s">
        <v>672</v>
      </c>
      <c r="N348" s="24" t="s">
        <v>672</v>
      </c>
      <c r="O348" s="25">
        <v>0.5</v>
      </c>
      <c r="P348" s="24"/>
      <c r="Q348" s="24"/>
      <c r="R348" s="24"/>
      <c r="S348" s="24">
        <v>0.2</v>
      </c>
      <c r="T348" s="24"/>
      <c r="U348" s="24"/>
      <c r="V348" s="24">
        <v>2.3</v>
      </c>
      <c r="XDO348"/>
      <c r="XDP348"/>
      <c r="XDQ348"/>
      <c r="XDR348"/>
      <c r="XDS348"/>
    </row>
    <row r="349" s="21" customFormat="1" spans="1:16347">
      <c r="A349" s="24" t="s">
        <v>58</v>
      </c>
      <c r="B349" s="25" t="s">
        <v>59</v>
      </c>
      <c r="C349" s="24" t="s">
        <v>60</v>
      </c>
      <c r="D349" s="24" t="s">
        <v>1666</v>
      </c>
      <c r="E349" s="24" t="s">
        <v>1667</v>
      </c>
      <c r="F349" s="24" t="s">
        <v>1668</v>
      </c>
      <c r="G349" s="24" t="s">
        <v>1669</v>
      </c>
      <c r="H349" s="24"/>
      <c r="I349" s="25">
        <v>3.6</v>
      </c>
      <c r="J349" s="24" t="s">
        <v>65</v>
      </c>
      <c r="K349" s="24" t="s">
        <v>1670</v>
      </c>
      <c r="L349" s="24" t="s">
        <v>67</v>
      </c>
      <c r="M349" s="24" t="s">
        <v>479</v>
      </c>
      <c r="N349" s="24" t="s">
        <v>479</v>
      </c>
      <c r="O349" s="25">
        <v>0.7</v>
      </c>
      <c r="P349" s="24"/>
      <c r="Q349" s="24"/>
      <c r="R349" s="24"/>
      <c r="S349" s="24">
        <v>0.5</v>
      </c>
      <c r="T349" s="24"/>
      <c r="U349" s="24"/>
      <c r="V349" s="24">
        <v>2.4</v>
      </c>
      <c r="XDO349"/>
      <c r="XDP349"/>
      <c r="XDQ349"/>
      <c r="XDR349"/>
      <c r="XDS349"/>
    </row>
    <row r="350" s="21" customFormat="1" spans="1:16347">
      <c r="A350" s="24" t="s">
        <v>58</v>
      </c>
      <c r="B350" s="25" t="s">
        <v>59</v>
      </c>
      <c r="C350" s="24" t="s">
        <v>60</v>
      </c>
      <c r="D350" s="24" t="s">
        <v>1671</v>
      </c>
      <c r="E350" s="24" t="s">
        <v>1672</v>
      </c>
      <c r="F350" s="24" t="s">
        <v>1673</v>
      </c>
      <c r="G350" s="24" t="s">
        <v>1674</v>
      </c>
      <c r="H350" s="24"/>
      <c r="I350" s="25">
        <v>3</v>
      </c>
      <c r="J350" s="24" t="s">
        <v>65</v>
      </c>
      <c r="K350" s="24" t="s">
        <v>1675</v>
      </c>
      <c r="L350" s="24" t="s">
        <v>67</v>
      </c>
      <c r="M350" s="24" t="s">
        <v>672</v>
      </c>
      <c r="N350" s="24" t="s">
        <v>672</v>
      </c>
      <c r="O350" s="25">
        <v>0.5</v>
      </c>
      <c r="P350" s="24"/>
      <c r="Q350" s="24"/>
      <c r="R350" s="24"/>
      <c r="S350" s="24">
        <v>0.2</v>
      </c>
      <c r="T350" s="24"/>
      <c r="U350" s="24"/>
      <c r="V350" s="24">
        <v>2.3</v>
      </c>
      <c r="XDO350"/>
      <c r="XDP350"/>
      <c r="XDQ350"/>
      <c r="XDR350"/>
      <c r="XDS350"/>
    </row>
    <row r="351" s="21" customFormat="1" spans="1:16347">
      <c r="A351" s="24" t="s">
        <v>58</v>
      </c>
      <c r="B351" s="25" t="s">
        <v>59</v>
      </c>
      <c r="C351" s="24" t="s">
        <v>60</v>
      </c>
      <c r="D351" s="24" t="s">
        <v>1676</v>
      </c>
      <c r="E351" s="24" t="s">
        <v>1677</v>
      </c>
      <c r="F351" s="24" t="s">
        <v>1678</v>
      </c>
      <c r="G351" s="24" t="s">
        <v>1674</v>
      </c>
      <c r="H351" s="24"/>
      <c r="I351" s="25">
        <v>4.8</v>
      </c>
      <c r="J351" s="24" t="s">
        <v>65</v>
      </c>
      <c r="K351" s="24" t="s">
        <v>1679</v>
      </c>
      <c r="L351" s="24" t="s">
        <v>67</v>
      </c>
      <c r="M351" s="24" t="s">
        <v>519</v>
      </c>
      <c r="N351" s="24" t="s">
        <v>519</v>
      </c>
      <c r="O351" s="25">
        <v>2</v>
      </c>
      <c r="P351" s="24"/>
      <c r="Q351" s="24"/>
      <c r="R351" s="24"/>
      <c r="S351" s="24"/>
      <c r="T351" s="24"/>
      <c r="U351" s="24"/>
      <c r="V351" s="24">
        <v>2.8</v>
      </c>
      <c r="XDO351"/>
      <c r="XDP351"/>
      <c r="XDQ351"/>
      <c r="XDR351"/>
      <c r="XDS351"/>
    </row>
    <row r="352" s="21" customFormat="1" spans="1:16347">
      <c r="A352" s="24" t="s">
        <v>58</v>
      </c>
      <c r="B352" s="25" t="s">
        <v>59</v>
      </c>
      <c r="C352" s="24" t="s">
        <v>60</v>
      </c>
      <c r="D352" s="24" t="s">
        <v>1680</v>
      </c>
      <c r="E352" s="24" t="s">
        <v>1681</v>
      </c>
      <c r="F352" s="24" t="s">
        <v>1682</v>
      </c>
      <c r="G352" s="24" t="s">
        <v>1674</v>
      </c>
      <c r="H352" s="24"/>
      <c r="I352" s="25">
        <v>3.6</v>
      </c>
      <c r="J352" s="24" t="s">
        <v>65</v>
      </c>
      <c r="K352" s="24" t="s">
        <v>1683</v>
      </c>
      <c r="L352" s="24" t="s">
        <v>67</v>
      </c>
      <c r="M352" s="24" t="s">
        <v>189</v>
      </c>
      <c r="N352" s="24" t="s">
        <v>189</v>
      </c>
      <c r="O352" s="25">
        <v>0.7</v>
      </c>
      <c r="P352" s="24"/>
      <c r="Q352" s="24"/>
      <c r="R352" s="24"/>
      <c r="S352" s="24">
        <v>0.5</v>
      </c>
      <c r="T352" s="24"/>
      <c r="U352" s="24"/>
      <c r="V352" s="24">
        <v>2.4</v>
      </c>
      <c r="XDO352"/>
      <c r="XDP352"/>
      <c r="XDQ352"/>
      <c r="XDR352"/>
      <c r="XDS352"/>
    </row>
    <row r="353" s="21" customFormat="1" spans="1:16347">
      <c r="A353" s="24" t="s">
        <v>58</v>
      </c>
      <c r="B353" s="25" t="s">
        <v>59</v>
      </c>
      <c r="C353" s="24" t="s">
        <v>60</v>
      </c>
      <c r="D353" s="24" t="s">
        <v>1684</v>
      </c>
      <c r="E353" s="24" t="s">
        <v>1685</v>
      </c>
      <c r="F353" s="24" t="s">
        <v>1686</v>
      </c>
      <c r="G353" s="24" t="s">
        <v>1669</v>
      </c>
      <c r="H353" s="24"/>
      <c r="I353" s="25">
        <v>2.5</v>
      </c>
      <c r="J353" s="24" t="s">
        <v>881</v>
      </c>
      <c r="K353" s="24" t="s">
        <v>1687</v>
      </c>
      <c r="L353" s="24" t="s">
        <v>67</v>
      </c>
      <c r="M353" s="24" t="s">
        <v>74</v>
      </c>
      <c r="N353" s="24" t="s">
        <v>74</v>
      </c>
      <c r="O353" s="25">
        <v>0.5</v>
      </c>
      <c r="P353" s="24"/>
      <c r="Q353" s="24"/>
      <c r="R353" s="24"/>
      <c r="S353" s="24">
        <v>0.2</v>
      </c>
      <c r="T353" s="24"/>
      <c r="U353" s="24"/>
      <c r="V353" s="24">
        <v>1.8</v>
      </c>
      <c r="XDO353"/>
      <c r="XDP353"/>
      <c r="XDQ353"/>
      <c r="XDR353"/>
      <c r="XDS353"/>
    </row>
    <row r="354" s="21" customFormat="1" spans="1:16347">
      <c r="A354" s="24" t="s">
        <v>58</v>
      </c>
      <c r="B354" s="25" t="s">
        <v>59</v>
      </c>
      <c r="C354" s="24" t="s">
        <v>60</v>
      </c>
      <c r="D354" s="24" t="s">
        <v>1688</v>
      </c>
      <c r="E354" s="24" t="s">
        <v>1689</v>
      </c>
      <c r="F354" s="24" t="s">
        <v>1690</v>
      </c>
      <c r="G354" s="24" t="s">
        <v>1691</v>
      </c>
      <c r="H354" s="24"/>
      <c r="I354" s="25">
        <v>2.5</v>
      </c>
      <c r="J354" s="24" t="s">
        <v>881</v>
      </c>
      <c r="K354" s="24" t="s">
        <v>1692</v>
      </c>
      <c r="L354" s="24" t="s">
        <v>67</v>
      </c>
      <c r="M354" s="24" t="s">
        <v>74</v>
      </c>
      <c r="N354" s="24" t="s">
        <v>74</v>
      </c>
      <c r="O354" s="25">
        <v>0.5</v>
      </c>
      <c r="P354" s="24"/>
      <c r="Q354" s="24"/>
      <c r="R354" s="24"/>
      <c r="S354" s="24">
        <v>0.2</v>
      </c>
      <c r="T354" s="24"/>
      <c r="U354" s="24"/>
      <c r="V354" s="24">
        <v>1.8</v>
      </c>
      <c r="XDO354"/>
      <c r="XDP354"/>
      <c r="XDQ354"/>
      <c r="XDR354"/>
      <c r="XDS354"/>
    </row>
    <row r="355" s="21" customFormat="1" spans="1:16347">
      <c r="A355" s="24" t="s">
        <v>58</v>
      </c>
      <c r="B355" s="25" t="s">
        <v>59</v>
      </c>
      <c r="C355" s="24" t="s">
        <v>60</v>
      </c>
      <c r="D355" s="24" t="s">
        <v>1693</v>
      </c>
      <c r="E355" s="24" t="s">
        <v>1694</v>
      </c>
      <c r="F355" s="24" t="s">
        <v>1695</v>
      </c>
      <c r="G355" s="24" t="s">
        <v>1691</v>
      </c>
      <c r="H355" s="24"/>
      <c r="I355" s="25">
        <v>3.1</v>
      </c>
      <c r="J355" s="24" t="s">
        <v>65</v>
      </c>
      <c r="K355" s="24" t="s">
        <v>1696</v>
      </c>
      <c r="L355" s="24" t="s">
        <v>67</v>
      </c>
      <c r="M355" s="24" t="s">
        <v>594</v>
      </c>
      <c r="N355" s="24" t="s">
        <v>594</v>
      </c>
      <c r="O355" s="25">
        <v>0.7</v>
      </c>
      <c r="P355" s="24"/>
      <c r="Q355" s="24"/>
      <c r="R355" s="24"/>
      <c r="S355" s="24"/>
      <c r="T355" s="24"/>
      <c r="U355" s="24"/>
      <c r="V355" s="24">
        <v>2.4</v>
      </c>
      <c r="XDO355"/>
      <c r="XDP355"/>
      <c r="XDQ355"/>
      <c r="XDR355"/>
      <c r="XDS355"/>
    </row>
    <row r="356" s="21" customFormat="1" spans="1:16347">
      <c r="A356" s="24" t="s">
        <v>58</v>
      </c>
      <c r="B356" s="25" t="s">
        <v>59</v>
      </c>
      <c r="C356" s="24" t="s">
        <v>60</v>
      </c>
      <c r="D356" s="24" t="s">
        <v>1697</v>
      </c>
      <c r="E356" s="24" t="s">
        <v>1698</v>
      </c>
      <c r="F356" s="24" t="s">
        <v>1699</v>
      </c>
      <c r="G356" s="24" t="s">
        <v>1691</v>
      </c>
      <c r="H356" s="24"/>
      <c r="I356" s="25">
        <v>3.6</v>
      </c>
      <c r="J356" s="24" t="s">
        <v>65</v>
      </c>
      <c r="K356" s="24" t="s">
        <v>1700</v>
      </c>
      <c r="L356" s="24" t="s">
        <v>67</v>
      </c>
      <c r="M356" s="24" t="s">
        <v>189</v>
      </c>
      <c r="N356" s="24" t="s">
        <v>189</v>
      </c>
      <c r="O356" s="25">
        <v>0.7</v>
      </c>
      <c r="P356" s="24"/>
      <c r="Q356" s="24"/>
      <c r="R356" s="24"/>
      <c r="S356" s="24">
        <v>0.5</v>
      </c>
      <c r="T356" s="24"/>
      <c r="U356" s="24"/>
      <c r="V356" s="24">
        <v>2.4</v>
      </c>
      <c r="XDO356"/>
      <c r="XDP356"/>
      <c r="XDQ356"/>
      <c r="XDR356"/>
      <c r="XDS356"/>
    </row>
    <row r="357" s="21" customFormat="1" spans="1:16347">
      <c r="A357" s="24" t="s">
        <v>58</v>
      </c>
      <c r="B357" s="25" t="s">
        <v>59</v>
      </c>
      <c r="C357" s="24" t="s">
        <v>60</v>
      </c>
      <c r="D357" s="24" t="s">
        <v>1701</v>
      </c>
      <c r="E357" s="24" t="s">
        <v>1702</v>
      </c>
      <c r="F357" s="24" t="s">
        <v>1703</v>
      </c>
      <c r="G357" s="24" t="s">
        <v>1704</v>
      </c>
      <c r="H357" s="24"/>
      <c r="I357" s="25">
        <v>2.8</v>
      </c>
      <c r="J357" s="24" t="s">
        <v>881</v>
      </c>
      <c r="K357" s="24" t="s">
        <v>1705</v>
      </c>
      <c r="L357" s="24" t="s">
        <v>67</v>
      </c>
      <c r="M357" s="24" t="s">
        <v>946</v>
      </c>
      <c r="N357" s="24" t="s">
        <v>946</v>
      </c>
      <c r="O357" s="25">
        <v>0.5</v>
      </c>
      <c r="P357" s="24"/>
      <c r="Q357" s="24"/>
      <c r="R357" s="24"/>
      <c r="S357" s="24">
        <v>0.5</v>
      </c>
      <c r="T357" s="24"/>
      <c r="U357" s="24"/>
      <c r="V357" s="24">
        <v>1.8</v>
      </c>
      <c r="XDO357"/>
      <c r="XDP357"/>
      <c r="XDQ357"/>
      <c r="XDR357"/>
      <c r="XDS357"/>
    </row>
    <row r="358" s="21" customFormat="1" spans="1:16347">
      <c r="A358" s="24" t="s">
        <v>58</v>
      </c>
      <c r="B358" s="25" t="s">
        <v>59</v>
      </c>
      <c r="C358" s="24" t="s">
        <v>60</v>
      </c>
      <c r="D358" s="24" t="s">
        <v>1706</v>
      </c>
      <c r="E358" s="24" t="s">
        <v>1707</v>
      </c>
      <c r="F358" s="24" t="s">
        <v>1708</v>
      </c>
      <c r="G358" s="24" t="s">
        <v>1709</v>
      </c>
      <c r="H358" s="24"/>
      <c r="I358" s="25">
        <v>2.5</v>
      </c>
      <c r="J358" s="24" t="s">
        <v>881</v>
      </c>
      <c r="K358" s="24" t="s">
        <v>1710</v>
      </c>
      <c r="L358" s="24" t="s">
        <v>67</v>
      </c>
      <c r="M358" s="24" t="s">
        <v>74</v>
      </c>
      <c r="N358" s="24" t="s">
        <v>74</v>
      </c>
      <c r="O358" s="25">
        <v>0.5</v>
      </c>
      <c r="P358" s="24"/>
      <c r="Q358" s="24"/>
      <c r="R358" s="24"/>
      <c r="S358" s="24">
        <v>0.2</v>
      </c>
      <c r="T358" s="24"/>
      <c r="U358" s="24"/>
      <c r="V358" s="24">
        <v>1.8</v>
      </c>
      <c r="XDO358"/>
      <c r="XDP358"/>
      <c r="XDQ358"/>
      <c r="XDR358"/>
      <c r="XDS358"/>
    </row>
    <row r="359" s="21" customFormat="1" spans="1:16347">
      <c r="A359" s="24" t="s">
        <v>58</v>
      </c>
      <c r="B359" s="25" t="s">
        <v>59</v>
      </c>
      <c r="C359" s="24" t="s">
        <v>60</v>
      </c>
      <c r="D359" s="24" t="s">
        <v>1711</v>
      </c>
      <c r="E359" s="24" t="s">
        <v>1712</v>
      </c>
      <c r="F359" s="24" t="s">
        <v>1713</v>
      </c>
      <c r="G359" s="24" t="s">
        <v>1714</v>
      </c>
      <c r="H359" s="24"/>
      <c r="I359" s="25">
        <v>2.5</v>
      </c>
      <c r="J359" s="24" t="s">
        <v>881</v>
      </c>
      <c r="K359" s="24" t="s">
        <v>1715</v>
      </c>
      <c r="L359" s="24" t="s">
        <v>67</v>
      </c>
      <c r="M359" s="24" t="s">
        <v>445</v>
      </c>
      <c r="N359" s="24" t="s">
        <v>445</v>
      </c>
      <c r="O359" s="25">
        <v>0.5</v>
      </c>
      <c r="P359" s="24"/>
      <c r="Q359" s="24"/>
      <c r="R359" s="24"/>
      <c r="S359" s="24">
        <v>0.2</v>
      </c>
      <c r="T359" s="24"/>
      <c r="U359" s="24"/>
      <c r="V359" s="24">
        <v>1.8</v>
      </c>
      <c r="XDO359"/>
      <c r="XDP359"/>
      <c r="XDQ359"/>
      <c r="XDR359"/>
      <c r="XDS359"/>
    </row>
    <row r="360" s="21" customFormat="1" spans="1:16347">
      <c r="A360" s="24" t="s">
        <v>58</v>
      </c>
      <c r="B360" s="25" t="s">
        <v>59</v>
      </c>
      <c r="C360" s="24" t="s">
        <v>60</v>
      </c>
      <c r="D360" s="24" t="s">
        <v>1716</v>
      </c>
      <c r="E360" s="24" t="s">
        <v>1717</v>
      </c>
      <c r="F360" s="24" t="s">
        <v>1718</v>
      </c>
      <c r="G360" s="24" t="s">
        <v>1719</v>
      </c>
      <c r="H360" s="24"/>
      <c r="I360" s="25">
        <v>2.5</v>
      </c>
      <c r="J360" s="24" t="s">
        <v>881</v>
      </c>
      <c r="K360" s="24" t="s">
        <v>1720</v>
      </c>
      <c r="L360" s="24" t="s">
        <v>67</v>
      </c>
      <c r="M360" s="24" t="s">
        <v>74</v>
      </c>
      <c r="N360" s="24" t="s">
        <v>74</v>
      </c>
      <c r="O360" s="25">
        <v>0.5</v>
      </c>
      <c r="P360" s="24"/>
      <c r="Q360" s="24"/>
      <c r="R360" s="24"/>
      <c r="S360" s="24">
        <v>0.2</v>
      </c>
      <c r="T360" s="24"/>
      <c r="U360" s="24"/>
      <c r="V360" s="24">
        <v>1.8</v>
      </c>
      <c r="XDO360"/>
      <c r="XDP360"/>
      <c r="XDQ360"/>
      <c r="XDR360"/>
      <c r="XDS360"/>
    </row>
    <row r="361" s="21" customFormat="1" spans="1:16347">
      <c r="A361" s="24" t="s">
        <v>58</v>
      </c>
      <c r="B361" s="25" t="s">
        <v>59</v>
      </c>
      <c r="C361" s="24" t="s">
        <v>60</v>
      </c>
      <c r="D361" s="24" t="s">
        <v>1721</v>
      </c>
      <c r="E361" s="24" t="s">
        <v>1722</v>
      </c>
      <c r="F361" s="24" t="s">
        <v>1723</v>
      </c>
      <c r="G361" s="24" t="s">
        <v>1724</v>
      </c>
      <c r="H361" s="24"/>
      <c r="I361" s="25">
        <v>2.95</v>
      </c>
      <c r="J361" s="24" t="s">
        <v>881</v>
      </c>
      <c r="K361" s="24" t="s">
        <v>1725</v>
      </c>
      <c r="L361" s="24" t="s">
        <v>67</v>
      </c>
      <c r="M361" s="24" t="s">
        <v>1246</v>
      </c>
      <c r="N361" s="24" t="s">
        <v>1246</v>
      </c>
      <c r="O361" s="25">
        <v>0.5</v>
      </c>
      <c r="P361" s="24"/>
      <c r="Q361" s="24"/>
      <c r="R361" s="24"/>
      <c r="S361" s="24">
        <v>0.5</v>
      </c>
      <c r="T361" s="24"/>
      <c r="U361" s="24"/>
      <c r="V361" s="24">
        <v>1.95</v>
      </c>
      <c r="XDO361"/>
      <c r="XDP361"/>
      <c r="XDQ361"/>
      <c r="XDR361"/>
      <c r="XDS361"/>
    </row>
    <row r="362" s="21" customFormat="1" spans="1:16347">
      <c r="A362" s="24" t="s">
        <v>58</v>
      </c>
      <c r="B362" s="25" t="s">
        <v>59</v>
      </c>
      <c r="C362" s="24" t="s">
        <v>60</v>
      </c>
      <c r="D362" s="24" t="s">
        <v>1726</v>
      </c>
      <c r="E362" s="24" t="s">
        <v>1727</v>
      </c>
      <c r="F362" s="24" t="s">
        <v>1728</v>
      </c>
      <c r="G362" s="24" t="s">
        <v>1729</v>
      </c>
      <c r="H362" s="24"/>
      <c r="I362" s="25">
        <v>7.5</v>
      </c>
      <c r="J362" s="24" t="s">
        <v>65</v>
      </c>
      <c r="K362" s="24" t="s">
        <v>1730</v>
      </c>
      <c r="L362" s="24" t="s">
        <v>67</v>
      </c>
      <c r="M362" s="24" t="s">
        <v>148</v>
      </c>
      <c r="N362" s="24" t="s">
        <v>148</v>
      </c>
      <c r="O362" s="25">
        <v>3</v>
      </c>
      <c r="P362" s="24"/>
      <c r="Q362" s="24"/>
      <c r="R362" s="24"/>
      <c r="S362" s="24">
        <v>1</v>
      </c>
      <c r="T362" s="24"/>
      <c r="U362" s="24"/>
      <c r="V362" s="24">
        <v>3.5</v>
      </c>
      <c r="XDO362"/>
      <c r="XDP362"/>
      <c r="XDQ362"/>
      <c r="XDR362"/>
      <c r="XDS362"/>
    </row>
    <row r="363" s="21" customFormat="1" spans="1:16347">
      <c r="A363" s="24" t="s">
        <v>58</v>
      </c>
      <c r="B363" s="25" t="s">
        <v>59</v>
      </c>
      <c r="C363" s="24" t="s">
        <v>60</v>
      </c>
      <c r="D363" s="24" t="s">
        <v>1731</v>
      </c>
      <c r="E363" s="24" t="s">
        <v>1732</v>
      </c>
      <c r="F363" s="24" t="s">
        <v>1733</v>
      </c>
      <c r="G363" s="24" t="s">
        <v>1724</v>
      </c>
      <c r="H363" s="24"/>
      <c r="I363" s="25">
        <v>3.6</v>
      </c>
      <c r="J363" s="24" t="s">
        <v>65</v>
      </c>
      <c r="K363" s="24" t="s">
        <v>1734</v>
      </c>
      <c r="L363" s="24" t="s">
        <v>67</v>
      </c>
      <c r="M363" s="24" t="s">
        <v>189</v>
      </c>
      <c r="N363" s="24" t="s">
        <v>189</v>
      </c>
      <c r="O363" s="25">
        <v>0.7</v>
      </c>
      <c r="P363" s="24"/>
      <c r="Q363" s="24"/>
      <c r="R363" s="24"/>
      <c r="S363" s="24">
        <v>0.5</v>
      </c>
      <c r="T363" s="24"/>
      <c r="U363" s="24"/>
      <c r="V363" s="24">
        <v>2.4</v>
      </c>
      <c r="XDO363"/>
      <c r="XDP363"/>
      <c r="XDQ363"/>
      <c r="XDR363"/>
      <c r="XDS363"/>
    </row>
    <row r="364" s="21" customFormat="1" spans="1:16347">
      <c r="A364" s="24" t="s">
        <v>58</v>
      </c>
      <c r="B364" s="25" t="s">
        <v>59</v>
      </c>
      <c r="C364" s="24" t="s">
        <v>60</v>
      </c>
      <c r="D364" s="24" t="s">
        <v>1735</v>
      </c>
      <c r="E364" s="24" t="s">
        <v>1736</v>
      </c>
      <c r="F364" s="24" t="s">
        <v>1737</v>
      </c>
      <c r="G364" s="24" t="s">
        <v>1738</v>
      </c>
      <c r="H364" s="24"/>
      <c r="I364" s="25">
        <v>3.6</v>
      </c>
      <c r="J364" s="24" t="s">
        <v>65</v>
      </c>
      <c r="K364" s="24" t="s">
        <v>1739</v>
      </c>
      <c r="L364" s="24" t="s">
        <v>67</v>
      </c>
      <c r="M364" s="24" t="s">
        <v>189</v>
      </c>
      <c r="N364" s="24" t="s">
        <v>189</v>
      </c>
      <c r="O364" s="25">
        <v>0.7</v>
      </c>
      <c r="P364" s="24"/>
      <c r="Q364" s="24"/>
      <c r="R364" s="24"/>
      <c r="S364" s="24">
        <v>0.5</v>
      </c>
      <c r="T364" s="24"/>
      <c r="U364" s="24"/>
      <c r="V364" s="24">
        <v>2.4</v>
      </c>
      <c r="XDO364"/>
      <c r="XDP364"/>
      <c r="XDQ364"/>
      <c r="XDR364"/>
      <c r="XDS364"/>
    </row>
    <row r="365" s="21" customFormat="1" spans="1:16347">
      <c r="A365" s="24" t="s">
        <v>58</v>
      </c>
      <c r="B365" s="25" t="s">
        <v>59</v>
      </c>
      <c r="C365" s="24" t="s">
        <v>60</v>
      </c>
      <c r="D365" s="24" t="s">
        <v>1740</v>
      </c>
      <c r="E365" s="24" t="s">
        <v>1741</v>
      </c>
      <c r="F365" s="24" t="s">
        <v>1742</v>
      </c>
      <c r="G365" s="24" t="s">
        <v>1738</v>
      </c>
      <c r="H365" s="24"/>
      <c r="I365" s="25">
        <v>2.5</v>
      </c>
      <c r="J365" s="24" t="s">
        <v>881</v>
      </c>
      <c r="K365" s="24" t="s">
        <v>1743</v>
      </c>
      <c r="L365" s="24" t="s">
        <v>67</v>
      </c>
      <c r="M365" s="24" t="s">
        <v>74</v>
      </c>
      <c r="N365" s="24" t="s">
        <v>74</v>
      </c>
      <c r="O365" s="25">
        <v>0.5</v>
      </c>
      <c r="P365" s="24"/>
      <c r="Q365" s="24"/>
      <c r="R365" s="24"/>
      <c r="S365" s="24">
        <v>0.2</v>
      </c>
      <c r="T365" s="24"/>
      <c r="U365" s="24"/>
      <c r="V365" s="24">
        <v>1.8</v>
      </c>
      <c r="XDO365"/>
      <c r="XDP365"/>
      <c r="XDQ365"/>
      <c r="XDR365"/>
      <c r="XDS365"/>
    </row>
    <row r="366" s="21" customFormat="1" spans="1:16347">
      <c r="A366" s="24" t="s">
        <v>58</v>
      </c>
      <c r="B366" s="25" t="s">
        <v>59</v>
      </c>
      <c r="C366" s="24" t="s">
        <v>60</v>
      </c>
      <c r="D366" s="24" t="s">
        <v>1744</v>
      </c>
      <c r="E366" s="24" t="s">
        <v>1745</v>
      </c>
      <c r="F366" s="24" t="s">
        <v>1746</v>
      </c>
      <c r="G366" s="24" t="s">
        <v>1738</v>
      </c>
      <c r="H366" s="24"/>
      <c r="I366" s="25">
        <v>3</v>
      </c>
      <c r="J366" s="24" t="s">
        <v>881</v>
      </c>
      <c r="K366" s="24" t="s">
        <v>1747</v>
      </c>
      <c r="L366" s="24" t="s">
        <v>67</v>
      </c>
      <c r="M366" s="24" t="s">
        <v>132</v>
      </c>
      <c r="N366" s="24" t="s">
        <v>132</v>
      </c>
      <c r="O366" s="25">
        <v>1</v>
      </c>
      <c r="P366" s="24"/>
      <c r="Q366" s="24"/>
      <c r="R366" s="24"/>
      <c r="S366" s="24">
        <v>0.2</v>
      </c>
      <c r="T366" s="24"/>
      <c r="U366" s="24"/>
      <c r="V366" s="24">
        <v>1.8</v>
      </c>
      <c r="XDO366"/>
      <c r="XDP366"/>
      <c r="XDQ366"/>
      <c r="XDR366"/>
      <c r="XDS366"/>
    </row>
    <row r="367" s="21" customFormat="1" spans="1:16347">
      <c r="A367" s="24" t="s">
        <v>58</v>
      </c>
      <c r="B367" s="25" t="s">
        <v>59</v>
      </c>
      <c r="C367" s="24" t="s">
        <v>60</v>
      </c>
      <c r="D367" s="24" t="s">
        <v>1748</v>
      </c>
      <c r="E367" s="24" t="s">
        <v>1749</v>
      </c>
      <c r="F367" s="24" t="s">
        <v>1750</v>
      </c>
      <c r="G367" s="24" t="s">
        <v>1729</v>
      </c>
      <c r="H367" s="24"/>
      <c r="I367" s="25">
        <v>2.45</v>
      </c>
      <c r="J367" s="24" t="s">
        <v>881</v>
      </c>
      <c r="K367" s="24" t="s">
        <v>1751</v>
      </c>
      <c r="L367" s="24" t="s">
        <v>67</v>
      </c>
      <c r="M367" s="24" t="s">
        <v>363</v>
      </c>
      <c r="N367" s="24" t="s">
        <v>363</v>
      </c>
      <c r="O367" s="25">
        <v>0.5</v>
      </c>
      <c r="P367" s="24"/>
      <c r="Q367" s="24"/>
      <c r="R367" s="24"/>
      <c r="S367" s="24"/>
      <c r="T367" s="24"/>
      <c r="U367" s="24"/>
      <c r="V367" s="24">
        <v>1.95</v>
      </c>
      <c r="XDO367"/>
      <c r="XDP367"/>
      <c r="XDQ367"/>
      <c r="XDR367"/>
      <c r="XDS367"/>
    </row>
    <row r="368" s="21" customFormat="1" spans="1:16347">
      <c r="A368" s="24" t="s">
        <v>58</v>
      </c>
      <c r="B368" s="25" t="s">
        <v>59</v>
      </c>
      <c r="C368" s="24" t="s">
        <v>60</v>
      </c>
      <c r="D368" s="24" t="s">
        <v>1752</v>
      </c>
      <c r="E368" s="24" t="s">
        <v>1753</v>
      </c>
      <c r="F368" s="24" t="s">
        <v>1754</v>
      </c>
      <c r="G368" s="24" t="s">
        <v>1729</v>
      </c>
      <c r="H368" s="24"/>
      <c r="I368" s="25">
        <v>8.5</v>
      </c>
      <c r="J368" s="24" t="s">
        <v>65</v>
      </c>
      <c r="K368" s="24" t="s">
        <v>1755</v>
      </c>
      <c r="L368" s="24" t="s">
        <v>67</v>
      </c>
      <c r="M368" s="24" t="s">
        <v>861</v>
      </c>
      <c r="N368" s="24" t="s">
        <v>861</v>
      </c>
      <c r="O368" s="25">
        <v>4</v>
      </c>
      <c r="P368" s="24"/>
      <c r="Q368" s="24"/>
      <c r="R368" s="24"/>
      <c r="S368" s="24">
        <v>1</v>
      </c>
      <c r="T368" s="24"/>
      <c r="U368" s="24"/>
      <c r="V368" s="24">
        <v>3.5</v>
      </c>
      <c r="XDO368"/>
      <c r="XDP368"/>
      <c r="XDQ368"/>
      <c r="XDR368"/>
      <c r="XDS368"/>
    </row>
    <row r="369" s="21" customFormat="1" spans="1:16347">
      <c r="A369" s="24" t="s">
        <v>58</v>
      </c>
      <c r="B369" s="25" t="s">
        <v>59</v>
      </c>
      <c r="C369" s="24" t="s">
        <v>60</v>
      </c>
      <c r="D369" s="24" t="s">
        <v>1756</v>
      </c>
      <c r="E369" s="24" t="s">
        <v>1757</v>
      </c>
      <c r="F369" s="24" t="s">
        <v>1758</v>
      </c>
      <c r="G369" s="24" t="s">
        <v>1759</v>
      </c>
      <c r="H369" s="24"/>
      <c r="I369" s="25">
        <v>2.5</v>
      </c>
      <c r="J369" s="24" t="s">
        <v>881</v>
      </c>
      <c r="K369" s="24" t="s">
        <v>1760</v>
      </c>
      <c r="L369" s="24" t="s">
        <v>67</v>
      </c>
      <c r="M369" s="24" t="s">
        <v>74</v>
      </c>
      <c r="N369" s="24" t="s">
        <v>74</v>
      </c>
      <c r="O369" s="25">
        <v>0.5</v>
      </c>
      <c r="P369" s="24"/>
      <c r="Q369" s="24"/>
      <c r="R369" s="24"/>
      <c r="S369" s="24">
        <v>0.2</v>
      </c>
      <c r="T369" s="24"/>
      <c r="U369" s="24"/>
      <c r="V369" s="24">
        <v>1.8</v>
      </c>
      <c r="XDO369"/>
      <c r="XDP369"/>
      <c r="XDQ369"/>
      <c r="XDR369"/>
      <c r="XDS369"/>
    </row>
    <row r="370" s="21" customFormat="1" spans="1:16347">
      <c r="A370" s="24" t="s">
        <v>58</v>
      </c>
      <c r="B370" s="25" t="s">
        <v>59</v>
      </c>
      <c r="C370" s="24" t="s">
        <v>60</v>
      </c>
      <c r="D370" s="24" t="s">
        <v>1761</v>
      </c>
      <c r="E370" s="24" t="s">
        <v>1762</v>
      </c>
      <c r="F370" s="24" t="s">
        <v>1763</v>
      </c>
      <c r="G370" s="24" t="s">
        <v>1759</v>
      </c>
      <c r="H370" s="24"/>
      <c r="I370" s="25">
        <v>4.8</v>
      </c>
      <c r="J370" s="24" t="s">
        <v>65</v>
      </c>
      <c r="K370" s="24" t="s">
        <v>1764</v>
      </c>
      <c r="L370" s="24" t="s">
        <v>67</v>
      </c>
      <c r="M370" s="24" t="s">
        <v>164</v>
      </c>
      <c r="N370" s="24" t="s">
        <v>164</v>
      </c>
      <c r="O370" s="25">
        <v>2</v>
      </c>
      <c r="P370" s="24"/>
      <c r="Q370" s="24"/>
      <c r="R370" s="24"/>
      <c r="S370" s="24"/>
      <c r="T370" s="24"/>
      <c r="U370" s="24"/>
      <c r="V370" s="24">
        <v>2.8</v>
      </c>
      <c r="XDO370"/>
      <c r="XDP370"/>
      <c r="XDQ370"/>
      <c r="XDR370"/>
      <c r="XDS370"/>
    </row>
    <row r="371" s="21" customFormat="1" spans="1:16347">
      <c r="A371" s="24" t="s">
        <v>58</v>
      </c>
      <c r="B371" s="25" t="s">
        <v>59</v>
      </c>
      <c r="C371" s="24" t="s">
        <v>60</v>
      </c>
      <c r="D371" s="24" t="s">
        <v>1765</v>
      </c>
      <c r="E371" s="24" t="s">
        <v>1766</v>
      </c>
      <c r="F371" s="24" t="s">
        <v>1767</v>
      </c>
      <c r="G371" s="24" t="s">
        <v>1759</v>
      </c>
      <c r="H371" s="24"/>
      <c r="I371" s="25">
        <v>2.5</v>
      </c>
      <c r="J371" s="24" t="s">
        <v>881</v>
      </c>
      <c r="K371" s="24" t="s">
        <v>1768</v>
      </c>
      <c r="L371" s="24" t="s">
        <v>67</v>
      </c>
      <c r="M371" s="24" t="s">
        <v>74</v>
      </c>
      <c r="N371" s="24" t="s">
        <v>74</v>
      </c>
      <c r="O371" s="25">
        <v>0.5</v>
      </c>
      <c r="P371" s="24"/>
      <c r="Q371" s="24"/>
      <c r="R371" s="24"/>
      <c r="S371" s="24">
        <v>0.2</v>
      </c>
      <c r="T371" s="24"/>
      <c r="U371" s="24"/>
      <c r="V371" s="24">
        <v>1.8</v>
      </c>
      <c r="XDO371"/>
      <c r="XDP371"/>
      <c r="XDQ371"/>
      <c r="XDR371"/>
      <c r="XDS371"/>
    </row>
    <row r="372" s="21" customFormat="1" spans="1:16347">
      <c r="A372" s="24" t="s">
        <v>58</v>
      </c>
      <c r="B372" s="25" t="s">
        <v>59</v>
      </c>
      <c r="C372" s="24" t="s">
        <v>60</v>
      </c>
      <c r="D372" s="24" t="s">
        <v>1769</v>
      </c>
      <c r="E372" s="24" t="s">
        <v>1770</v>
      </c>
      <c r="F372" s="24" t="s">
        <v>1771</v>
      </c>
      <c r="G372" s="24" t="s">
        <v>1759</v>
      </c>
      <c r="H372" s="24"/>
      <c r="I372" s="25">
        <v>2.45</v>
      </c>
      <c r="J372" s="33" t="s">
        <v>881</v>
      </c>
      <c r="K372" s="24" t="s">
        <v>1772</v>
      </c>
      <c r="L372" s="24" t="s">
        <v>67</v>
      </c>
      <c r="M372" s="24" t="s">
        <v>1246</v>
      </c>
      <c r="N372" s="24" t="s">
        <v>1246</v>
      </c>
      <c r="O372" s="25">
        <v>0.5</v>
      </c>
      <c r="P372" s="24"/>
      <c r="Q372" s="24"/>
      <c r="R372" s="24"/>
      <c r="S372" s="24"/>
      <c r="T372" s="24"/>
      <c r="U372" s="24"/>
      <c r="V372" s="24">
        <v>1.95</v>
      </c>
      <c r="XDO372"/>
      <c r="XDP372"/>
      <c r="XDQ372"/>
      <c r="XDR372"/>
      <c r="XDS372"/>
    </row>
    <row r="373" s="21" customFormat="1" spans="1:16347">
      <c r="A373" s="24" t="s">
        <v>58</v>
      </c>
      <c r="B373" s="25" t="s">
        <v>59</v>
      </c>
      <c r="C373" s="24" t="s">
        <v>60</v>
      </c>
      <c r="D373" s="24" t="s">
        <v>1773</v>
      </c>
      <c r="E373" s="24" t="s">
        <v>1774</v>
      </c>
      <c r="F373" s="24" t="s">
        <v>1775</v>
      </c>
      <c r="G373" s="24" t="s">
        <v>1776</v>
      </c>
      <c r="H373" s="24"/>
      <c r="I373" s="25">
        <v>3.6</v>
      </c>
      <c r="J373" s="33" t="s">
        <v>65</v>
      </c>
      <c r="K373" s="24" t="s">
        <v>1777</v>
      </c>
      <c r="L373" s="24" t="s">
        <v>67</v>
      </c>
      <c r="M373" s="24" t="s">
        <v>189</v>
      </c>
      <c r="N373" s="24" t="s">
        <v>189</v>
      </c>
      <c r="O373" s="25">
        <v>0.7</v>
      </c>
      <c r="P373" s="24"/>
      <c r="Q373" s="24"/>
      <c r="R373" s="24"/>
      <c r="S373" s="24">
        <v>0.5</v>
      </c>
      <c r="T373" s="24"/>
      <c r="U373" s="24"/>
      <c r="V373" s="24">
        <v>2.4</v>
      </c>
      <c r="XDO373"/>
      <c r="XDP373"/>
      <c r="XDQ373"/>
      <c r="XDR373"/>
      <c r="XDS373"/>
    </row>
    <row r="374" s="21" customFormat="1" spans="1:16347">
      <c r="A374" s="24" t="s">
        <v>58</v>
      </c>
      <c r="B374" s="25" t="s">
        <v>59</v>
      </c>
      <c r="C374" s="24" t="s">
        <v>60</v>
      </c>
      <c r="D374" s="24" t="s">
        <v>1778</v>
      </c>
      <c r="E374" s="24" t="s">
        <v>1779</v>
      </c>
      <c r="F374" s="24" t="s">
        <v>1780</v>
      </c>
      <c r="G374" s="24" t="s">
        <v>1776</v>
      </c>
      <c r="H374" s="24"/>
      <c r="I374" s="25">
        <v>6.5</v>
      </c>
      <c r="J374" s="33" t="s">
        <v>65</v>
      </c>
      <c r="K374" s="24" t="s">
        <v>1781</v>
      </c>
      <c r="L374" s="24" t="s">
        <v>67</v>
      </c>
      <c r="M374" s="24" t="s">
        <v>1782</v>
      </c>
      <c r="N374" s="24" t="s">
        <v>1782</v>
      </c>
      <c r="O374" s="25">
        <v>3</v>
      </c>
      <c r="P374" s="24"/>
      <c r="Q374" s="24"/>
      <c r="R374" s="24"/>
      <c r="S374" s="24"/>
      <c r="T374" s="24"/>
      <c r="U374" s="24"/>
      <c r="V374" s="24">
        <v>3.5</v>
      </c>
      <c r="XDO374"/>
      <c r="XDP374"/>
      <c r="XDQ374"/>
      <c r="XDR374"/>
      <c r="XDS374"/>
    </row>
    <row r="375" s="21" customFormat="1" spans="1:16347">
      <c r="A375" s="24" t="s">
        <v>58</v>
      </c>
      <c r="B375" s="25" t="s">
        <v>59</v>
      </c>
      <c r="C375" s="24" t="s">
        <v>60</v>
      </c>
      <c r="D375" s="24" t="s">
        <v>1783</v>
      </c>
      <c r="E375" s="24" t="s">
        <v>1784</v>
      </c>
      <c r="F375" s="24" t="s">
        <v>1785</v>
      </c>
      <c r="G375" s="24" t="s">
        <v>1776</v>
      </c>
      <c r="H375" s="24"/>
      <c r="I375" s="25">
        <v>3.6</v>
      </c>
      <c r="J375" s="33" t="s">
        <v>65</v>
      </c>
      <c r="K375" s="24" t="s">
        <v>1786</v>
      </c>
      <c r="L375" s="24" t="s">
        <v>67</v>
      </c>
      <c r="M375" s="24" t="s">
        <v>189</v>
      </c>
      <c r="N375" s="24" t="s">
        <v>189</v>
      </c>
      <c r="O375" s="25">
        <v>0.7</v>
      </c>
      <c r="P375" s="24"/>
      <c r="Q375" s="24"/>
      <c r="R375" s="24"/>
      <c r="S375" s="24">
        <v>0.5</v>
      </c>
      <c r="T375" s="24"/>
      <c r="U375" s="24"/>
      <c r="V375" s="24">
        <v>2.4</v>
      </c>
      <c r="XDO375"/>
      <c r="XDP375"/>
      <c r="XDQ375"/>
      <c r="XDR375"/>
      <c r="XDS375"/>
    </row>
    <row r="376" s="21" customFormat="1" spans="1:16347">
      <c r="A376" s="24" t="s">
        <v>58</v>
      </c>
      <c r="B376" s="25" t="s">
        <v>59</v>
      </c>
      <c r="C376" s="24" t="s">
        <v>60</v>
      </c>
      <c r="D376" s="24" t="s">
        <v>1787</v>
      </c>
      <c r="E376" s="24" t="s">
        <v>1788</v>
      </c>
      <c r="F376" s="24" t="s">
        <v>1789</v>
      </c>
      <c r="G376" s="24" t="s">
        <v>1790</v>
      </c>
      <c r="H376" s="24"/>
      <c r="I376" s="25">
        <v>3.5</v>
      </c>
      <c r="J376" s="33" t="s">
        <v>65</v>
      </c>
      <c r="K376" s="24" t="s">
        <v>1791</v>
      </c>
      <c r="L376" s="24" t="s">
        <v>1493</v>
      </c>
      <c r="M376" s="24" t="s">
        <v>79</v>
      </c>
      <c r="N376" s="24" t="s">
        <v>79</v>
      </c>
      <c r="O376" s="25">
        <v>0.7</v>
      </c>
      <c r="P376" s="24"/>
      <c r="Q376" s="24"/>
      <c r="R376" s="24"/>
      <c r="S376" s="24">
        <v>0.5</v>
      </c>
      <c r="T376" s="24"/>
      <c r="U376" s="24"/>
      <c r="V376" s="24">
        <v>2.3</v>
      </c>
      <c r="XDO376"/>
      <c r="XDP376"/>
      <c r="XDQ376"/>
      <c r="XDR376"/>
      <c r="XDS376"/>
    </row>
    <row r="377" s="21" customFormat="1" spans="1:16347">
      <c r="A377" s="24" t="s">
        <v>58</v>
      </c>
      <c r="B377" s="25" t="s">
        <v>59</v>
      </c>
      <c r="C377" s="24" t="s">
        <v>60</v>
      </c>
      <c r="D377" s="24" t="s">
        <v>1792</v>
      </c>
      <c r="E377" s="24" t="s">
        <v>1793</v>
      </c>
      <c r="F377" s="24" t="s">
        <v>1794</v>
      </c>
      <c r="G377" s="24" t="s">
        <v>1790</v>
      </c>
      <c r="H377" s="24"/>
      <c r="I377" s="25">
        <v>3</v>
      </c>
      <c r="J377" s="33" t="s">
        <v>65</v>
      </c>
      <c r="K377" s="24" t="s">
        <v>1795</v>
      </c>
      <c r="L377" s="24" t="s">
        <v>67</v>
      </c>
      <c r="M377" s="24" t="s">
        <v>1796</v>
      </c>
      <c r="N377" s="24" t="s">
        <v>1796</v>
      </c>
      <c r="O377" s="25">
        <v>0.7</v>
      </c>
      <c r="P377" s="24"/>
      <c r="Q377" s="24"/>
      <c r="R377" s="24"/>
      <c r="S377" s="24"/>
      <c r="T377" s="24"/>
      <c r="U377" s="24"/>
      <c r="V377" s="24">
        <v>2.3</v>
      </c>
      <c r="XDO377"/>
      <c r="XDP377"/>
      <c r="XDQ377"/>
      <c r="XDR377"/>
      <c r="XDS377"/>
    </row>
    <row r="378" s="21" customFormat="1" spans="1:16347">
      <c r="A378" s="24" t="s">
        <v>58</v>
      </c>
      <c r="B378" s="25" t="s">
        <v>59</v>
      </c>
      <c r="C378" s="24" t="s">
        <v>60</v>
      </c>
      <c r="D378" s="24" t="s">
        <v>1797</v>
      </c>
      <c r="E378" s="24" t="s">
        <v>1798</v>
      </c>
      <c r="F378" s="24" t="s">
        <v>1799</v>
      </c>
      <c r="G378" s="24" t="s">
        <v>1790</v>
      </c>
      <c r="H378" s="24"/>
      <c r="I378" s="25">
        <v>2.3</v>
      </c>
      <c r="J378" s="33" t="s">
        <v>881</v>
      </c>
      <c r="K378" s="24" t="s">
        <v>1800</v>
      </c>
      <c r="L378" s="24" t="s">
        <v>67</v>
      </c>
      <c r="M378" s="24" t="s">
        <v>74</v>
      </c>
      <c r="N378" s="24" t="s">
        <v>74</v>
      </c>
      <c r="O378" s="25">
        <v>0.5</v>
      </c>
      <c r="P378" s="24"/>
      <c r="Q378" s="24"/>
      <c r="R378" s="24"/>
      <c r="S378" s="24"/>
      <c r="T378" s="24"/>
      <c r="U378" s="24"/>
      <c r="V378" s="24">
        <v>1.8</v>
      </c>
      <c r="XDO378"/>
      <c r="XDP378"/>
      <c r="XDQ378"/>
      <c r="XDR378"/>
      <c r="XDS378"/>
    </row>
    <row r="379" s="21" customFormat="1" spans="1:16347">
      <c r="A379" s="24" t="s">
        <v>58</v>
      </c>
      <c r="B379" s="25" t="s">
        <v>59</v>
      </c>
      <c r="C379" s="24" t="s">
        <v>60</v>
      </c>
      <c r="D379" s="24" t="s">
        <v>1801</v>
      </c>
      <c r="E379" s="24" t="s">
        <v>1802</v>
      </c>
      <c r="F379" s="24" t="s">
        <v>1803</v>
      </c>
      <c r="G379" s="24" t="s">
        <v>1790</v>
      </c>
      <c r="H379" s="24"/>
      <c r="I379" s="25">
        <v>2.5</v>
      </c>
      <c r="J379" s="33" t="s">
        <v>881</v>
      </c>
      <c r="K379" s="24" t="s">
        <v>1804</v>
      </c>
      <c r="L379" s="24" t="s">
        <v>67</v>
      </c>
      <c r="M379" s="24" t="s">
        <v>74</v>
      </c>
      <c r="N379" s="24" t="s">
        <v>74</v>
      </c>
      <c r="O379" s="25">
        <v>0.5</v>
      </c>
      <c r="P379" s="24"/>
      <c r="Q379" s="24"/>
      <c r="R379" s="24"/>
      <c r="S379" s="24">
        <v>0.2</v>
      </c>
      <c r="T379" s="24"/>
      <c r="U379" s="24"/>
      <c r="V379" s="24">
        <v>1.8</v>
      </c>
      <c r="XDO379"/>
      <c r="XDP379"/>
      <c r="XDQ379"/>
      <c r="XDR379"/>
      <c r="XDS379"/>
    </row>
    <row r="380" s="21" customFormat="1" spans="1:16347">
      <c r="A380" s="24" t="s">
        <v>58</v>
      </c>
      <c r="B380" s="25" t="s">
        <v>59</v>
      </c>
      <c r="C380" s="24" t="s">
        <v>60</v>
      </c>
      <c r="D380" s="24" t="s">
        <v>1805</v>
      </c>
      <c r="E380" s="24" t="s">
        <v>1806</v>
      </c>
      <c r="F380" s="24" t="s">
        <v>1807</v>
      </c>
      <c r="G380" s="24" t="s">
        <v>1808</v>
      </c>
      <c r="H380" s="24"/>
      <c r="I380" s="25">
        <v>3.3</v>
      </c>
      <c r="J380" s="33" t="s">
        <v>65</v>
      </c>
      <c r="K380" s="24" t="s">
        <v>1809</v>
      </c>
      <c r="L380" s="24" t="s">
        <v>67</v>
      </c>
      <c r="M380" s="24" t="s">
        <v>209</v>
      </c>
      <c r="N380" s="24" t="s">
        <v>209</v>
      </c>
      <c r="O380" s="25">
        <v>0.5</v>
      </c>
      <c r="P380" s="24"/>
      <c r="Q380" s="24"/>
      <c r="R380" s="24"/>
      <c r="S380" s="24">
        <v>0.5</v>
      </c>
      <c r="T380" s="24"/>
      <c r="U380" s="24"/>
      <c r="V380" s="24">
        <v>2.3</v>
      </c>
      <c r="XDO380"/>
      <c r="XDP380"/>
      <c r="XDQ380"/>
      <c r="XDR380"/>
      <c r="XDS380"/>
    </row>
    <row r="381" s="21" customFormat="1" spans="1:16347">
      <c r="A381" s="24" t="s">
        <v>58</v>
      </c>
      <c r="B381" s="25" t="s">
        <v>59</v>
      </c>
      <c r="C381" s="24" t="s">
        <v>60</v>
      </c>
      <c r="D381" s="24" t="s">
        <v>1810</v>
      </c>
      <c r="E381" s="24" t="s">
        <v>1811</v>
      </c>
      <c r="F381" s="24" t="s">
        <v>1812</v>
      </c>
      <c r="G381" s="24" t="s">
        <v>1813</v>
      </c>
      <c r="H381" s="24"/>
      <c r="I381" s="25">
        <v>3.6</v>
      </c>
      <c r="J381" s="33" t="s">
        <v>65</v>
      </c>
      <c r="K381" s="24" t="s">
        <v>1814</v>
      </c>
      <c r="L381" s="24" t="s">
        <v>67</v>
      </c>
      <c r="M381" s="24" t="s">
        <v>179</v>
      </c>
      <c r="N381" s="24" t="s">
        <v>179</v>
      </c>
      <c r="O381" s="25">
        <v>0.7</v>
      </c>
      <c r="P381" s="24"/>
      <c r="Q381" s="24"/>
      <c r="R381" s="24"/>
      <c r="S381" s="24">
        <v>0.5</v>
      </c>
      <c r="T381" s="24"/>
      <c r="U381" s="24"/>
      <c r="V381" s="24">
        <v>2.4</v>
      </c>
      <c r="XDO381"/>
      <c r="XDP381"/>
      <c r="XDQ381"/>
      <c r="XDR381"/>
      <c r="XDS381"/>
    </row>
    <row r="382" s="21" customFormat="1" spans="1:16347">
      <c r="A382" s="24" t="s">
        <v>58</v>
      </c>
      <c r="B382" s="25" t="s">
        <v>59</v>
      </c>
      <c r="C382" s="24" t="s">
        <v>60</v>
      </c>
      <c r="D382" s="24" t="s">
        <v>1815</v>
      </c>
      <c r="E382" s="24" t="s">
        <v>1816</v>
      </c>
      <c r="F382" s="24" t="s">
        <v>1817</v>
      </c>
      <c r="G382" s="24" t="s">
        <v>1813</v>
      </c>
      <c r="H382" s="24"/>
      <c r="I382" s="25">
        <v>3.4</v>
      </c>
      <c r="J382" s="33" t="s">
        <v>65</v>
      </c>
      <c r="K382" s="24" t="s">
        <v>1818</v>
      </c>
      <c r="L382" s="24" t="s">
        <v>67</v>
      </c>
      <c r="M382" s="24" t="s">
        <v>200</v>
      </c>
      <c r="N382" s="24" t="s">
        <v>200</v>
      </c>
      <c r="O382" s="25">
        <v>0.7</v>
      </c>
      <c r="P382" s="24"/>
      <c r="Q382" s="24"/>
      <c r="R382" s="24"/>
      <c r="S382" s="24">
        <v>0.3</v>
      </c>
      <c r="T382" s="24"/>
      <c r="U382" s="24"/>
      <c r="V382" s="24">
        <v>2.4</v>
      </c>
      <c r="XDO382"/>
      <c r="XDP382"/>
      <c r="XDQ382"/>
      <c r="XDR382"/>
      <c r="XDS382"/>
    </row>
    <row r="383" s="21" customFormat="1" spans="1:16347">
      <c r="A383" s="24" t="s">
        <v>58</v>
      </c>
      <c r="B383" s="25" t="s">
        <v>59</v>
      </c>
      <c r="C383" s="24" t="s">
        <v>60</v>
      </c>
      <c r="D383" s="24" t="s">
        <v>1819</v>
      </c>
      <c r="E383" s="24" t="s">
        <v>1820</v>
      </c>
      <c r="F383" s="24" t="s">
        <v>1821</v>
      </c>
      <c r="G383" s="24" t="s">
        <v>1813</v>
      </c>
      <c r="H383" s="24"/>
      <c r="I383" s="25">
        <v>4.8</v>
      </c>
      <c r="J383" s="33" t="s">
        <v>65</v>
      </c>
      <c r="K383" s="24" t="s">
        <v>1822</v>
      </c>
      <c r="L383" s="24" t="s">
        <v>67</v>
      </c>
      <c r="M383" s="24" t="s">
        <v>1823</v>
      </c>
      <c r="N383" s="24" t="s">
        <v>1823</v>
      </c>
      <c r="O383" s="25">
        <v>2</v>
      </c>
      <c r="P383" s="24"/>
      <c r="Q383" s="24"/>
      <c r="R383" s="24"/>
      <c r="S383" s="24"/>
      <c r="T383" s="24"/>
      <c r="U383" s="24"/>
      <c r="V383" s="24">
        <v>2.8</v>
      </c>
      <c r="XDO383"/>
      <c r="XDP383"/>
      <c r="XDQ383"/>
      <c r="XDR383"/>
      <c r="XDS383"/>
    </row>
    <row r="384" s="21" customFormat="1" spans="1:16347">
      <c r="A384" s="24" t="s">
        <v>58</v>
      </c>
      <c r="B384" s="25" t="s">
        <v>59</v>
      </c>
      <c r="C384" s="24" t="s">
        <v>60</v>
      </c>
      <c r="D384" s="24" t="s">
        <v>1824</v>
      </c>
      <c r="E384" s="24" t="s">
        <v>1825</v>
      </c>
      <c r="F384" s="24" t="s">
        <v>1826</v>
      </c>
      <c r="G384" s="24" t="s">
        <v>1827</v>
      </c>
      <c r="H384" s="24"/>
      <c r="I384" s="25">
        <v>4.8</v>
      </c>
      <c r="J384" s="33" t="s">
        <v>65</v>
      </c>
      <c r="K384" s="24" t="s">
        <v>1828</v>
      </c>
      <c r="L384" s="24" t="s">
        <v>67</v>
      </c>
      <c r="M384" s="24" t="s">
        <v>164</v>
      </c>
      <c r="N384" s="24" t="s">
        <v>164</v>
      </c>
      <c r="O384" s="25">
        <v>2</v>
      </c>
      <c r="P384" s="24"/>
      <c r="Q384" s="24"/>
      <c r="R384" s="24"/>
      <c r="S384" s="24"/>
      <c r="T384" s="24"/>
      <c r="U384" s="24"/>
      <c r="V384" s="24">
        <v>2.8</v>
      </c>
      <c r="XDO384"/>
      <c r="XDP384"/>
      <c r="XDQ384"/>
      <c r="XDR384"/>
      <c r="XDS384"/>
    </row>
    <row r="385" s="21" customFormat="1" spans="1:16347">
      <c r="A385" s="24" t="s">
        <v>58</v>
      </c>
      <c r="B385" s="25" t="s">
        <v>59</v>
      </c>
      <c r="C385" s="24" t="s">
        <v>60</v>
      </c>
      <c r="D385" s="24" t="s">
        <v>1829</v>
      </c>
      <c r="E385" s="24" t="s">
        <v>1830</v>
      </c>
      <c r="F385" s="24" t="s">
        <v>1831</v>
      </c>
      <c r="G385" s="24" t="s">
        <v>1827</v>
      </c>
      <c r="H385" s="24"/>
      <c r="I385" s="25">
        <v>3.1</v>
      </c>
      <c r="J385" s="33" t="s">
        <v>65</v>
      </c>
      <c r="K385" s="24" t="s">
        <v>1832</v>
      </c>
      <c r="L385" s="24" t="s">
        <v>67</v>
      </c>
      <c r="M385" s="24" t="s">
        <v>661</v>
      </c>
      <c r="N385" s="24" t="s">
        <v>661</v>
      </c>
      <c r="O385" s="25">
        <v>0.7</v>
      </c>
      <c r="P385" s="24"/>
      <c r="Q385" s="24"/>
      <c r="R385" s="24"/>
      <c r="S385" s="24"/>
      <c r="T385" s="24"/>
      <c r="U385" s="24"/>
      <c r="V385" s="24">
        <v>2.4</v>
      </c>
      <c r="XDO385"/>
      <c r="XDP385"/>
      <c r="XDQ385"/>
      <c r="XDR385"/>
      <c r="XDS385"/>
    </row>
    <row r="386" s="21" customFormat="1" spans="1:16347">
      <c r="A386" s="24" t="s">
        <v>58</v>
      </c>
      <c r="B386" s="25" t="s">
        <v>59</v>
      </c>
      <c r="C386" s="24" t="s">
        <v>60</v>
      </c>
      <c r="D386" s="24" t="s">
        <v>1833</v>
      </c>
      <c r="E386" s="24" t="s">
        <v>1834</v>
      </c>
      <c r="F386" s="24" t="s">
        <v>1835</v>
      </c>
      <c r="G386" s="24" t="s">
        <v>1827</v>
      </c>
      <c r="H386" s="24"/>
      <c r="I386" s="25">
        <v>4.8</v>
      </c>
      <c r="J386" s="33" t="s">
        <v>65</v>
      </c>
      <c r="K386" s="24" t="s">
        <v>1836</v>
      </c>
      <c r="L386" s="24" t="s">
        <v>67</v>
      </c>
      <c r="M386" s="24" t="s">
        <v>164</v>
      </c>
      <c r="N386" s="24" t="s">
        <v>164</v>
      </c>
      <c r="O386" s="25">
        <v>2</v>
      </c>
      <c r="P386" s="24"/>
      <c r="Q386" s="24"/>
      <c r="R386" s="24"/>
      <c r="S386" s="24"/>
      <c r="T386" s="24"/>
      <c r="U386" s="24"/>
      <c r="V386" s="24">
        <v>2.8</v>
      </c>
      <c r="XDO386"/>
      <c r="XDP386"/>
      <c r="XDQ386"/>
      <c r="XDR386"/>
      <c r="XDS386"/>
    </row>
    <row r="387" s="21" customFormat="1" spans="1:16347">
      <c r="A387" s="24" t="s">
        <v>58</v>
      </c>
      <c r="B387" s="25" t="s">
        <v>59</v>
      </c>
      <c r="C387" s="24" t="s">
        <v>60</v>
      </c>
      <c r="D387" s="24" t="s">
        <v>1837</v>
      </c>
      <c r="E387" s="24" t="s">
        <v>1838</v>
      </c>
      <c r="F387" s="24" t="s">
        <v>1839</v>
      </c>
      <c r="G387" s="24" t="s">
        <v>1840</v>
      </c>
      <c r="H387" s="24"/>
      <c r="I387" s="25">
        <v>2.5</v>
      </c>
      <c r="J387" s="33" t="s">
        <v>881</v>
      </c>
      <c r="K387" s="24" t="s">
        <v>1841</v>
      </c>
      <c r="L387" s="24" t="s">
        <v>67</v>
      </c>
      <c r="M387" s="24" t="s">
        <v>137</v>
      </c>
      <c r="N387" s="24" t="s">
        <v>137</v>
      </c>
      <c r="O387" s="25">
        <v>0.5</v>
      </c>
      <c r="P387" s="24"/>
      <c r="Q387" s="24"/>
      <c r="R387" s="24"/>
      <c r="S387" s="24">
        <v>0.2</v>
      </c>
      <c r="T387" s="24"/>
      <c r="U387" s="24"/>
      <c r="V387" s="24">
        <v>1.8</v>
      </c>
      <c r="XDO387"/>
      <c r="XDP387"/>
      <c r="XDQ387"/>
      <c r="XDR387"/>
      <c r="XDS387"/>
    </row>
    <row r="388" s="21" customFormat="1" spans="1:16347">
      <c r="A388" s="24" t="s">
        <v>58</v>
      </c>
      <c r="B388" s="25" t="s">
        <v>59</v>
      </c>
      <c r="C388" s="24" t="s">
        <v>60</v>
      </c>
      <c r="D388" s="24" t="s">
        <v>1842</v>
      </c>
      <c r="E388" s="24" t="s">
        <v>1843</v>
      </c>
      <c r="F388" s="24" t="s">
        <v>1844</v>
      </c>
      <c r="G388" s="24" t="s">
        <v>1840</v>
      </c>
      <c r="H388" s="24"/>
      <c r="I388" s="25">
        <v>4.8</v>
      </c>
      <c r="J388" s="33" t="s">
        <v>65</v>
      </c>
      <c r="K388" s="24" t="s">
        <v>1845</v>
      </c>
      <c r="L388" s="24" t="s">
        <v>67</v>
      </c>
      <c r="M388" s="24" t="s">
        <v>164</v>
      </c>
      <c r="N388" s="24" t="s">
        <v>164</v>
      </c>
      <c r="O388" s="25">
        <v>2</v>
      </c>
      <c r="P388" s="24"/>
      <c r="Q388" s="24"/>
      <c r="R388" s="24"/>
      <c r="S388" s="24"/>
      <c r="T388" s="24"/>
      <c r="U388" s="24"/>
      <c r="V388" s="24">
        <v>2.8</v>
      </c>
      <c r="XDO388"/>
      <c r="XDP388"/>
      <c r="XDQ388"/>
      <c r="XDR388"/>
      <c r="XDS388"/>
    </row>
    <row r="389" s="21" customFormat="1" spans="1:16347">
      <c r="A389" s="24" t="s">
        <v>58</v>
      </c>
      <c r="B389" s="25" t="s">
        <v>59</v>
      </c>
      <c r="C389" s="24" t="s">
        <v>60</v>
      </c>
      <c r="D389" s="24" t="s">
        <v>1846</v>
      </c>
      <c r="E389" s="24" t="s">
        <v>1847</v>
      </c>
      <c r="F389" s="24" t="s">
        <v>1848</v>
      </c>
      <c r="G389" s="24" t="s">
        <v>1840</v>
      </c>
      <c r="H389" s="24"/>
      <c r="I389" s="25">
        <v>4.8</v>
      </c>
      <c r="J389" s="33" t="s">
        <v>65</v>
      </c>
      <c r="K389" s="24" t="s">
        <v>1849</v>
      </c>
      <c r="L389" s="24" t="s">
        <v>67</v>
      </c>
      <c r="M389" s="24" t="s">
        <v>164</v>
      </c>
      <c r="N389" s="24" t="s">
        <v>164</v>
      </c>
      <c r="O389" s="25">
        <v>2</v>
      </c>
      <c r="P389" s="24"/>
      <c r="Q389" s="24"/>
      <c r="R389" s="24"/>
      <c r="S389" s="24"/>
      <c r="T389" s="24"/>
      <c r="U389" s="24"/>
      <c r="V389" s="24">
        <v>2.8</v>
      </c>
      <c r="XDO389"/>
      <c r="XDP389"/>
      <c r="XDQ389"/>
      <c r="XDR389"/>
      <c r="XDS389"/>
    </row>
    <row r="390" s="21" customFormat="1" spans="1:16347">
      <c r="A390" s="24" t="s">
        <v>58</v>
      </c>
      <c r="B390" s="25" t="s">
        <v>59</v>
      </c>
      <c r="C390" s="24" t="s">
        <v>60</v>
      </c>
      <c r="D390" s="24" t="s">
        <v>1850</v>
      </c>
      <c r="E390" s="24" t="s">
        <v>1851</v>
      </c>
      <c r="F390" s="24" t="s">
        <v>1852</v>
      </c>
      <c r="G390" s="24" t="s">
        <v>1853</v>
      </c>
      <c r="H390" s="24"/>
      <c r="I390" s="25">
        <v>4.8</v>
      </c>
      <c r="J390" s="33" t="s">
        <v>65</v>
      </c>
      <c r="K390" s="24" t="s">
        <v>1854</v>
      </c>
      <c r="L390" s="24" t="s">
        <v>67</v>
      </c>
      <c r="M390" s="24" t="s">
        <v>164</v>
      </c>
      <c r="N390" s="24" t="s">
        <v>164</v>
      </c>
      <c r="O390" s="25">
        <v>2</v>
      </c>
      <c r="P390" s="24"/>
      <c r="Q390" s="24"/>
      <c r="R390" s="24"/>
      <c r="S390" s="24"/>
      <c r="T390" s="24"/>
      <c r="U390" s="24"/>
      <c r="V390" s="24">
        <v>2.8</v>
      </c>
      <c r="XDO390"/>
      <c r="XDP390"/>
      <c r="XDQ390"/>
      <c r="XDR390"/>
      <c r="XDS390"/>
    </row>
    <row r="391" s="21" customFormat="1" spans="1:16347">
      <c r="A391" s="24" t="s">
        <v>58</v>
      </c>
      <c r="B391" s="25" t="s">
        <v>59</v>
      </c>
      <c r="C391" s="24" t="s">
        <v>60</v>
      </c>
      <c r="D391" s="24" t="s">
        <v>1855</v>
      </c>
      <c r="E391" s="24" t="s">
        <v>1856</v>
      </c>
      <c r="F391" s="24" t="s">
        <v>1857</v>
      </c>
      <c r="G391" s="24" t="s">
        <v>1853</v>
      </c>
      <c r="H391" s="24"/>
      <c r="I391" s="25">
        <v>3.9</v>
      </c>
      <c r="J391" s="33" t="s">
        <v>65</v>
      </c>
      <c r="K391" s="24" t="s">
        <v>1858</v>
      </c>
      <c r="L391" s="24" t="s">
        <v>67</v>
      </c>
      <c r="M391" s="24" t="s">
        <v>479</v>
      </c>
      <c r="N391" s="24" t="s">
        <v>479</v>
      </c>
      <c r="O391" s="25">
        <v>1.2</v>
      </c>
      <c r="P391" s="24"/>
      <c r="Q391" s="24"/>
      <c r="R391" s="24"/>
      <c r="S391" s="24">
        <v>0.3</v>
      </c>
      <c r="T391" s="24"/>
      <c r="U391" s="24"/>
      <c r="V391" s="24">
        <v>2.4</v>
      </c>
      <c r="XDO391"/>
      <c r="XDP391"/>
      <c r="XDQ391"/>
      <c r="XDR391"/>
      <c r="XDS391"/>
    </row>
    <row r="392" s="21" customFormat="1" spans="1:16347">
      <c r="A392" s="24" t="s">
        <v>58</v>
      </c>
      <c r="B392" s="25" t="s">
        <v>59</v>
      </c>
      <c r="C392" s="24" t="s">
        <v>60</v>
      </c>
      <c r="D392" s="24" t="s">
        <v>1859</v>
      </c>
      <c r="E392" s="24" t="s">
        <v>1860</v>
      </c>
      <c r="F392" s="24" t="s">
        <v>1861</v>
      </c>
      <c r="G392" s="24" t="s">
        <v>1853</v>
      </c>
      <c r="H392" s="24"/>
      <c r="I392" s="25">
        <v>3</v>
      </c>
      <c r="J392" s="33" t="s">
        <v>65</v>
      </c>
      <c r="K392" s="24" t="s">
        <v>1862</v>
      </c>
      <c r="L392" s="24" t="s">
        <v>67</v>
      </c>
      <c r="M392" s="24" t="s">
        <v>672</v>
      </c>
      <c r="N392" s="24" t="s">
        <v>672</v>
      </c>
      <c r="O392" s="25">
        <v>0.5</v>
      </c>
      <c r="P392" s="24"/>
      <c r="Q392" s="24"/>
      <c r="R392" s="24"/>
      <c r="S392" s="24">
        <v>0.2</v>
      </c>
      <c r="T392" s="24"/>
      <c r="U392" s="24"/>
      <c r="V392" s="24">
        <v>2.3</v>
      </c>
      <c r="XDO392"/>
      <c r="XDP392"/>
      <c r="XDQ392"/>
      <c r="XDR392"/>
      <c r="XDS392"/>
    </row>
    <row r="393" s="21" customFormat="1" spans="1:16347">
      <c r="A393" s="24" t="s">
        <v>58</v>
      </c>
      <c r="B393" s="25" t="s">
        <v>59</v>
      </c>
      <c r="C393" s="24" t="s">
        <v>60</v>
      </c>
      <c r="D393" s="24" t="s">
        <v>1863</v>
      </c>
      <c r="E393" s="24" t="s">
        <v>1864</v>
      </c>
      <c r="F393" s="24" t="s">
        <v>1865</v>
      </c>
      <c r="G393" s="24" t="s">
        <v>1853</v>
      </c>
      <c r="H393" s="24"/>
      <c r="I393" s="25">
        <v>3.6</v>
      </c>
      <c r="J393" s="33" t="s">
        <v>65</v>
      </c>
      <c r="K393" s="24" t="s">
        <v>1866</v>
      </c>
      <c r="L393" s="24" t="s">
        <v>67</v>
      </c>
      <c r="M393" s="24" t="s">
        <v>744</v>
      </c>
      <c r="N393" s="24" t="s">
        <v>744</v>
      </c>
      <c r="O393" s="25">
        <v>1</v>
      </c>
      <c r="P393" s="24"/>
      <c r="Q393" s="24"/>
      <c r="R393" s="24"/>
      <c r="S393" s="24"/>
      <c r="T393" s="24"/>
      <c r="U393" s="24"/>
      <c r="V393" s="24">
        <v>2.6</v>
      </c>
      <c r="XDO393"/>
      <c r="XDP393"/>
      <c r="XDQ393"/>
      <c r="XDR393"/>
      <c r="XDS393"/>
    </row>
    <row r="394" s="21" customFormat="1" spans="1:16347">
      <c r="A394" s="24" t="s">
        <v>58</v>
      </c>
      <c r="B394" s="25" t="s">
        <v>59</v>
      </c>
      <c r="C394" s="24" t="s">
        <v>60</v>
      </c>
      <c r="D394" s="24" t="s">
        <v>1867</v>
      </c>
      <c r="E394" s="24" t="s">
        <v>1868</v>
      </c>
      <c r="F394" s="24" t="s">
        <v>1869</v>
      </c>
      <c r="G394" s="24" t="s">
        <v>1870</v>
      </c>
      <c r="H394" s="24"/>
      <c r="I394" s="25">
        <v>3.6</v>
      </c>
      <c r="J394" s="33" t="s">
        <v>65</v>
      </c>
      <c r="K394" s="24" t="s">
        <v>1871</v>
      </c>
      <c r="L394" s="24" t="s">
        <v>67</v>
      </c>
      <c r="M394" s="24" t="s">
        <v>179</v>
      </c>
      <c r="N394" s="24" t="s">
        <v>179</v>
      </c>
      <c r="O394" s="25">
        <v>0.7</v>
      </c>
      <c r="P394" s="24"/>
      <c r="Q394" s="24"/>
      <c r="R394" s="24"/>
      <c r="S394" s="24">
        <v>0.5</v>
      </c>
      <c r="T394" s="24"/>
      <c r="U394" s="24"/>
      <c r="V394" s="24">
        <v>2.4</v>
      </c>
      <c r="XDO394"/>
      <c r="XDP394"/>
      <c r="XDQ394"/>
      <c r="XDR394"/>
      <c r="XDS394"/>
    </row>
    <row r="395" s="21" customFormat="1" spans="1:16347">
      <c r="A395" s="24" t="s">
        <v>58</v>
      </c>
      <c r="B395" s="25" t="s">
        <v>59</v>
      </c>
      <c r="C395" s="24" t="s">
        <v>60</v>
      </c>
      <c r="D395" s="24" t="s">
        <v>1872</v>
      </c>
      <c r="E395" s="24" t="s">
        <v>1873</v>
      </c>
      <c r="F395" s="24" t="s">
        <v>1874</v>
      </c>
      <c r="G395" s="24" t="s">
        <v>1870</v>
      </c>
      <c r="H395" s="24"/>
      <c r="I395" s="25">
        <v>4.1</v>
      </c>
      <c r="J395" s="33" t="s">
        <v>65</v>
      </c>
      <c r="K395" s="24" t="s">
        <v>1875</v>
      </c>
      <c r="L395" s="24" t="s">
        <v>67</v>
      </c>
      <c r="M395" s="24" t="s">
        <v>600</v>
      </c>
      <c r="N395" s="24" t="s">
        <v>600</v>
      </c>
      <c r="O395" s="25">
        <v>1.2</v>
      </c>
      <c r="P395" s="24"/>
      <c r="Q395" s="24"/>
      <c r="R395" s="24"/>
      <c r="S395" s="24">
        <v>0.5</v>
      </c>
      <c r="T395" s="24"/>
      <c r="U395" s="24"/>
      <c r="V395" s="24">
        <v>2.4</v>
      </c>
      <c r="XDO395"/>
      <c r="XDP395"/>
      <c r="XDQ395"/>
      <c r="XDR395"/>
      <c r="XDS395"/>
    </row>
    <row r="396" s="21" customFormat="1" spans="1:16347">
      <c r="A396" s="24" t="s">
        <v>58</v>
      </c>
      <c r="B396" s="25" t="s">
        <v>59</v>
      </c>
      <c r="C396" s="24" t="s">
        <v>60</v>
      </c>
      <c r="D396" s="24" t="s">
        <v>1876</v>
      </c>
      <c r="E396" s="24" t="s">
        <v>1877</v>
      </c>
      <c r="F396" s="24" t="s">
        <v>1878</v>
      </c>
      <c r="G396" s="24" t="s">
        <v>1870</v>
      </c>
      <c r="H396" s="24"/>
      <c r="I396" s="25">
        <v>3.6</v>
      </c>
      <c r="J396" s="24" t="s">
        <v>65</v>
      </c>
      <c r="K396" s="24" t="s">
        <v>1879</v>
      </c>
      <c r="L396" s="24" t="s">
        <v>67</v>
      </c>
      <c r="M396" s="24" t="s">
        <v>179</v>
      </c>
      <c r="N396" s="24" t="s">
        <v>179</v>
      </c>
      <c r="O396" s="25">
        <v>0.7</v>
      </c>
      <c r="P396" s="24"/>
      <c r="Q396" s="24"/>
      <c r="R396" s="24"/>
      <c r="S396" s="24">
        <v>0.5</v>
      </c>
      <c r="T396" s="24"/>
      <c r="U396" s="24"/>
      <c r="V396" s="24">
        <v>2.4</v>
      </c>
      <c r="XDO396"/>
      <c r="XDP396"/>
      <c r="XDQ396"/>
      <c r="XDR396"/>
      <c r="XDS396"/>
    </row>
    <row r="397" s="21" customFormat="1" spans="1:16347">
      <c r="A397" s="24" t="s">
        <v>58</v>
      </c>
      <c r="B397" s="25" t="s">
        <v>59</v>
      </c>
      <c r="C397" s="24" t="s">
        <v>60</v>
      </c>
      <c r="D397" s="24" t="s">
        <v>1880</v>
      </c>
      <c r="E397" s="24" t="s">
        <v>1881</v>
      </c>
      <c r="F397" s="24" t="s">
        <v>1882</v>
      </c>
      <c r="G397" s="24" t="s">
        <v>1883</v>
      </c>
      <c r="H397" s="24"/>
      <c r="I397" s="25">
        <v>2.5</v>
      </c>
      <c r="J397" s="24" t="s">
        <v>881</v>
      </c>
      <c r="K397" s="24" t="s">
        <v>1884</v>
      </c>
      <c r="L397" s="24" t="s">
        <v>67</v>
      </c>
      <c r="M397" s="24" t="s">
        <v>74</v>
      </c>
      <c r="N397" s="24" t="s">
        <v>74</v>
      </c>
      <c r="O397" s="25">
        <v>0.5</v>
      </c>
      <c r="P397" s="24"/>
      <c r="Q397" s="24"/>
      <c r="R397" s="24"/>
      <c r="S397" s="24">
        <v>0.2</v>
      </c>
      <c r="T397" s="24"/>
      <c r="U397" s="24"/>
      <c r="V397" s="24">
        <v>1.8</v>
      </c>
      <c r="XDO397"/>
      <c r="XDP397"/>
      <c r="XDQ397"/>
      <c r="XDR397"/>
      <c r="XDS397"/>
    </row>
    <row r="398" s="21" customFormat="1" spans="1:16347">
      <c r="A398" s="24" t="s">
        <v>58</v>
      </c>
      <c r="B398" s="25" t="s">
        <v>59</v>
      </c>
      <c r="C398" s="24" t="s">
        <v>60</v>
      </c>
      <c r="D398" s="24" t="s">
        <v>1885</v>
      </c>
      <c r="E398" s="24" t="s">
        <v>1886</v>
      </c>
      <c r="F398" s="24" t="s">
        <v>1887</v>
      </c>
      <c r="G398" s="24" t="s">
        <v>1883</v>
      </c>
      <c r="H398" s="24"/>
      <c r="I398" s="25">
        <v>2.45</v>
      </c>
      <c r="J398" s="24" t="s">
        <v>881</v>
      </c>
      <c r="K398" s="24" t="s">
        <v>1888</v>
      </c>
      <c r="L398" s="24" t="s">
        <v>67</v>
      </c>
      <c r="M398" s="24" t="s">
        <v>209</v>
      </c>
      <c r="N398" s="24" t="s">
        <v>209</v>
      </c>
      <c r="O398" s="25">
        <v>0.5</v>
      </c>
      <c r="P398" s="24"/>
      <c r="Q398" s="24"/>
      <c r="R398" s="24"/>
      <c r="S398" s="24"/>
      <c r="T398" s="24"/>
      <c r="U398" s="24"/>
      <c r="V398" s="24">
        <v>1.95</v>
      </c>
      <c r="XDO398"/>
      <c r="XDP398"/>
      <c r="XDQ398"/>
      <c r="XDR398"/>
      <c r="XDS398"/>
    </row>
    <row r="399" s="21" customFormat="1" spans="1:16347">
      <c r="A399" s="24" t="s">
        <v>58</v>
      </c>
      <c r="B399" s="25" t="s">
        <v>59</v>
      </c>
      <c r="C399" s="24" t="s">
        <v>60</v>
      </c>
      <c r="D399" s="24" t="s">
        <v>1889</v>
      </c>
      <c r="E399" s="24" t="s">
        <v>1890</v>
      </c>
      <c r="F399" s="24" t="s">
        <v>1891</v>
      </c>
      <c r="G399" s="24" t="s">
        <v>1892</v>
      </c>
      <c r="H399" s="24"/>
      <c r="I399" s="25">
        <v>2.5</v>
      </c>
      <c r="J399" s="24" t="s">
        <v>881</v>
      </c>
      <c r="K399" s="24" t="s">
        <v>1893</v>
      </c>
      <c r="L399" s="24" t="s">
        <v>67</v>
      </c>
      <c r="M399" s="24" t="s">
        <v>137</v>
      </c>
      <c r="N399" s="24" t="s">
        <v>137</v>
      </c>
      <c r="O399" s="25">
        <v>0.5</v>
      </c>
      <c r="P399" s="24"/>
      <c r="Q399" s="24"/>
      <c r="R399" s="24"/>
      <c r="S399" s="24">
        <v>0.2</v>
      </c>
      <c r="T399" s="24"/>
      <c r="U399" s="24"/>
      <c r="V399" s="24">
        <v>1.8</v>
      </c>
      <c r="XDO399"/>
      <c r="XDP399"/>
      <c r="XDQ399"/>
      <c r="XDR399"/>
      <c r="XDS399"/>
    </row>
    <row r="400" s="21" customFormat="1" spans="1:16347">
      <c r="A400" s="24" t="s">
        <v>58</v>
      </c>
      <c r="B400" s="25" t="s">
        <v>59</v>
      </c>
      <c r="C400" s="24" t="s">
        <v>60</v>
      </c>
      <c r="D400" s="24" t="s">
        <v>1894</v>
      </c>
      <c r="E400" s="24" t="s">
        <v>1895</v>
      </c>
      <c r="F400" s="24" t="s">
        <v>1896</v>
      </c>
      <c r="G400" s="24" t="s">
        <v>1897</v>
      </c>
      <c r="H400" s="24"/>
      <c r="I400" s="25">
        <v>3.6</v>
      </c>
      <c r="J400" s="24" t="s">
        <v>65</v>
      </c>
      <c r="K400" s="24" t="s">
        <v>1898</v>
      </c>
      <c r="L400" s="24" t="s">
        <v>67</v>
      </c>
      <c r="M400" s="24" t="s">
        <v>397</v>
      </c>
      <c r="N400" s="24" t="s">
        <v>397</v>
      </c>
      <c r="O400" s="25">
        <v>1</v>
      </c>
      <c r="P400" s="24"/>
      <c r="Q400" s="24"/>
      <c r="R400" s="24"/>
      <c r="S400" s="24"/>
      <c r="T400" s="24"/>
      <c r="U400" s="24"/>
      <c r="V400" s="24">
        <v>2.6</v>
      </c>
      <c r="XDO400"/>
      <c r="XDP400"/>
      <c r="XDQ400"/>
      <c r="XDR400"/>
      <c r="XDS400"/>
    </row>
    <row r="401" s="21" customFormat="1" spans="1:16347">
      <c r="A401" s="24" t="s">
        <v>58</v>
      </c>
      <c r="B401" s="25" t="s">
        <v>59</v>
      </c>
      <c r="C401" s="24" t="s">
        <v>60</v>
      </c>
      <c r="D401" s="24" t="s">
        <v>1899</v>
      </c>
      <c r="E401" s="24" t="s">
        <v>1900</v>
      </c>
      <c r="F401" s="24" t="s">
        <v>1901</v>
      </c>
      <c r="G401" s="24" t="s">
        <v>1902</v>
      </c>
      <c r="H401" s="24"/>
      <c r="I401" s="25">
        <v>3.6</v>
      </c>
      <c r="J401" s="24" t="s">
        <v>65</v>
      </c>
      <c r="K401" s="24" t="s">
        <v>1903</v>
      </c>
      <c r="L401" s="24" t="s">
        <v>67</v>
      </c>
      <c r="M401" s="24" t="s">
        <v>382</v>
      </c>
      <c r="N401" s="24" t="s">
        <v>382</v>
      </c>
      <c r="O401" s="25">
        <v>0.7</v>
      </c>
      <c r="P401" s="24"/>
      <c r="Q401" s="24"/>
      <c r="R401" s="24"/>
      <c r="S401" s="24">
        <v>0.5</v>
      </c>
      <c r="T401" s="24"/>
      <c r="U401" s="24"/>
      <c r="V401" s="24">
        <v>2.4</v>
      </c>
      <c r="XDO401"/>
      <c r="XDP401"/>
      <c r="XDQ401"/>
      <c r="XDR401"/>
      <c r="XDS401"/>
    </row>
    <row r="402" s="21" customFormat="1" spans="1:16347">
      <c r="A402" s="24" t="s">
        <v>58</v>
      </c>
      <c r="B402" s="25" t="s">
        <v>59</v>
      </c>
      <c r="C402" s="24" t="s">
        <v>60</v>
      </c>
      <c r="D402" s="24" t="s">
        <v>1904</v>
      </c>
      <c r="E402" s="24" t="s">
        <v>1905</v>
      </c>
      <c r="F402" s="24" t="s">
        <v>1906</v>
      </c>
      <c r="G402" s="24" t="s">
        <v>1907</v>
      </c>
      <c r="H402" s="24"/>
      <c r="I402" s="25">
        <v>3.1</v>
      </c>
      <c r="J402" s="24" t="s">
        <v>65</v>
      </c>
      <c r="K402" s="24" t="s">
        <v>1908</v>
      </c>
      <c r="L402" s="24" t="s">
        <v>67</v>
      </c>
      <c r="M402" s="24" t="s">
        <v>661</v>
      </c>
      <c r="N402" s="24" t="s">
        <v>661</v>
      </c>
      <c r="O402" s="25">
        <v>0.7</v>
      </c>
      <c r="P402" s="24"/>
      <c r="Q402" s="24"/>
      <c r="R402" s="24"/>
      <c r="S402" s="24"/>
      <c r="T402" s="24"/>
      <c r="U402" s="24"/>
      <c r="V402" s="24">
        <v>2.4</v>
      </c>
      <c r="XDO402"/>
      <c r="XDP402"/>
      <c r="XDQ402"/>
      <c r="XDR402"/>
      <c r="XDS402"/>
    </row>
    <row r="403" s="21" customFormat="1" spans="1:16347">
      <c r="A403" s="24" t="s">
        <v>58</v>
      </c>
      <c r="B403" s="25" t="s">
        <v>59</v>
      </c>
      <c r="C403" s="24" t="s">
        <v>60</v>
      </c>
      <c r="D403" s="24" t="s">
        <v>1909</v>
      </c>
      <c r="E403" s="24" t="s">
        <v>1910</v>
      </c>
      <c r="F403" s="24" t="s">
        <v>1911</v>
      </c>
      <c r="G403" s="24" t="s">
        <v>1907</v>
      </c>
      <c r="H403" s="24"/>
      <c r="I403" s="25">
        <v>3</v>
      </c>
      <c r="J403" s="24" t="s">
        <v>65</v>
      </c>
      <c r="K403" s="24" t="s">
        <v>1912</v>
      </c>
      <c r="L403" s="24" t="s">
        <v>67</v>
      </c>
      <c r="M403" s="24" t="s">
        <v>672</v>
      </c>
      <c r="N403" s="24" t="s">
        <v>672</v>
      </c>
      <c r="O403" s="25">
        <v>0.5</v>
      </c>
      <c r="P403" s="24"/>
      <c r="Q403" s="24"/>
      <c r="R403" s="24"/>
      <c r="S403" s="24">
        <v>0.2</v>
      </c>
      <c r="T403" s="24"/>
      <c r="U403" s="24"/>
      <c r="V403" s="24">
        <v>2.3</v>
      </c>
      <c r="XDO403"/>
      <c r="XDP403"/>
      <c r="XDQ403"/>
      <c r="XDR403"/>
      <c r="XDS403"/>
    </row>
    <row r="404" s="21" customFormat="1" spans="1:16347">
      <c r="A404" s="24" t="s">
        <v>58</v>
      </c>
      <c r="B404" s="25" t="s">
        <v>59</v>
      </c>
      <c r="C404" s="24" t="s">
        <v>60</v>
      </c>
      <c r="D404" s="24" t="s">
        <v>1913</v>
      </c>
      <c r="E404" s="24" t="s">
        <v>1914</v>
      </c>
      <c r="F404" s="24" t="s">
        <v>1915</v>
      </c>
      <c r="G404" s="24" t="s">
        <v>1907</v>
      </c>
      <c r="H404" s="24"/>
      <c r="I404" s="25">
        <v>5.5</v>
      </c>
      <c r="J404" s="24" t="s">
        <v>65</v>
      </c>
      <c r="K404" s="24" t="s">
        <v>1916</v>
      </c>
      <c r="L404" s="24" t="s">
        <v>67</v>
      </c>
      <c r="M404" s="24" t="s">
        <v>1917</v>
      </c>
      <c r="N404" s="24" t="s">
        <v>1917</v>
      </c>
      <c r="O404" s="25">
        <v>1.7</v>
      </c>
      <c r="P404" s="24"/>
      <c r="Q404" s="24"/>
      <c r="R404" s="24"/>
      <c r="S404" s="24">
        <v>1</v>
      </c>
      <c r="T404" s="24"/>
      <c r="U404" s="24"/>
      <c r="V404" s="24">
        <v>2.8</v>
      </c>
      <c r="XDO404"/>
      <c r="XDP404"/>
      <c r="XDQ404"/>
      <c r="XDR404"/>
      <c r="XDS404"/>
    </row>
    <row r="405" s="21" customFormat="1" spans="1:16347">
      <c r="A405" s="24" t="s">
        <v>58</v>
      </c>
      <c r="B405" s="25" t="s">
        <v>59</v>
      </c>
      <c r="C405" s="24" t="s">
        <v>60</v>
      </c>
      <c r="D405" s="24" t="s">
        <v>1918</v>
      </c>
      <c r="E405" s="24" t="s">
        <v>1919</v>
      </c>
      <c r="F405" s="24" t="s">
        <v>1920</v>
      </c>
      <c r="G405" s="24" t="s">
        <v>1921</v>
      </c>
      <c r="H405" s="24"/>
      <c r="I405" s="34">
        <v>3.6</v>
      </c>
      <c r="J405" s="24" t="s">
        <v>65</v>
      </c>
      <c r="K405" s="24" t="s">
        <v>1922</v>
      </c>
      <c r="L405" s="24" t="s">
        <v>67</v>
      </c>
      <c r="M405" s="24" t="s">
        <v>876</v>
      </c>
      <c r="N405" s="24" t="s">
        <v>876</v>
      </c>
      <c r="O405" s="25">
        <v>1</v>
      </c>
      <c r="P405" s="24"/>
      <c r="Q405" s="24"/>
      <c r="R405" s="24"/>
      <c r="S405" s="24"/>
      <c r="T405" s="24"/>
      <c r="U405" s="24"/>
      <c r="V405" s="24">
        <v>2.6</v>
      </c>
      <c r="XDO405"/>
      <c r="XDP405"/>
      <c r="XDQ405"/>
      <c r="XDR405"/>
      <c r="XDS405"/>
    </row>
    <row r="406" s="21" customFormat="1" spans="1:16347">
      <c r="A406" s="24" t="s">
        <v>58</v>
      </c>
      <c r="B406" s="25" t="s">
        <v>59</v>
      </c>
      <c r="C406" s="24" t="s">
        <v>60</v>
      </c>
      <c r="D406" s="24" t="s">
        <v>1923</v>
      </c>
      <c r="E406" s="24" t="s">
        <v>1924</v>
      </c>
      <c r="F406" s="24" t="s">
        <v>1925</v>
      </c>
      <c r="G406" s="24" t="s">
        <v>1926</v>
      </c>
      <c r="H406" s="24"/>
      <c r="I406" s="34">
        <v>3.5</v>
      </c>
      <c r="J406" s="24" t="s">
        <v>65</v>
      </c>
      <c r="K406" s="24" t="s">
        <v>1927</v>
      </c>
      <c r="L406" s="24" t="s">
        <v>67</v>
      </c>
      <c r="M406" s="24" t="s">
        <v>79</v>
      </c>
      <c r="N406" s="24" t="s">
        <v>79</v>
      </c>
      <c r="O406" s="25">
        <v>0.7</v>
      </c>
      <c r="P406" s="24"/>
      <c r="Q406" s="24"/>
      <c r="R406" s="24"/>
      <c r="S406" s="24">
        <v>0.5</v>
      </c>
      <c r="T406" s="24"/>
      <c r="U406" s="24"/>
      <c r="V406" s="24">
        <v>2.3</v>
      </c>
      <c r="XDO406"/>
      <c r="XDP406"/>
      <c r="XDQ406"/>
      <c r="XDR406"/>
      <c r="XDS406"/>
    </row>
    <row r="407" s="21" customFormat="1" spans="1:16347">
      <c r="A407" s="24" t="s">
        <v>58</v>
      </c>
      <c r="B407" s="25" t="s">
        <v>59</v>
      </c>
      <c r="C407" s="24" t="s">
        <v>60</v>
      </c>
      <c r="D407" s="24" t="s">
        <v>1928</v>
      </c>
      <c r="E407" s="24" t="s">
        <v>1929</v>
      </c>
      <c r="F407" s="24" t="s">
        <v>1930</v>
      </c>
      <c r="G407" s="24" t="s">
        <v>1931</v>
      </c>
      <c r="H407" s="24"/>
      <c r="I407" s="34">
        <v>4.8</v>
      </c>
      <c r="J407" s="24" t="s">
        <v>65</v>
      </c>
      <c r="K407" s="24" t="s">
        <v>1932</v>
      </c>
      <c r="L407" s="24" t="s">
        <v>67</v>
      </c>
      <c r="M407" s="24" t="s">
        <v>164</v>
      </c>
      <c r="N407" s="24" t="s">
        <v>164</v>
      </c>
      <c r="O407" s="25">
        <v>2</v>
      </c>
      <c r="P407" s="24"/>
      <c r="Q407" s="24"/>
      <c r="R407" s="24"/>
      <c r="S407" s="24"/>
      <c r="T407" s="24"/>
      <c r="U407" s="24"/>
      <c r="V407" s="24">
        <v>2.8</v>
      </c>
      <c r="XDO407"/>
      <c r="XDP407"/>
      <c r="XDQ407"/>
      <c r="XDR407"/>
      <c r="XDS407"/>
    </row>
    <row r="408" s="21" customFormat="1" spans="1:16347">
      <c r="A408" s="24" t="s">
        <v>58</v>
      </c>
      <c r="B408" s="25" t="s">
        <v>59</v>
      </c>
      <c r="C408" s="24" t="s">
        <v>60</v>
      </c>
      <c r="D408" s="24" t="s">
        <v>1933</v>
      </c>
      <c r="E408" s="24" t="s">
        <v>1934</v>
      </c>
      <c r="F408" s="24" t="s">
        <v>1935</v>
      </c>
      <c r="G408" s="24" t="s">
        <v>1936</v>
      </c>
      <c r="H408" s="24"/>
      <c r="I408" s="34">
        <v>3.6</v>
      </c>
      <c r="J408" s="24" t="s">
        <v>65</v>
      </c>
      <c r="K408" s="24" t="s">
        <v>1937</v>
      </c>
      <c r="L408" s="24" t="s">
        <v>67</v>
      </c>
      <c r="M408" s="24" t="s">
        <v>179</v>
      </c>
      <c r="N408" s="24" t="s">
        <v>179</v>
      </c>
      <c r="O408" s="25">
        <v>0.7</v>
      </c>
      <c r="P408" s="24"/>
      <c r="Q408" s="24"/>
      <c r="R408" s="24"/>
      <c r="S408" s="24">
        <v>0.5</v>
      </c>
      <c r="T408" s="24"/>
      <c r="U408" s="24"/>
      <c r="V408" s="24">
        <v>2.4</v>
      </c>
      <c r="XDO408"/>
      <c r="XDP408"/>
      <c r="XDQ408"/>
      <c r="XDR408"/>
      <c r="XDS408"/>
    </row>
    <row r="409" s="21" customFormat="1" spans="1:16347">
      <c r="A409" s="24" t="s">
        <v>58</v>
      </c>
      <c r="B409" s="25" t="s">
        <v>59</v>
      </c>
      <c r="C409" s="24" t="s">
        <v>60</v>
      </c>
      <c r="D409" s="24" t="s">
        <v>1938</v>
      </c>
      <c r="E409" s="24" t="s">
        <v>1939</v>
      </c>
      <c r="F409" s="24" t="s">
        <v>1940</v>
      </c>
      <c r="G409" s="24" t="s">
        <v>1936</v>
      </c>
      <c r="H409" s="24"/>
      <c r="I409" s="34">
        <v>4.8</v>
      </c>
      <c r="J409" s="24" t="s">
        <v>65</v>
      </c>
      <c r="K409" s="24" t="s">
        <v>1941</v>
      </c>
      <c r="L409" s="24" t="s">
        <v>67</v>
      </c>
      <c r="M409" s="24" t="s">
        <v>1823</v>
      </c>
      <c r="N409" s="24" t="s">
        <v>1823</v>
      </c>
      <c r="O409" s="25">
        <v>2</v>
      </c>
      <c r="P409" s="24"/>
      <c r="Q409" s="24"/>
      <c r="R409" s="24"/>
      <c r="S409" s="24"/>
      <c r="T409" s="24"/>
      <c r="U409" s="24"/>
      <c r="V409" s="24">
        <v>2.8</v>
      </c>
      <c r="XDO409"/>
      <c r="XDP409"/>
      <c r="XDQ409"/>
      <c r="XDR409"/>
      <c r="XDS409"/>
    </row>
    <row r="410" s="21" customFormat="1" spans="1:16347">
      <c r="A410" s="24" t="s">
        <v>58</v>
      </c>
      <c r="B410" s="25" t="s">
        <v>59</v>
      </c>
      <c r="C410" s="24" t="s">
        <v>60</v>
      </c>
      <c r="D410" s="24" t="s">
        <v>1942</v>
      </c>
      <c r="E410" s="24" t="s">
        <v>1943</v>
      </c>
      <c r="F410" s="24" t="s">
        <v>1944</v>
      </c>
      <c r="G410" s="24" t="s">
        <v>1936</v>
      </c>
      <c r="H410" s="24"/>
      <c r="I410" s="34">
        <v>2.3</v>
      </c>
      <c r="J410" s="24" t="s">
        <v>881</v>
      </c>
      <c r="K410" s="24" t="s">
        <v>1945</v>
      </c>
      <c r="L410" s="24" t="s">
        <v>67</v>
      </c>
      <c r="M410" s="24" t="s">
        <v>946</v>
      </c>
      <c r="N410" s="24" t="s">
        <v>946</v>
      </c>
      <c r="O410" s="25">
        <v>0.5</v>
      </c>
      <c r="P410" s="24"/>
      <c r="Q410" s="24"/>
      <c r="R410" s="24"/>
      <c r="S410" s="24"/>
      <c r="T410" s="24"/>
      <c r="U410" s="24"/>
      <c r="V410" s="24">
        <v>1.8</v>
      </c>
      <c r="XDO410"/>
      <c r="XDP410"/>
      <c r="XDQ410"/>
      <c r="XDR410"/>
      <c r="XDS410"/>
    </row>
    <row r="411" s="21" customFormat="1" spans="1:16347">
      <c r="A411" s="24" t="s">
        <v>58</v>
      </c>
      <c r="B411" s="25" t="s">
        <v>59</v>
      </c>
      <c r="C411" s="24" t="s">
        <v>60</v>
      </c>
      <c r="D411" s="24" t="s">
        <v>1946</v>
      </c>
      <c r="E411" s="24" t="s">
        <v>1947</v>
      </c>
      <c r="F411" s="24" t="s">
        <v>1948</v>
      </c>
      <c r="G411" s="24" t="s">
        <v>1949</v>
      </c>
      <c r="H411" s="24"/>
      <c r="I411" s="34">
        <v>4.8</v>
      </c>
      <c r="J411" s="24" t="s">
        <v>65</v>
      </c>
      <c r="K411" s="24" t="s">
        <v>1950</v>
      </c>
      <c r="L411" s="24" t="s">
        <v>67</v>
      </c>
      <c r="M411" s="24" t="s">
        <v>1823</v>
      </c>
      <c r="N411" s="24" t="s">
        <v>1823</v>
      </c>
      <c r="O411" s="25">
        <v>2</v>
      </c>
      <c r="P411" s="24"/>
      <c r="Q411" s="24"/>
      <c r="R411" s="24"/>
      <c r="S411" s="24"/>
      <c r="T411" s="24"/>
      <c r="U411" s="24"/>
      <c r="V411" s="24">
        <v>2.8</v>
      </c>
      <c r="XDO411"/>
      <c r="XDP411"/>
      <c r="XDQ411"/>
      <c r="XDR411"/>
      <c r="XDS411"/>
    </row>
    <row r="412" s="21" customFormat="1" spans="1:16347">
      <c r="A412" s="24" t="s">
        <v>58</v>
      </c>
      <c r="B412" s="25" t="s">
        <v>59</v>
      </c>
      <c r="C412" s="24" t="s">
        <v>60</v>
      </c>
      <c r="D412" s="24" t="s">
        <v>1951</v>
      </c>
      <c r="E412" s="24" t="s">
        <v>1952</v>
      </c>
      <c r="F412" s="24" t="s">
        <v>1953</v>
      </c>
      <c r="G412" s="24" t="s">
        <v>1949</v>
      </c>
      <c r="H412" s="24"/>
      <c r="I412" s="34">
        <v>2.95</v>
      </c>
      <c r="J412" s="24" t="s">
        <v>881</v>
      </c>
      <c r="K412" s="24" t="s">
        <v>1954</v>
      </c>
      <c r="L412" s="24" t="s">
        <v>67</v>
      </c>
      <c r="M412" s="24" t="s">
        <v>1246</v>
      </c>
      <c r="N412" s="24" t="s">
        <v>1246</v>
      </c>
      <c r="O412" s="25">
        <v>0.5</v>
      </c>
      <c r="P412" s="24"/>
      <c r="Q412" s="24"/>
      <c r="R412" s="24"/>
      <c r="S412" s="24">
        <v>0.5</v>
      </c>
      <c r="T412" s="24"/>
      <c r="U412" s="24"/>
      <c r="V412" s="24">
        <v>1.95</v>
      </c>
      <c r="XDO412"/>
      <c r="XDP412"/>
      <c r="XDQ412"/>
      <c r="XDR412"/>
      <c r="XDS412"/>
    </row>
    <row r="413" s="21" customFormat="1" spans="1:16347">
      <c r="A413" s="24" t="s">
        <v>58</v>
      </c>
      <c r="B413" s="25" t="s">
        <v>59</v>
      </c>
      <c r="C413" s="24" t="s">
        <v>60</v>
      </c>
      <c r="D413" s="24" t="s">
        <v>1955</v>
      </c>
      <c r="E413" s="24" t="s">
        <v>1956</v>
      </c>
      <c r="F413" s="24" t="s">
        <v>1957</v>
      </c>
      <c r="G413" s="24" t="s">
        <v>1931</v>
      </c>
      <c r="H413" s="24"/>
      <c r="I413" s="34">
        <v>4.8</v>
      </c>
      <c r="J413" s="24" t="s">
        <v>65</v>
      </c>
      <c r="K413" s="24" t="s">
        <v>1958</v>
      </c>
      <c r="L413" s="24" t="s">
        <v>67</v>
      </c>
      <c r="M413" s="24" t="s">
        <v>164</v>
      </c>
      <c r="N413" s="24" t="s">
        <v>164</v>
      </c>
      <c r="O413" s="25">
        <v>2</v>
      </c>
      <c r="P413" s="24"/>
      <c r="Q413" s="24"/>
      <c r="R413" s="24"/>
      <c r="S413" s="24"/>
      <c r="T413" s="24"/>
      <c r="U413" s="24"/>
      <c r="V413" s="24">
        <v>2.8</v>
      </c>
      <c r="XDO413"/>
      <c r="XDP413"/>
      <c r="XDQ413"/>
      <c r="XDR413"/>
      <c r="XDS413"/>
    </row>
    <row r="414" s="21" customFormat="1" spans="1:16347">
      <c r="A414" s="24" t="s">
        <v>58</v>
      </c>
      <c r="B414" s="25" t="s">
        <v>59</v>
      </c>
      <c r="C414" s="24" t="s">
        <v>60</v>
      </c>
      <c r="D414" s="24" t="s">
        <v>1959</v>
      </c>
      <c r="E414" s="24" t="s">
        <v>1960</v>
      </c>
      <c r="F414" s="24" t="s">
        <v>1961</v>
      </c>
      <c r="G414" s="24" t="s">
        <v>1962</v>
      </c>
      <c r="H414" s="24"/>
      <c r="I414" s="34">
        <v>3.5</v>
      </c>
      <c r="J414" s="24" t="s">
        <v>65</v>
      </c>
      <c r="K414" s="24" t="s">
        <v>1963</v>
      </c>
      <c r="L414" s="24" t="s">
        <v>67</v>
      </c>
      <c r="M414" s="24" t="s">
        <v>79</v>
      </c>
      <c r="N414" s="24" t="s">
        <v>79</v>
      </c>
      <c r="O414" s="25">
        <v>0.7</v>
      </c>
      <c r="P414" s="24"/>
      <c r="Q414" s="24"/>
      <c r="R414" s="24"/>
      <c r="S414" s="24">
        <v>0.5</v>
      </c>
      <c r="T414" s="24"/>
      <c r="U414" s="24"/>
      <c r="V414" s="24">
        <v>2.3</v>
      </c>
      <c r="XDO414"/>
      <c r="XDP414"/>
      <c r="XDQ414"/>
      <c r="XDR414"/>
      <c r="XDS414"/>
    </row>
    <row r="415" s="21" customFormat="1" spans="1:16347">
      <c r="A415" s="24" t="s">
        <v>58</v>
      </c>
      <c r="B415" s="25" t="s">
        <v>59</v>
      </c>
      <c r="C415" s="24" t="s">
        <v>60</v>
      </c>
      <c r="D415" s="24" t="s">
        <v>1964</v>
      </c>
      <c r="E415" s="24" t="s">
        <v>1965</v>
      </c>
      <c r="F415" s="24" t="s">
        <v>1966</v>
      </c>
      <c r="G415" s="24" t="s">
        <v>1967</v>
      </c>
      <c r="H415" s="24"/>
      <c r="I415" s="34">
        <v>3.4</v>
      </c>
      <c r="J415" s="24" t="s">
        <v>65</v>
      </c>
      <c r="K415" s="24" t="s">
        <v>1968</v>
      </c>
      <c r="L415" s="24" t="s">
        <v>67</v>
      </c>
      <c r="M415" s="24" t="s">
        <v>179</v>
      </c>
      <c r="N415" s="24" t="s">
        <v>179</v>
      </c>
      <c r="O415" s="25">
        <v>0.7</v>
      </c>
      <c r="P415" s="24"/>
      <c r="Q415" s="24"/>
      <c r="R415" s="24"/>
      <c r="S415" s="24">
        <v>0.3</v>
      </c>
      <c r="T415" s="24"/>
      <c r="U415" s="24"/>
      <c r="V415" s="24">
        <v>2.4</v>
      </c>
      <c r="XDO415"/>
      <c r="XDP415"/>
      <c r="XDQ415"/>
      <c r="XDR415"/>
      <c r="XDS415"/>
    </row>
    <row r="416" s="21" customFormat="1" spans="1:16347">
      <c r="A416" s="24" t="s">
        <v>58</v>
      </c>
      <c r="B416" s="25" t="s">
        <v>59</v>
      </c>
      <c r="C416" s="24" t="s">
        <v>60</v>
      </c>
      <c r="D416" s="24" t="s">
        <v>1969</v>
      </c>
      <c r="E416" s="24" t="s">
        <v>1970</v>
      </c>
      <c r="F416" s="24" t="s">
        <v>1971</v>
      </c>
      <c r="G416" s="24" t="s">
        <v>1962</v>
      </c>
      <c r="H416" s="24"/>
      <c r="I416" s="34">
        <v>2.5</v>
      </c>
      <c r="J416" s="24" t="s">
        <v>881</v>
      </c>
      <c r="K416" s="24" t="s">
        <v>1972</v>
      </c>
      <c r="L416" s="24" t="s">
        <v>67</v>
      </c>
      <c r="M416" s="24" t="s">
        <v>137</v>
      </c>
      <c r="N416" s="24" t="s">
        <v>137</v>
      </c>
      <c r="O416" s="25">
        <v>0.5</v>
      </c>
      <c r="P416" s="24"/>
      <c r="Q416" s="24"/>
      <c r="R416" s="24"/>
      <c r="S416" s="24">
        <v>0.2</v>
      </c>
      <c r="T416" s="24"/>
      <c r="U416" s="24"/>
      <c r="V416" s="24">
        <v>1.8</v>
      </c>
      <c r="XDO416"/>
      <c r="XDP416"/>
      <c r="XDQ416"/>
      <c r="XDR416"/>
      <c r="XDS416"/>
    </row>
    <row r="417" s="21" customFormat="1" spans="1:16347">
      <c r="A417" s="24" t="s">
        <v>58</v>
      </c>
      <c r="B417" s="25" t="s">
        <v>59</v>
      </c>
      <c r="C417" s="24" t="s">
        <v>60</v>
      </c>
      <c r="D417" s="24" t="s">
        <v>1973</v>
      </c>
      <c r="E417" s="24" t="s">
        <v>1974</v>
      </c>
      <c r="F417" s="24" t="s">
        <v>1975</v>
      </c>
      <c r="G417" s="24" t="s">
        <v>1962</v>
      </c>
      <c r="H417" s="24"/>
      <c r="I417" s="34">
        <v>3.4</v>
      </c>
      <c r="J417" s="24" t="s">
        <v>65</v>
      </c>
      <c r="K417" s="24" t="s">
        <v>1976</v>
      </c>
      <c r="L417" s="24" t="s">
        <v>67</v>
      </c>
      <c r="M417" s="24" t="s">
        <v>179</v>
      </c>
      <c r="N417" s="24" t="s">
        <v>179</v>
      </c>
      <c r="O417" s="25">
        <v>0.7</v>
      </c>
      <c r="P417" s="24"/>
      <c r="Q417" s="24"/>
      <c r="R417" s="24"/>
      <c r="S417" s="24">
        <v>0.3</v>
      </c>
      <c r="T417" s="24"/>
      <c r="U417" s="24"/>
      <c r="V417" s="24">
        <v>2.4</v>
      </c>
      <c r="XDO417"/>
      <c r="XDP417"/>
      <c r="XDQ417"/>
      <c r="XDR417"/>
      <c r="XDS417"/>
    </row>
    <row r="418" s="21" customFormat="1" spans="1:16347">
      <c r="A418" s="24" t="s">
        <v>58</v>
      </c>
      <c r="B418" s="25" t="s">
        <v>59</v>
      </c>
      <c r="C418" s="24" t="s">
        <v>60</v>
      </c>
      <c r="D418" s="24" t="s">
        <v>1977</v>
      </c>
      <c r="E418" s="24" t="s">
        <v>1978</v>
      </c>
      <c r="F418" s="24" t="s">
        <v>1979</v>
      </c>
      <c r="G418" s="24" t="s">
        <v>1980</v>
      </c>
      <c r="H418" s="24"/>
      <c r="I418" s="34">
        <v>4.8</v>
      </c>
      <c r="J418" s="24" t="s">
        <v>65</v>
      </c>
      <c r="K418" s="24" t="s">
        <v>1981</v>
      </c>
      <c r="L418" s="24" t="s">
        <v>67</v>
      </c>
      <c r="M418" s="24" t="s">
        <v>1823</v>
      </c>
      <c r="N418" s="24" t="s">
        <v>1823</v>
      </c>
      <c r="O418" s="25">
        <v>2</v>
      </c>
      <c r="P418" s="24"/>
      <c r="Q418" s="24"/>
      <c r="R418" s="24"/>
      <c r="S418" s="24"/>
      <c r="T418" s="24"/>
      <c r="U418" s="24"/>
      <c r="V418" s="24">
        <v>2.8</v>
      </c>
      <c r="XDO418"/>
      <c r="XDP418"/>
      <c r="XDQ418"/>
      <c r="XDR418"/>
      <c r="XDS418"/>
    </row>
    <row r="419" s="21" customFormat="1" spans="1:16347">
      <c r="A419" s="24" t="s">
        <v>58</v>
      </c>
      <c r="B419" s="25" t="s">
        <v>59</v>
      </c>
      <c r="C419" s="24" t="s">
        <v>60</v>
      </c>
      <c r="D419" s="24" t="s">
        <v>1982</v>
      </c>
      <c r="E419" s="24" t="s">
        <v>1983</v>
      </c>
      <c r="F419" s="24" t="s">
        <v>1984</v>
      </c>
      <c r="G419" s="24" t="s">
        <v>1980</v>
      </c>
      <c r="H419" s="24"/>
      <c r="I419" s="34">
        <v>4.8</v>
      </c>
      <c r="J419" s="24" t="s">
        <v>65</v>
      </c>
      <c r="K419" s="24" t="s">
        <v>1985</v>
      </c>
      <c r="L419" s="24" t="s">
        <v>67</v>
      </c>
      <c r="M419" s="24" t="s">
        <v>164</v>
      </c>
      <c r="N419" s="24" t="s">
        <v>164</v>
      </c>
      <c r="O419" s="25">
        <v>2</v>
      </c>
      <c r="P419" s="24"/>
      <c r="Q419" s="24"/>
      <c r="R419" s="24"/>
      <c r="S419" s="24"/>
      <c r="T419" s="24"/>
      <c r="U419" s="24"/>
      <c r="V419" s="24">
        <v>2.8</v>
      </c>
      <c r="XDO419"/>
      <c r="XDP419"/>
      <c r="XDQ419"/>
      <c r="XDR419"/>
      <c r="XDS419"/>
    </row>
    <row r="420" s="21" customFormat="1" spans="1:16347">
      <c r="A420" s="24" t="s">
        <v>58</v>
      </c>
      <c r="B420" s="25" t="s">
        <v>59</v>
      </c>
      <c r="C420" s="24" t="s">
        <v>60</v>
      </c>
      <c r="D420" s="24" t="s">
        <v>1986</v>
      </c>
      <c r="E420" s="24" t="s">
        <v>1987</v>
      </c>
      <c r="F420" s="24" t="s">
        <v>1988</v>
      </c>
      <c r="G420" s="24" t="s">
        <v>1989</v>
      </c>
      <c r="H420" s="24"/>
      <c r="I420" s="34">
        <v>3.5</v>
      </c>
      <c r="J420" s="24" t="s">
        <v>65</v>
      </c>
      <c r="K420" s="24" t="s">
        <v>1990</v>
      </c>
      <c r="L420" s="24" t="s">
        <v>67</v>
      </c>
      <c r="M420" s="24" t="s">
        <v>79</v>
      </c>
      <c r="N420" s="24" t="s">
        <v>79</v>
      </c>
      <c r="O420" s="25">
        <v>0.7</v>
      </c>
      <c r="P420" s="24"/>
      <c r="Q420" s="24"/>
      <c r="R420" s="24"/>
      <c r="S420" s="24">
        <v>0.5</v>
      </c>
      <c r="T420" s="24"/>
      <c r="U420" s="24"/>
      <c r="V420" s="24">
        <v>2.3</v>
      </c>
      <c r="XDO420"/>
      <c r="XDP420"/>
      <c r="XDQ420"/>
      <c r="XDR420"/>
      <c r="XDS420"/>
    </row>
    <row r="421" s="21" customFormat="1" spans="1:16347">
      <c r="A421" s="24" t="s">
        <v>58</v>
      </c>
      <c r="B421" s="25" t="s">
        <v>59</v>
      </c>
      <c r="C421" s="24" t="s">
        <v>60</v>
      </c>
      <c r="D421" s="24" t="s">
        <v>1991</v>
      </c>
      <c r="E421" s="24" t="s">
        <v>1992</v>
      </c>
      <c r="F421" s="24" t="s">
        <v>1993</v>
      </c>
      <c r="G421" s="24" t="s">
        <v>1989</v>
      </c>
      <c r="H421" s="24"/>
      <c r="I421" s="34">
        <v>3.4</v>
      </c>
      <c r="J421" s="24" t="s">
        <v>65</v>
      </c>
      <c r="K421" s="24" t="s">
        <v>1994</v>
      </c>
      <c r="L421" s="24" t="s">
        <v>67</v>
      </c>
      <c r="M421" s="24" t="s">
        <v>179</v>
      </c>
      <c r="N421" s="24" t="s">
        <v>179</v>
      </c>
      <c r="O421" s="25">
        <v>0.7</v>
      </c>
      <c r="P421" s="24"/>
      <c r="Q421" s="24"/>
      <c r="R421" s="24"/>
      <c r="S421" s="24">
        <v>0.3</v>
      </c>
      <c r="T421" s="24"/>
      <c r="U421" s="24"/>
      <c r="V421" s="24">
        <v>2.4</v>
      </c>
      <c r="XDO421"/>
      <c r="XDP421"/>
      <c r="XDQ421"/>
      <c r="XDR421"/>
      <c r="XDS421"/>
    </row>
    <row r="422" s="21" customFormat="1" spans="1:16347">
      <c r="A422" s="24" t="s">
        <v>58</v>
      </c>
      <c r="B422" s="25" t="s">
        <v>59</v>
      </c>
      <c r="C422" s="24" t="s">
        <v>60</v>
      </c>
      <c r="D422" s="24" t="s">
        <v>1995</v>
      </c>
      <c r="E422" s="24" t="s">
        <v>1996</v>
      </c>
      <c r="F422" s="24" t="s">
        <v>1997</v>
      </c>
      <c r="G422" s="24" t="s">
        <v>1989</v>
      </c>
      <c r="H422" s="24"/>
      <c r="I422" s="34">
        <v>2.5</v>
      </c>
      <c r="J422" s="24" t="s">
        <v>881</v>
      </c>
      <c r="K422" s="24" t="s">
        <v>1998</v>
      </c>
      <c r="L422" s="24" t="s">
        <v>67</v>
      </c>
      <c r="M422" s="24" t="s">
        <v>74</v>
      </c>
      <c r="N422" s="24" t="s">
        <v>74</v>
      </c>
      <c r="O422" s="25">
        <v>0.5</v>
      </c>
      <c r="P422" s="24"/>
      <c r="Q422" s="24"/>
      <c r="R422" s="24"/>
      <c r="S422" s="24">
        <v>0.2</v>
      </c>
      <c r="T422" s="24"/>
      <c r="U422" s="24"/>
      <c r="V422" s="24">
        <v>1.8</v>
      </c>
      <c r="XDO422"/>
      <c r="XDP422"/>
      <c r="XDQ422"/>
      <c r="XDR422"/>
      <c r="XDS422"/>
    </row>
    <row r="423" s="21" customFormat="1" spans="1:16347">
      <c r="A423" s="24" t="s">
        <v>58</v>
      </c>
      <c r="B423" s="25" t="s">
        <v>59</v>
      </c>
      <c r="C423" s="24" t="s">
        <v>60</v>
      </c>
      <c r="D423" s="24" t="s">
        <v>1999</v>
      </c>
      <c r="E423" s="24" t="s">
        <v>2000</v>
      </c>
      <c r="F423" s="24" t="s">
        <v>2001</v>
      </c>
      <c r="G423" s="24" t="s">
        <v>2002</v>
      </c>
      <c r="H423" s="24"/>
      <c r="I423" s="34">
        <v>3.6</v>
      </c>
      <c r="J423" s="24" t="s">
        <v>65</v>
      </c>
      <c r="K423" s="24" t="s">
        <v>2003</v>
      </c>
      <c r="L423" s="24" t="s">
        <v>67</v>
      </c>
      <c r="M423" s="24" t="s">
        <v>179</v>
      </c>
      <c r="N423" s="24" t="s">
        <v>179</v>
      </c>
      <c r="O423" s="25">
        <v>0.7</v>
      </c>
      <c r="P423" s="24"/>
      <c r="Q423" s="24"/>
      <c r="R423" s="24"/>
      <c r="S423" s="24">
        <v>0.5</v>
      </c>
      <c r="T423" s="24"/>
      <c r="U423" s="24"/>
      <c r="V423" s="24">
        <v>2.4</v>
      </c>
      <c r="XDO423"/>
      <c r="XDP423"/>
      <c r="XDQ423"/>
      <c r="XDR423"/>
      <c r="XDS423"/>
    </row>
    <row r="424" s="21" customFormat="1" spans="1:16347">
      <c r="A424" s="24" t="s">
        <v>58</v>
      </c>
      <c r="B424" s="25" t="s">
        <v>59</v>
      </c>
      <c r="C424" s="24" t="s">
        <v>60</v>
      </c>
      <c r="D424" s="24" t="s">
        <v>2004</v>
      </c>
      <c r="E424" s="24" t="s">
        <v>2005</v>
      </c>
      <c r="F424" s="24" t="s">
        <v>2006</v>
      </c>
      <c r="G424" s="24" t="s">
        <v>2007</v>
      </c>
      <c r="H424" s="24"/>
      <c r="I424" s="34">
        <v>4.3</v>
      </c>
      <c r="J424" s="24" t="s">
        <v>65</v>
      </c>
      <c r="K424" s="24" t="s">
        <v>2008</v>
      </c>
      <c r="L424" s="24" t="s">
        <v>67</v>
      </c>
      <c r="M424" s="24" t="s">
        <v>661</v>
      </c>
      <c r="N424" s="24" t="s">
        <v>661</v>
      </c>
      <c r="O424" s="25">
        <v>1.4</v>
      </c>
      <c r="P424" s="24"/>
      <c r="Q424" s="24"/>
      <c r="R424" s="24"/>
      <c r="S424" s="24">
        <v>0.5</v>
      </c>
      <c r="T424" s="24"/>
      <c r="U424" s="24"/>
      <c r="V424" s="24">
        <v>2.4</v>
      </c>
      <c r="XDO424"/>
      <c r="XDP424"/>
      <c r="XDQ424"/>
      <c r="XDR424"/>
      <c r="XDS424"/>
    </row>
    <row r="425" s="21" customFormat="1" spans="1:16347">
      <c r="A425" s="24" t="s">
        <v>58</v>
      </c>
      <c r="B425" s="25" t="s">
        <v>59</v>
      </c>
      <c r="C425" s="24" t="s">
        <v>60</v>
      </c>
      <c r="D425" s="24" t="s">
        <v>2009</v>
      </c>
      <c r="E425" s="24" t="s">
        <v>2010</v>
      </c>
      <c r="F425" s="24" t="s">
        <v>2011</v>
      </c>
      <c r="G425" s="24" t="s">
        <v>2012</v>
      </c>
      <c r="H425" s="24"/>
      <c r="I425" s="34">
        <v>3.1</v>
      </c>
      <c r="J425" s="24" t="s">
        <v>65</v>
      </c>
      <c r="K425" s="24" t="s">
        <v>2013</v>
      </c>
      <c r="L425" s="24" t="s">
        <v>67</v>
      </c>
      <c r="M425" s="24" t="s">
        <v>661</v>
      </c>
      <c r="N425" s="24" t="s">
        <v>661</v>
      </c>
      <c r="O425" s="25">
        <v>0.7</v>
      </c>
      <c r="P425" s="24"/>
      <c r="Q425" s="24"/>
      <c r="R425" s="24"/>
      <c r="S425" s="24"/>
      <c r="T425" s="24"/>
      <c r="U425" s="24"/>
      <c r="V425" s="24">
        <v>2.4</v>
      </c>
      <c r="XDO425"/>
      <c r="XDP425"/>
      <c r="XDQ425"/>
      <c r="XDR425"/>
      <c r="XDS425"/>
    </row>
    <row r="426" s="21" customFormat="1" spans="1:16347">
      <c r="A426" s="24" t="s">
        <v>58</v>
      </c>
      <c r="B426" s="25" t="s">
        <v>59</v>
      </c>
      <c r="C426" s="24" t="s">
        <v>60</v>
      </c>
      <c r="D426" s="24" t="s">
        <v>2014</v>
      </c>
      <c r="E426" s="24" t="s">
        <v>2015</v>
      </c>
      <c r="F426" s="24" t="s">
        <v>2016</v>
      </c>
      <c r="G426" s="24" t="s">
        <v>2017</v>
      </c>
      <c r="H426" s="24"/>
      <c r="I426" s="34">
        <v>3.6</v>
      </c>
      <c r="J426" s="24" t="s">
        <v>65</v>
      </c>
      <c r="K426" s="24" t="s">
        <v>2018</v>
      </c>
      <c r="L426" s="24" t="s">
        <v>67</v>
      </c>
      <c r="M426" s="24" t="s">
        <v>179</v>
      </c>
      <c r="N426" s="24" t="s">
        <v>179</v>
      </c>
      <c r="O426" s="25">
        <v>0.7</v>
      </c>
      <c r="P426" s="24"/>
      <c r="Q426" s="24"/>
      <c r="R426" s="24"/>
      <c r="S426" s="24">
        <v>0.5</v>
      </c>
      <c r="T426" s="24"/>
      <c r="U426" s="24"/>
      <c r="V426" s="24">
        <v>2.4</v>
      </c>
      <c r="XDO426"/>
      <c r="XDP426"/>
      <c r="XDQ426"/>
      <c r="XDR426"/>
      <c r="XDS426"/>
    </row>
    <row r="427" s="21" customFormat="1" spans="1:16347">
      <c r="A427" s="24" t="s">
        <v>58</v>
      </c>
      <c r="B427" s="25" t="s">
        <v>59</v>
      </c>
      <c r="C427" s="24" t="s">
        <v>60</v>
      </c>
      <c r="D427" s="24" t="s">
        <v>2019</v>
      </c>
      <c r="E427" s="24" t="s">
        <v>2020</v>
      </c>
      <c r="F427" s="24" t="s">
        <v>2021</v>
      </c>
      <c r="G427" s="24" t="s">
        <v>2017</v>
      </c>
      <c r="H427" s="24"/>
      <c r="I427" s="34">
        <v>3.6</v>
      </c>
      <c r="J427" s="24" t="s">
        <v>65</v>
      </c>
      <c r="K427" s="24" t="s">
        <v>2022</v>
      </c>
      <c r="L427" s="24" t="s">
        <v>67</v>
      </c>
      <c r="M427" s="24" t="s">
        <v>179</v>
      </c>
      <c r="N427" s="24" t="s">
        <v>179</v>
      </c>
      <c r="O427" s="25">
        <v>0.7</v>
      </c>
      <c r="P427" s="24"/>
      <c r="Q427" s="24"/>
      <c r="R427" s="24"/>
      <c r="S427" s="24">
        <v>0.5</v>
      </c>
      <c r="T427" s="24"/>
      <c r="U427" s="24"/>
      <c r="V427" s="24">
        <v>2.4</v>
      </c>
      <c r="XDO427"/>
      <c r="XDP427"/>
      <c r="XDQ427"/>
      <c r="XDR427"/>
      <c r="XDS427"/>
    </row>
    <row r="428" s="21" customFormat="1" spans="1:16347">
      <c r="A428" s="24" t="s">
        <v>58</v>
      </c>
      <c r="B428" s="25" t="s">
        <v>59</v>
      </c>
      <c r="C428" s="24" t="s">
        <v>60</v>
      </c>
      <c r="D428" s="24" t="s">
        <v>2023</v>
      </c>
      <c r="E428" s="24" t="s">
        <v>2024</v>
      </c>
      <c r="F428" s="24" t="s">
        <v>2025</v>
      </c>
      <c r="G428" s="24" t="s">
        <v>2026</v>
      </c>
      <c r="H428" s="24"/>
      <c r="I428" s="34">
        <v>3.6</v>
      </c>
      <c r="J428" s="24" t="s">
        <v>65</v>
      </c>
      <c r="K428" s="24" t="s">
        <v>2027</v>
      </c>
      <c r="L428" s="24" t="s">
        <v>67</v>
      </c>
      <c r="M428" s="24" t="s">
        <v>479</v>
      </c>
      <c r="N428" s="24" t="s">
        <v>479</v>
      </c>
      <c r="O428" s="25">
        <v>0.7</v>
      </c>
      <c r="P428" s="24"/>
      <c r="Q428" s="24"/>
      <c r="R428" s="24"/>
      <c r="S428" s="24" t="s">
        <v>2028</v>
      </c>
      <c r="T428" s="24"/>
      <c r="U428" s="24"/>
      <c r="V428" s="24">
        <v>2.4</v>
      </c>
      <c r="XDO428"/>
      <c r="XDP428"/>
      <c r="XDQ428"/>
      <c r="XDR428"/>
      <c r="XDS428"/>
    </row>
    <row r="429" s="21" customFormat="1" spans="1:16347">
      <c r="A429" s="24" t="s">
        <v>58</v>
      </c>
      <c r="B429" s="25" t="s">
        <v>59</v>
      </c>
      <c r="C429" s="24" t="s">
        <v>60</v>
      </c>
      <c r="D429" s="24" t="s">
        <v>2029</v>
      </c>
      <c r="E429" s="24" t="s">
        <v>2030</v>
      </c>
      <c r="F429" s="24" t="s">
        <v>2031</v>
      </c>
      <c r="G429" s="24" t="s">
        <v>2032</v>
      </c>
      <c r="H429" s="24"/>
      <c r="I429" s="34">
        <v>3.1</v>
      </c>
      <c r="J429" s="24" t="s">
        <v>65</v>
      </c>
      <c r="K429" s="24" t="s">
        <v>2033</v>
      </c>
      <c r="L429" s="24" t="s">
        <v>67</v>
      </c>
      <c r="M429" s="24" t="s">
        <v>594</v>
      </c>
      <c r="N429" s="24" t="s">
        <v>594</v>
      </c>
      <c r="O429" s="25">
        <v>0.7</v>
      </c>
      <c r="P429" s="24"/>
      <c r="Q429" s="24"/>
      <c r="R429" s="24"/>
      <c r="S429" s="24"/>
      <c r="T429" s="24"/>
      <c r="U429" s="24"/>
      <c r="V429" s="24">
        <v>2.4</v>
      </c>
      <c r="XDO429"/>
      <c r="XDP429"/>
      <c r="XDQ429"/>
      <c r="XDR429"/>
      <c r="XDS429"/>
    </row>
    <row r="430" s="21" customFormat="1" spans="1:16347">
      <c r="A430" s="24" t="s">
        <v>58</v>
      </c>
      <c r="B430" s="25" t="s">
        <v>59</v>
      </c>
      <c r="C430" s="24" t="s">
        <v>60</v>
      </c>
      <c r="D430" s="24" t="s">
        <v>2034</v>
      </c>
      <c r="E430" s="24" t="s">
        <v>2035</v>
      </c>
      <c r="F430" s="24" t="s">
        <v>2036</v>
      </c>
      <c r="G430" s="24" t="s">
        <v>2032</v>
      </c>
      <c r="H430" s="24"/>
      <c r="I430" s="34">
        <v>4.8</v>
      </c>
      <c r="J430" s="24" t="s">
        <v>65</v>
      </c>
      <c r="K430" s="24" t="s">
        <v>2037</v>
      </c>
      <c r="L430" s="24" t="s">
        <v>67</v>
      </c>
      <c r="M430" s="24" t="s">
        <v>241</v>
      </c>
      <c r="N430" s="24" t="s">
        <v>241</v>
      </c>
      <c r="O430" s="25">
        <v>2</v>
      </c>
      <c r="P430" s="24"/>
      <c r="Q430" s="24"/>
      <c r="R430" s="24"/>
      <c r="S430" s="24"/>
      <c r="T430" s="24"/>
      <c r="U430" s="24"/>
      <c r="V430" s="24">
        <v>2.8</v>
      </c>
      <c r="XDO430"/>
      <c r="XDP430"/>
      <c r="XDQ430"/>
      <c r="XDR430"/>
      <c r="XDS430"/>
    </row>
    <row r="431" s="21" customFormat="1" spans="1:16347">
      <c r="A431" s="24" t="s">
        <v>58</v>
      </c>
      <c r="B431" s="25" t="s">
        <v>59</v>
      </c>
      <c r="C431" s="24" t="s">
        <v>60</v>
      </c>
      <c r="D431" s="24" t="s">
        <v>2038</v>
      </c>
      <c r="E431" s="24" t="s">
        <v>2039</v>
      </c>
      <c r="F431" s="24" t="s">
        <v>2040</v>
      </c>
      <c r="G431" s="24" t="s">
        <v>2032</v>
      </c>
      <c r="H431" s="24"/>
      <c r="I431" s="34">
        <v>7.5</v>
      </c>
      <c r="J431" s="24" t="s">
        <v>65</v>
      </c>
      <c r="K431" s="24" t="s">
        <v>2041</v>
      </c>
      <c r="L431" s="24" t="s">
        <v>67</v>
      </c>
      <c r="M431" s="24" t="s">
        <v>148</v>
      </c>
      <c r="N431" s="24" t="s">
        <v>148</v>
      </c>
      <c r="O431" s="25">
        <v>3</v>
      </c>
      <c r="P431" s="24"/>
      <c r="Q431" s="24"/>
      <c r="R431" s="24"/>
      <c r="S431" s="24">
        <v>1</v>
      </c>
      <c r="T431" s="24"/>
      <c r="U431" s="24"/>
      <c r="V431" s="24">
        <v>3.5</v>
      </c>
      <c r="XDO431"/>
      <c r="XDP431"/>
      <c r="XDQ431"/>
      <c r="XDR431"/>
      <c r="XDS431"/>
    </row>
    <row r="432" s="21" customFormat="1" spans="1:16347">
      <c r="A432" s="24" t="s">
        <v>58</v>
      </c>
      <c r="B432" s="25" t="s">
        <v>59</v>
      </c>
      <c r="C432" s="24" t="s">
        <v>60</v>
      </c>
      <c r="D432" s="24" t="s">
        <v>2042</v>
      </c>
      <c r="E432" s="24" t="s">
        <v>2043</v>
      </c>
      <c r="F432" s="24" t="s">
        <v>2044</v>
      </c>
      <c r="G432" s="24" t="s">
        <v>2045</v>
      </c>
      <c r="H432" s="24"/>
      <c r="I432" s="34">
        <v>3.1</v>
      </c>
      <c r="J432" s="24" t="s">
        <v>65</v>
      </c>
      <c r="K432" s="24" t="s">
        <v>2046</v>
      </c>
      <c r="L432" s="24" t="s">
        <v>67</v>
      </c>
      <c r="M432" s="24" t="s">
        <v>594</v>
      </c>
      <c r="N432" s="24" t="s">
        <v>594</v>
      </c>
      <c r="O432" s="25">
        <v>0.7</v>
      </c>
      <c r="P432" s="24"/>
      <c r="Q432" s="24"/>
      <c r="R432" s="24"/>
      <c r="S432" s="24"/>
      <c r="T432" s="24"/>
      <c r="U432" s="24"/>
      <c r="V432" s="24">
        <v>2.4</v>
      </c>
      <c r="XDO432"/>
      <c r="XDP432"/>
      <c r="XDQ432"/>
      <c r="XDR432"/>
      <c r="XDS432"/>
    </row>
    <row r="433" s="21" customFormat="1" spans="1:16347">
      <c r="A433" s="24" t="s">
        <v>58</v>
      </c>
      <c r="B433" s="25" t="s">
        <v>59</v>
      </c>
      <c r="C433" s="24" t="s">
        <v>60</v>
      </c>
      <c r="D433" s="24" t="s">
        <v>2047</v>
      </c>
      <c r="E433" s="24" t="s">
        <v>2048</v>
      </c>
      <c r="F433" s="24" t="s">
        <v>2049</v>
      </c>
      <c r="G433" s="24" t="s">
        <v>2045</v>
      </c>
      <c r="H433" s="24"/>
      <c r="I433" s="34">
        <v>3.6</v>
      </c>
      <c r="J433" s="24" t="s">
        <v>65</v>
      </c>
      <c r="K433" s="24" t="s">
        <v>2050</v>
      </c>
      <c r="L433" s="24" t="s">
        <v>67</v>
      </c>
      <c r="M433" s="24" t="s">
        <v>189</v>
      </c>
      <c r="N433" s="24" t="s">
        <v>189</v>
      </c>
      <c r="O433" s="25">
        <v>0.7</v>
      </c>
      <c r="P433" s="24"/>
      <c r="Q433" s="24"/>
      <c r="R433" s="24"/>
      <c r="S433" s="24">
        <v>0.5</v>
      </c>
      <c r="T433" s="24"/>
      <c r="U433" s="24"/>
      <c r="V433" s="24">
        <v>2.4</v>
      </c>
      <c r="XDO433"/>
      <c r="XDP433"/>
      <c r="XDQ433"/>
      <c r="XDR433"/>
      <c r="XDS433"/>
    </row>
    <row r="434" s="21" customFormat="1" spans="1:16347">
      <c r="A434" s="24" t="s">
        <v>58</v>
      </c>
      <c r="B434" s="25" t="s">
        <v>59</v>
      </c>
      <c r="C434" s="24" t="s">
        <v>60</v>
      </c>
      <c r="D434" s="24" t="s">
        <v>2051</v>
      </c>
      <c r="E434" s="24" t="s">
        <v>2052</v>
      </c>
      <c r="F434" s="24" t="s">
        <v>2053</v>
      </c>
      <c r="G434" s="24" t="s">
        <v>2054</v>
      </c>
      <c r="H434" s="24"/>
      <c r="I434" s="34">
        <v>2.45</v>
      </c>
      <c r="J434" s="24" t="s">
        <v>881</v>
      </c>
      <c r="K434" s="24" t="s">
        <v>2055</v>
      </c>
      <c r="L434" s="24" t="s">
        <v>67</v>
      </c>
      <c r="M434" s="24" t="s">
        <v>363</v>
      </c>
      <c r="N434" s="24" t="s">
        <v>363</v>
      </c>
      <c r="O434" s="25">
        <v>0.5</v>
      </c>
      <c r="P434" s="24"/>
      <c r="Q434" s="24"/>
      <c r="R434" s="24"/>
      <c r="S434" s="24"/>
      <c r="T434" s="24"/>
      <c r="U434" s="24"/>
      <c r="V434" s="24">
        <v>1.95</v>
      </c>
      <c r="XDO434"/>
      <c r="XDP434"/>
      <c r="XDQ434"/>
      <c r="XDR434"/>
      <c r="XDS434"/>
    </row>
    <row r="435" s="21" customFormat="1" spans="1:16347">
      <c r="A435" s="24" t="s">
        <v>58</v>
      </c>
      <c r="B435" s="25" t="s">
        <v>59</v>
      </c>
      <c r="C435" s="24" t="s">
        <v>60</v>
      </c>
      <c r="D435" s="24" t="s">
        <v>2056</v>
      </c>
      <c r="E435" s="24" t="s">
        <v>2057</v>
      </c>
      <c r="F435" s="24" t="s">
        <v>2058</v>
      </c>
      <c r="G435" s="24" t="s">
        <v>2054</v>
      </c>
      <c r="H435" s="24"/>
      <c r="I435" s="34">
        <v>3.1</v>
      </c>
      <c r="J435" s="24" t="s">
        <v>65</v>
      </c>
      <c r="K435" s="24" t="s">
        <v>2059</v>
      </c>
      <c r="L435" s="24" t="s">
        <v>67</v>
      </c>
      <c r="M435" s="24" t="s">
        <v>594</v>
      </c>
      <c r="N435" s="24" t="s">
        <v>594</v>
      </c>
      <c r="O435" s="25">
        <v>0.7</v>
      </c>
      <c r="P435" s="24"/>
      <c r="Q435" s="24"/>
      <c r="R435" s="24"/>
      <c r="S435" s="24"/>
      <c r="T435" s="24"/>
      <c r="U435" s="24"/>
      <c r="V435" s="24">
        <v>2.4</v>
      </c>
      <c r="XDO435"/>
      <c r="XDP435"/>
      <c r="XDQ435"/>
      <c r="XDR435"/>
      <c r="XDS435"/>
    </row>
    <row r="436" s="21" customFormat="1" spans="1:16347">
      <c r="A436" s="24" t="s">
        <v>58</v>
      </c>
      <c r="B436" s="25" t="s">
        <v>59</v>
      </c>
      <c r="C436" s="24" t="s">
        <v>60</v>
      </c>
      <c r="D436" s="24" t="s">
        <v>2060</v>
      </c>
      <c r="E436" s="24" t="s">
        <v>2061</v>
      </c>
      <c r="F436" s="24" t="s">
        <v>2062</v>
      </c>
      <c r="G436" s="24" t="s">
        <v>2063</v>
      </c>
      <c r="H436" s="24"/>
      <c r="I436" s="34">
        <v>3.6</v>
      </c>
      <c r="J436" s="24" t="s">
        <v>65</v>
      </c>
      <c r="K436" s="24" t="s">
        <v>2064</v>
      </c>
      <c r="L436" s="24" t="s">
        <v>67</v>
      </c>
      <c r="M436" s="24" t="s">
        <v>189</v>
      </c>
      <c r="N436" s="24" t="s">
        <v>189</v>
      </c>
      <c r="O436" s="25">
        <v>0.7</v>
      </c>
      <c r="P436" s="24"/>
      <c r="Q436" s="24"/>
      <c r="R436" s="24"/>
      <c r="S436" s="24">
        <v>0.5</v>
      </c>
      <c r="T436" s="24"/>
      <c r="U436" s="24"/>
      <c r="V436" s="24">
        <v>2.4</v>
      </c>
      <c r="XDO436"/>
      <c r="XDP436"/>
      <c r="XDQ436"/>
      <c r="XDR436"/>
      <c r="XDS436"/>
    </row>
    <row r="437" s="21" customFormat="1" spans="1:16347">
      <c r="A437" s="24" t="s">
        <v>58</v>
      </c>
      <c r="B437" s="25" t="s">
        <v>59</v>
      </c>
      <c r="C437" s="24" t="s">
        <v>60</v>
      </c>
      <c r="D437" s="24" t="s">
        <v>2065</v>
      </c>
      <c r="E437" s="24" t="s">
        <v>2066</v>
      </c>
      <c r="F437" s="24" t="s">
        <v>2067</v>
      </c>
      <c r="G437" s="24" t="s">
        <v>2063</v>
      </c>
      <c r="H437" s="24"/>
      <c r="I437" s="34">
        <v>3.6</v>
      </c>
      <c r="J437" s="24" t="s">
        <v>65</v>
      </c>
      <c r="K437" s="24" t="s">
        <v>2068</v>
      </c>
      <c r="L437" s="24" t="s">
        <v>67</v>
      </c>
      <c r="M437" s="24" t="s">
        <v>189</v>
      </c>
      <c r="N437" s="24" t="s">
        <v>189</v>
      </c>
      <c r="O437" s="25">
        <v>0.7</v>
      </c>
      <c r="P437" s="24"/>
      <c r="Q437" s="24"/>
      <c r="R437" s="24"/>
      <c r="S437" s="24">
        <v>0.5</v>
      </c>
      <c r="T437" s="24"/>
      <c r="U437" s="24"/>
      <c r="V437" s="24">
        <v>2.4</v>
      </c>
      <c r="XDO437"/>
      <c r="XDP437"/>
      <c r="XDQ437"/>
      <c r="XDR437"/>
      <c r="XDS437"/>
    </row>
    <row r="438" s="21" customFormat="1" spans="1:16347">
      <c r="A438" s="24" t="s">
        <v>58</v>
      </c>
      <c r="B438" s="25" t="s">
        <v>59</v>
      </c>
      <c r="C438" s="24" t="s">
        <v>60</v>
      </c>
      <c r="D438" s="24" t="s">
        <v>2069</v>
      </c>
      <c r="E438" s="24" t="s">
        <v>2070</v>
      </c>
      <c r="F438" s="24" t="s">
        <v>2071</v>
      </c>
      <c r="G438" s="24" t="s">
        <v>2054</v>
      </c>
      <c r="H438" s="24"/>
      <c r="I438" s="34">
        <v>5</v>
      </c>
      <c r="J438" s="24" t="s">
        <v>65</v>
      </c>
      <c r="K438" s="24" t="s">
        <v>2072</v>
      </c>
      <c r="L438" s="24" t="s">
        <v>67</v>
      </c>
      <c r="M438" s="24" t="s">
        <v>397</v>
      </c>
      <c r="N438" s="24" t="s">
        <v>397</v>
      </c>
      <c r="O438" s="25">
        <v>1.4</v>
      </c>
      <c r="P438" s="24"/>
      <c r="Q438" s="24"/>
      <c r="R438" s="24"/>
      <c r="S438" s="24">
        <v>1</v>
      </c>
      <c r="T438" s="24"/>
      <c r="U438" s="24"/>
      <c r="V438" s="24">
        <v>2.6</v>
      </c>
      <c r="XDO438"/>
      <c r="XDP438"/>
      <c r="XDQ438"/>
      <c r="XDR438"/>
      <c r="XDS438"/>
    </row>
    <row r="439" s="21" customFormat="1" spans="1:16347">
      <c r="A439" s="24" t="s">
        <v>58</v>
      </c>
      <c r="B439" s="25" t="s">
        <v>59</v>
      </c>
      <c r="C439" s="24" t="s">
        <v>60</v>
      </c>
      <c r="D439" s="24" t="s">
        <v>2073</v>
      </c>
      <c r="E439" s="24" t="s">
        <v>2074</v>
      </c>
      <c r="F439" s="24" t="s">
        <v>2075</v>
      </c>
      <c r="G439" s="24" t="s">
        <v>2076</v>
      </c>
      <c r="H439" s="24"/>
      <c r="I439" s="34">
        <v>3.6</v>
      </c>
      <c r="J439" s="24" t="s">
        <v>65</v>
      </c>
      <c r="K439" s="24" t="s">
        <v>2077</v>
      </c>
      <c r="L439" s="24" t="s">
        <v>67</v>
      </c>
      <c r="M439" s="24" t="s">
        <v>189</v>
      </c>
      <c r="N439" s="24" t="s">
        <v>189</v>
      </c>
      <c r="O439" s="25">
        <v>0.7</v>
      </c>
      <c r="P439" s="24"/>
      <c r="Q439" s="24"/>
      <c r="R439" s="24"/>
      <c r="S439" s="24">
        <v>0.5</v>
      </c>
      <c r="T439" s="24"/>
      <c r="U439" s="24"/>
      <c r="V439" s="24">
        <v>2.4</v>
      </c>
      <c r="XDO439"/>
      <c r="XDP439"/>
      <c r="XDQ439"/>
      <c r="XDR439"/>
      <c r="XDS439"/>
    </row>
    <row r="440" s="21" customFormat="1" spans="1:16347">
      <c r="A440" s="24" t="s">
        <v>58</v>
      </c>
      <c r="B440" s="25" t="s">
        <v>59</v>
      </c>
      <c r="C440" s="24" t="s">
        <v>60</v>
      </c>
      <c r="D440" s="24" t="s">
        <v>2078</v>
      </c>
      <c r="E440" s="24" t="s">
        <v>2079</v>
      </c>
      <c r="F440" s="24" t="s">
        <v>2080</v>
      </c>
      <c r="G440" s="24" t="s">
        <v>2081</v>
      </c>
      <c r="H440" s="24"/>
      <c r="I440" s="34">
        <v>3.6</v>
      </c>
      <c r="J440" s="24" t="s">
        <v>65</v>
      </c>
      <c r="K440" s="24" t="s">
        <v>2082</v>
      </c>
      <c r="L440" s="24" t="s">
        <v>67</v>
      </c>
      <c r="M440" s="24" t="s">
        <v>189</v>
      </c>
      <c r="N440" s="24" t="s">
        <v>189</v>
      </c>
      <c r="O440" s="25">
        <v>0.7</v>
      </c>
      <c r="P440" s="24"/>
      <c r="Q440" s="24"/>
      <c r="R440" s="24"/>
      <c r="S440" s="24">
        <v>0.5</v>
      </c>
      <c r="T440" s="24"/>
      <c r="U440" s="24"/>
      <c r="V440" s="24">
        <v>2.4</v>
      </c>
      <c r="XDO440"/>
      <c r="XDP440"/>
      <c r="XDQ440"/>
      <c r="XDR440"/>
      <c r="XDS440"/>
    </row>
    <row r="441" s="21" customFormat="1" spans="1:16347">
      <c r="A441" s="24" t="s">
        <v>58</v>
      </c>
      <c r="B441" s="25" t="s">
        <v>59</v>
      </c>
      <c r="C441" s="24" t="s">
        <v>60</v>
      </c>
      <c r="D441" s="24" t="s">
        <v>2083</v>
      </c>
      <c r="E441" s="24" t="s">
        <v>2084</v>
      </c>
      <c r="F441" s="24" t="s">
        <v>2085</v>
      </c>
      <c r="G441" s="24" t="s">
        <v>2086</v>
      </c>
      <c r="H441" s="24"/>
      <c r="I441" s="34">
        <v>3.6</v>
      </c>
      <c r="J441" s="24" t="s">
        <v>65</v>
      </c>
      <c r="K441" s="24" t="s">
        <v>2087</v>
      </c>
      <c r="L441" s="24" t="s">
        <v>67</v>
      </c>
      <c r="M441" s="24" t="s">
        <v>189</v>
      </c>
      <c r="N441" s="24" t="s">
        <v>189</v>
      </c>
      <c r="O441" s="25">
        <v>0.7</v>
      </c>
      <c r="P441" s="24"/>
      <c r="Q441" s="24"/>
      <c r="R441" s="24"/>
      <c r="S441" s="24">
        <v>0.5</v>
      </c>
      <c r="T441" s="24"/>
      <c r="U441" s="24"/>
      <c r="V441" s="24">
        <v>2.4</v>
      </c>
      <c r="XDO441"/>
      <c r="XDP441"/>
      <c r="XDQ441"/>
      <c r="XDR441"/>
      <c r="XDS441"/>
    </row>
    <row r="442" s="21" customFormat="1" spans="1:16347">
      <c r="A442" s="24" t="s">
        <v>58</v>
      </c>
      <c r="B442" s="25" t="s">
        <v>59</v>
      </c>
      <c r="C442" s="24" t="s">
        <v>60</v>
      </c>
      <c r="D442" s="24" t="s">
        <v>2088</v>
      </c>
      <c r="E442" s="24" t="s">
        <v>2089</v>
      </c>
      <c r="F442" s="24" t="s">
        <v>2090</v>
      </c>
      <c r="G442" s="24" t="s">
        <v>2091</v>
      </c>
      <c r="H442" s="24"/>
      <c r="I442" s="34">
        <v>4.8</v>
      </c>
      <c r="J442" s="24" t="s">
        <v>65</v>
      </c>
      <c r="K442" s="24" t="s">
        <v>2092</v>
      </c>
      <c r="L442" s="24" t="s">
        <v>67</v>
      </c>
      <c r="M442" s="24" t="s">
        <v>2093</v>
      </c>
      <c r="N442" s="24" t="s">
        <v>2093</v>
      </c>
      <c r="O442" s="25">
        <v>2</v>
      </c>
      <c r="P442" s="24"/>
      <c r="Q442" s="24"/>
      <c r="R442" s="24"/>
      <c r="S442" s="24"/>
      <c r="T442" s="24"/>
      <c r="U442" s="24"/>
      <c r="V442" s="24">
        <v>2.8</v>
      </c>
      <c r="XDO442"/>
      <c r="XDP442"/>
      <c r="XDQ442"/>
      <c r="XDR442"/>
      <c r="XDS442"/>
    </row>
    <row r="443" s="21" customFormat="1" spans="1:16347">
      <c r="A443" s="24" t="s">
        <v>58</v>
      </c>
      <c r="B443" s="25" t="s">
        <v>59</v>
      </c>
      <c r="C443" s="24" t="s">
        <v>60</v>
      </c>
      <c r="D443" s="24" t="s">
        <v>2094</v>
      </c>
      <c r="E443" s="24" t="s">
        <v>2095</v>
      </c>
      <c r="F443" s="24" t="s">
        <v>2096</v>
      </c>
      <c r="G443" s="24" t="s">
        <v>2091</v>
      </c>
      <c r="H443" s="24"/>
      <c r="I443" s="34">
        <v>2.95</v>
      </c>
      <c r="J443" s="24" t="s">
        <v>881</v>
      </c>
      <c r="K443" s="24" t="s">
        <v>2097</v>
      </c>
      <c r="L443" s="24" t="s">
        <v>67</v>
      </c>
      <c r="M443" s="24" t="s">
        <v>1246</v>
      </c>
      <c r="N443" s="24" t="s">
        <v>1246</v>
      </c>
      <c r="O443" s="25">
        <v>0.5</v>
      </c>
      <c r="P443" s="24"/>
      <c r="Q443" s="24"/>
      <c r="R443" s="24"/>
      <c r="S443" s="24">
        <v>0.5</v>
      </c>
      <c r="T443" s="24"/>
      <c r="U443" s="24"/>
      <c r="V443" s="24">
        <v>1.95</v>
      </c>
      <c r="XDO443"/>
      <c r="XDP443"/>
      <c r="XDQ443"/>
      <c r="XDR443"/>
      <c r="XDS443"/>
    </row>
    <row r="444" s="21" customFormat="1" spans="1:16347">
      <c r="A444" s="24" t="s">
        <v>58</v>
      </c>
      <c r="B444" s="25" t="s">
        <v>59</v>
      </c>
      <c r="C444" s="24" t="s">
        <v>60</v>
      </c>
      <c r="D444" s="24" t="s">
        <v>2098</v>
      </c>
      <c r="E444" s="24" t="s">
        <v>2099</v>
      </c>
      <c r="F444" s="24" t="s">
        <v>2100</v>
      </c>
      <c r="G444" s="24" t="s">
        <v>2101</v>
      </c>
      <c r="H444" s="24"/>
      <c r="I444" s="34">
        <v>3.1</v>
      </c>
      <c r="J444" s="24" t="s">
        <v>65</v>
      </c>
      <c r="K444" s="24" t="s">
        <v>2102</v>
      </c>
      <c r="L444" s="24" t="s">
        <v>67</v>
      </c>
      <c r="M444" s="24" t="s">
        <v>661</v>
      </c>
      <c r="N444" s="24" t="s">
        <v>661</v>
      </c>
      <c r="O444" s="25">
        <v>0.7</v>
      </c>
      <c r="P444" s="24"/>
      <c r="Q444" s="24"/>
      <c r="R444" s="24"/>
      <c r="S444" s="24"/>
      <c r="T444" s="24"/>
      <c r="U444" s="24"/>
      <c r="V444" s="24">
        <v>2.4</v>
      </c>
      <c r="XDO444"/>
      <c r="XDP444"/>
      <c r="XDQ444"/>
      <c r="XDR444"/>
      <c r="XDS444"/>
    </row>
    <row r="445" s="21" customFormat="1" spans="1:16347">
      <c r="A445" s="24" t="s">
        <v>58</v>
      </c>
      <c r="B445" s="25" t="s">
        <v>59</v>
      </c>
      <c r="C445" s="24" t="s">
        <v>60</v>
      </c>
      <c r="D445" s="24" t="s">
        <v>2103</v>
      </c>
      <c r="E445" s="24" t="s">
        <v>2104</v>
      </c>
      <c r="F445" s="24" t="s">
        <v>2105</v>
      </c>
      <c r="G445" s="24" t="s">
        <v>2106</v>
      </c>
      <c r="H445" s="24"/>
      <c r="I445" s="34">
        <v>2.8</v>
      </c>
      <c r="J445" s="24" t="s">
        <v>881</v>
      </c>
      <c r="K445" s="24" t="s">
        <v>2107</v>
      </c>
      <c r="L445" s="24" t="s">
        <v>67</v>
      </c>
      <c r="M445" s="24" t="s">
        <v>74</v>
      </c>
      <c r="N445" s="24" t="s">
        <v>74</v>
      </c>
      <c r="O445" s="25">
        <v>0.5</v>
      </c>
      <c r="P445" s="24"/>
      <c r="Q445" s="24"/>
      <c r="R445" s="24"/>
      <c r="S445" s="24">
        <v>0.5</v>
      </c>
      <c r="T445" s="24"/>
      <c r="U445" s="24"/>
      <c r="V445" s="24">
        <v>1.8</v>
      </c>
      <c r="XDO445"/>
      <c r="XDP445"/>
      <c r="XDQ445"/>
      <c r="XDR445"/>
      <c r="XDS445"/>
    </row>
    <row r="446" s="21" customFormat="1" spans="1:16347">
      <c r="A446" s="24" t="s">
        <v>58</v>
      </c>
      <c r="B446" s="25" t="s">
        <v>59</v>
      </c>
      <c r="C446" s="24" t="s">
        <v>60</v>
      </c>
      <c r="D446" s="24" t="s">
        <v>2108</v>
      </c>
      <c r="E446" s="24" t="s">
        <v>2109</v>
      </c>
      <c r="F446" s="24" t="s">
        <v>2110</v>
      </c>
      <c r="G446" s="24" t="s">
        <v>2106</v>
      </c>
      <c r="H446" s="24"/>
      <c r="I446" s="34">
        <v>3.6</v>
      </c>
      <c r="J446" s="24" t="s">
        <v>65</v>
      </c>
      <c r="K446" s="24" t="s">
        <v>2111</v>
      </c>
      <c r="L446" s="24" t="s">
        <v>67</v>
      </c>
      <c r="M446" s="24" t="s">
        <v>189</v>
      </c>
      <c r="N446" s="24" t="s">
        <v>189</v>
      </c>
      <c r="O446" s="25">
        <v>0.7</v>
      </c>
      <c r="P446" s="24"/>
      <c r="Q446" s="24"/>
      <c r="R446" s="24"/>
      <c r="S446" s="24">
        <v>0.5</v>
      </c>
      <c r="T446" s="24"/>
      <c r="U446" s="24"/>
      <c r="V446" s="24">
        <v>2.4</v>
      </c>
      <c r="XDO446"/>
      <c r="XDP446"/>
      <c r="XDQ446"/>
      <c r="XDR446"/>
      <c r="XDS446"/>
    </row>
    <row r="447" s="21" customFormat="1" spans="1:16347">
      <c r="A447" s="24" t="s">
        <v>58</v>
      </c>
      <c r="B447" s="25" t="s">
        <v>59</v>
      </c>
      <c r="C447" s="24" t="s">
        <v>60</v>
      </c>
      <c r="D447" s="24" t="s">
        <v>2112</v>
      </c>
      <c r="E447" s="24" t="s">
        <v>2113</v>
      </c>
      <c r="F447" s="24" t="s">
        <v>2114</v>
      </c>
      <c r="G447" s="24" t="s">
        <v>2106</v>
      </c>
      <c r="H447" s="24"/>
      <c r="I447" s="34">
        <v>3</v>
      </c>
      <c r="J447" s="24" t="s">
        <v>65</v>
      </c>
      <c r="K447" s="24" t="s">
        <v>2115</v>
      </c>
      <c r="L447" s="24" t="s">
        <v>67</v>
      </c>
      <c r="M447" s="24" t="s">
        <v>2116</v>
      </c>
      <c r="N447" s="24" t="s">
        <v>2116</v>
      </c>
      <c r="O447" s="25">
        <v>0.7</v>
      </c>
      <c r="P447" s="24"/>
      <c r="Q447" s="24"/>
      <c r="R447" s="24"/>
      <c r="S447" s="24"/>
      <c r="T447" s="24"/>
      <c r="U447" s="24"/>
      <c r="V447" s="24">
        <v>2.3</v>
      </c>
      <c r="XDO447"/>
      <c r="XDP447"/>
      <c r="XDQ447"/>
      <c r="XDR447"/>
      <c r="XDS447"/>
    </row>
    <row r="448" s="21" customFormat="1" spans="1:16347">
      <c r="A448" s="24" t="s">
        <v>58</v>
      </c>
      <c r="B448" s="25" t="s">
        <v>59</v>
      </c>
      <c r="C448" s="24" t="s">
        <v>60</v>
      </c>
      <c r="D448" s="24" t="s">
        <v>2117</v>
      </c>
      <c r="E448" s="24" t="s">
        <v>2118</v>
      </c>
      <c r="F448" s="24" t="s">
        <v>2119</v>
      </c>
      <c r="G448" s="24" t="s">
        <v>2106</v>
      </c>
      <c r="H448" s="24"/>
      <c r="I448" s="34">
        <v>3.1</v>
      </c>
      <c r="J448" s="24" t="s">
        <v>65</v>
      </c>
      <c r="K448" s="24" t="s">
        <v>2120</v>
      </c>
      <c r="L448" s="24" t="s">
        <v>67</v>
      </c>
      <c r="M448" s="24" t="s">
        <v>594</v>
      </c>
      <c r="N448" s="24" t="s">
        <v>594</v>
      </c>
      <c r="O448" s="25">
        <v>0.7</v>
      </c>
      <c r="P448" s="24"/>
      <c r="Q448" s="24"/>
      <c r="R448" s="24"/>
      <c r="S448" s="24"/>
      <c r="T448" s="24"/>
      <c r="U448" s="24"/>
      <c r="V448" s="24">
        <v>2.4</v>
      </c>
      <c r="XDO448"/>
      <c r="XDP448"/>
      <c r="XDQ448"/>
      <c r="XDR448"/>
      <c r="XDS448"/>
    </row>
    <row r="449" s="21" customFormat="1" spans="1:16347">
      <c r="A449" s="24" t="s">
        <v>58</v>
      </c>
      <c r="B449" s="25" t="s">
        <v>59</v>
      </c>
      <c r="C449" s="24" t="s">
        <v>60</v>
      </c>
      <c r="D449" s="24" t="s">
        <v>2121</v>
      </c>
      <c r="E449" s="24" t="s">
        <v>2122</v>
      </c>
      <c r="F449" s="24" t="s">
        <v>2123</v>
      </c>
      <c r="G449" s="24" t="s">
        <v>2124</v>
      </c>
      <c r="H449" s="24"/>
      <c r="I449" s="34">
        <v>2.3</v>
      </c>
      <c r="J449" s="24" t="s">
        <v>881</v>
      </c>
      <c r="K449" s="24" t="s">
        <v>2125</v>
      </c>
      <c r="L449" s="24" t="s">
        <v>67</v>
      </c>
      <c r="M449" s="24" t="s">
        <v>445</v>
      </c>
      <c r="N449" s="24" t="s">
        <v>445</v>
      </c>
      <c r="O449" s="25">
        <v>0.5</v>
      </c>
      <c r="P449" s="24"/>
      <c r="Q449" s="24"/>
      <c r="R449" s="24"/>
      <c r="S449" s="24"/>
      <c r="T449" s="24"/>
      <c r="U449" s="24"/>
      <c r="V449" s="24">
        <v>1.8</v>
      </c>
      <c r="XDO449"/>
      <c r="XDP449"/>
      <c r="XDQ449"/>
      <c r="XDR449"/>
      <c r="XDS449"/>
    </row>
    <row r="450" s="21" customFormat="1" spans="1:16347">
      <c r="A450" s="24" t="s">
        <v>58</v>
      </c>
      <c r="B450" s="25" t="s">
        <v>59</v>
      </c>
      <c r="C450" s="24" t="s">
        <v>60</v>
      </c>
      <c r="D450" s="24" t="s">
        <v>2126</v>
      </c>
      <c r="E450" s="24" t="s">
        <v>2127</v>
      </c>
      <c r="F450" s="24" t="s">
        <v>2128</v>
      </c>
      <c r="G450" s="24" t="s">
        <v>2129</v>
      </c>
      <c r="H450" s="24"/>
      <c r="I450" s="34">
        <v>2.5</v>
      </c>
      <c r="J450" s="24" t="s">
        <v>881</v>
      </c>
      <c r="K450" s="24" t="s">
        <v>2130</v>
      </c>
      <c r="L450" s="24" t="s">
        <v>67</v>
      </c>
      <c r="M450" s="24" t="s">
        <v>74</v>
      </c>
      <c r="N450" s="24" t="s">
        <v>74</v>
      </c>
      <c r="O450" s="25">
        <v>0.5</v>
      </c>
      <c r="P450" s="24"/>
      <c r="Q450" s="24"/>
      <c r="R450" s="24"/>
      <c r="S450" s="24">
        <v>0.2</v>
      </c>
      <c r="T450" s="24"/>
      <c r="U450" s="24"/>
      <c r="V450" s="24">
        <v>1.8</v>
      </c>
      <c r="XDO450"/>
      <c r="XDP450"/>
      <c r="XDQ450"/>
      <c r="XDR450"/>
      <c r="XDS450"/>
    </row>
    <row r="451" s="21" customFormat="1" spans="1:16347">
      <c r="A451" s="24" t="s">
        <v>58</v>
      </c>
      <c r="B451" s="25" t="s">
        <v>59</v>
      </c>
      <c r="C451" s="24" t="s">
        <v>60</v>
      </c>
      <c r="D451" s="24" t="s">
        <v>2131</v>
      </c>
      <c r="E451" s="24" t="s">
        <v>2132</v>
      </c>
      <c r="F451" s="24" t="s">
        <v>2133</v>
      </c>
      <c r="G451" s="24" t="s">
        <v>2134</v>
      </c>
      <c r="H451" s="24"/>
      <c r="I451" s="34">
        <v>2.5</v>
      </c>
      <c r="J451" s="24" t="s">
        <v>881</v>
      </c>
      <c r="K451" s="24" t="s">
        <v>2135</v>
      </c>
      <c r="L451" s="24" t="s">
        <v>67</v>
      </c>
      <c r="M451" s="24" t="s">
        <v>74</v>
      </c>
      <c r="N451" s="24" t="s">
        <v>74</v>
      </c>
      <c r="O451" s="25">
        <v>0.5</v>
      </c>
      <c r="P451" s="24"/>
      <c r="Q451" s="24"/>
      <c r="R451" s="24"/>
      <c r="S451" s="24">
        <v>0.2</v>
      </c>
      <c r="T451" s="24"/>
      <c r="U451" s="24"/>
      <c r="V451" s="24">
        <v>1.8</v>
      </c>
      <c r="XDO451"/>
      <c r="XDP451"/>
      <c r="XDQ451"/>
      <c r="XDR451"/>
      <c r="XDS451"/>
    </row>
    <row r="452" s="21" customFormat="1" spans="1:16347">
      <c r="A452" s="24" t="s">
        <v>58</v>
      </c>
      <c r="B452" s="25" t="s">
        <v>59</v>
      </c>
      <c r="C452" s="24" t="s">
        <v>60</v>
      </c>
      <c r="D452" s="24" t="s">
        <v>2136</v>
      </c>
      <c r="E452" s="24" t="s">
        <v>2137</v>
      </c>
      <c r="F452" s="24" t="s">
        <v>2138</v>
      </c>
      <c r="G452" s="24" t="s">
        <v>2134</v>
      </c>
      <c r="H452" s="24"/>
      <c r="I452" s="34">
        <v>2.5</v>
      </c>
      <c r="J452" s="24" t="s">
        <v>881</v>
      </c>
      <c r="K452" s="24" t="s">
        <v>2139</v>
      </c>
      <c r="L452" s="24" t="s">
        <v>67</v>
      </c>
      <c r="M452" s="24" t="s">
        <v>74</v>
      </c>
      <c r="N452" s="24" t="s">
        <v>74</v>
      </c>
      <c r="O452" s="25">
        <v>0.5</v>
      </c>
      <c r="P452" s="24"/>
      <c r="Q452" s="24"/>
      <c r="R452" s="24"/>
      <c r="S452" s="24">
        <v>0.2</v>
      </c>
      <c r="T452" s="24"/>
      <c r="U452" s="24"/>
      <c r="V452" s="24">
        <v>1.8</v>
      </c>
      <c r="XDO452"/>
      <c r="XDP452"/>
      <c r="XDQ452"/>
      <c r="XDR452"/>
      <c r="XDS452"/>
    </row>
    <row r="453" s="21" customFormat="1" spans="1:16347">
      <c r="A453" s="24" t="s">
        <v>58</v>
      </c>
      <c r="B453" s="25" t="s">
        <v>59</v>
      </c>
      <c r="C453" s="24" t="s">
        <v>60</v>
      </c>
      <c r="D453" s="24" t="s">
        <v>2140</v>
      </c>
      <c r="E453" s="24" t="s">
        <v>2141</v>
      </c>
      <c r="F453" s="24" t="s">
        <v>2142</v>
      </c>
      <c r="G453" s="24" t="s">
        <v>2134</v>
      </c>
      <c r="H453" s="24"/>
      <c r="I453" s="34">
        <v>2.5</v>
      </c>
      <c r="J453" s="24" t="s">
        <v>881</v>
      </c>
      <c r="K453" s="24" t="s">
        <v>2143</v>
      </c>
      <c r="L453" s="24" t="s">
        <v>67</v>
      </c>
      <c r="M453" s="24" t="s">
        <v>74</v>
      </c>
      <c r="N453" s="24" t="s">
        <v>74</v>
      </c>
      <c r="O453" s="25">
        <v>0.5</v>
      </c>
      <c r="P453" s="24"/>
      <c r="Q453" s="24"/>
      <c r="R453" s="24"/>
      <c r="S453" s="24">
        <v>0.2</v>
      </c>
      <c r="T453" s="24"/>
      <c r="U453" s="24"/>
      <c r="V453" s="24">
        <v>1.8</v>
      </c>
      <c r="XDO453"/>
      <c r="XDP453"/>
      <c r="XDQ453"/>
      <c r="XDR453"/>
      <c r="XDS453"/>
    </row>
    <row r="454" s="21" customFormat="1" spans="1:16347">
      <c r="A454" s="24" t="s">
        <v>58</v>
      </c>
      <c r="B454" s="25" t="s">
        <v>59</v>
      </c>
      <c r="C454" s="24" t="s">
        <v>60</v>
      </c>
      <c r="D454" s="24" t="s">
        <v>2144</v>
      </c>
      <c r="E454" s="24" t="s">
        <v>2145</v>
      </c>
      <c r="F454" s="24" t="s">
        <v>2146</v>
      </c>
      <c r="G454" s="24" t="s">
        <v>2147</v>
      </c>
      <c r="H454" s="24"/>
      <c r="I454" s="34">
        <v>2.5</v>
      </c>
      <c r="J454" s="24" t="s">
        <v>881</v>
      </c>
      <c r="K454" s="24" t="s">
        <v>2148</v>
      </c>
      <c r="L454" s="24" t="s">
        <v>67</v>
      </c>
      <c r="M454" s="24" t="s">
        <v>74</v>
      </c>
      <c r="N454" s="24" t="s">
        <v>74</v>
      </c>
      <c r="O454" s="25">
        <v>0.5</v>
      </c>
      <c r="P454" s="24"/>
      <c r="Q454" s="24"/>
      <c r="R454" s="24"/>
      <c r="S454" s="24">
        <v>0.2</v>
      </c>
      <c r="T454" s="24"/>
      <c r="U454" s="24"/>
      <c r="V454" s="24">
        <v>1.8</v>
      </c>
      <c r="XDO454"/>
      <c r="XDP454"/>
      <c r="XDQ454"/>
      <c r="XDR454"/>
      <c r="XDS454"/>
    </row>
    <row r="455" s="21" customFormat="1" spans="1:16347">
      <c r="A455" s="24" t="s">
        <v>58</v>
      </c>
      <c r="B455" s="25" t="s">
        <v>59</v>
      </c>
      <c r="C455" s="24" t="s">
        <v>60</v>
      </c>
      <c r="D455" s="24" t="s">
        <v>2149</v>
      </c>
      <c r="E455" s="24" t="s">
        <v>2150</v>
      </c>
      <c r="F455" s="24" t="s">
        <v>2151</v>
      </c>
      <c r="G455" s="24" t="s">
        <v>2152</v>
      </c>
      <c r="H455" s="24"/>
      <c r="I455" s="34">
        <v>2.5</v>
      </c>
      <c r="J455" s="24" t="s">
        <v>881</v>
      </c>
      <c r="K455" s="24" t="s">
        <v>2153</v>
      </c>
      <c r="L455" s="24" t="s">
        <v>67</v>
      </c>
      <c r="M455" s="24" t="s">
        <v>74</v>
      </c>
      <c r="N455" s="24" t="s">
        <v>74</v>
      </c>
      <c r="O455" s="25">
        <v>0.5</v>
      </c>
      <c r="P455" s="24"/>
      <c r="Q455" s="24"/>
      <c r="R455" s="24"/>
      <c r="S455" s="24">
        <v>0.2</v>
      </c>
      <c r="T455" s="24"/>
      <c r="U455" s="24"/>
      <c r="V455" s="24">
        <v>1.8</v>
      </c>
      <c r="XDO455"/>
      <c r="XDP455"/>
      <c r="XDQ455"/>
      <c r="XDR455"/>
      <c r="XDS455"/>
    </row>
    <row r="456" s="21" customFormat="1" spans="1:16347">
      <c r="A456" s="24" t="s">
        <v>58</v>
      </c>
      <c r="B456" s="25" t="s">
        <v>59</v>
      </c>
      <c r="C456" s="24" t="s">
        <v>60</v>
      </c>
      <c r="D456" s="24" t="s">
        <v>2154</v>
      </c>
      <c r="E456" s="24" t="s">
        <v>2155</v>
      </c>
      <c r="F456" s="24" t="s">
        <v>2156</v>
      </c>
      <c r="G456" s="24" t="s">
        <v>2157</v>
      </c>
      <c r="H456" s="24"/>
      <c r="I456" s="34">
        <v>2.5</v>
      </c>
      <c r="J456" s="24" t="s">
        <v>881</v>
      </c>
      <c r="K456" s="24" t="s">
        <v>2158</v>
      </c>
      <c r="L456" s="24" t="s">
        <v>67</v>
      </c>
      <c r="M456" s="24" t="s">
        <v>445</v>
      </c>
      <c r="N456" s="24" t="s">
        <v>445</v>
      </c>
      <c r="O456" s="25">
        <v>0.5</v>
      </c>
      <c r="P456" s="24"/>
      <c r="Q456" s="24"/>
      <c r="R456" s="24"/>
      <c r="S456" s="24">
        <v>0.2</v>
      </c>
      <c r="T456" s="24"/>
      <c r="U456" s="24"/>
      <c r="V456" s="24">
        <v>1.8</v>
      </c>
      <c r="XDO456"/>
      <c r="XDP456"/>
      <c r="XDQ456"/>
      <c r="XDR456"/>
      <c r="XDS456"/>
    </row>
    <row r="457" s="21" customFormat="1" spans="1:16347">
      <c r="A457" s="24" t="s">
        <v>58</v>
      </c>
      <c r="B457" s="25" t="s">
        <v>59</v>
      </c>
      <c r="C457" s="24" t="s">
        <v>60</v>
      </c>
      <c r="D457" s="24" t="s">
        <v>2159</v>
      </c>
      <c r="E457" s="24" t="s">
        <v>2160</v>
      </c>
      <c r="F457" s="24" t="s">
        <v>2161</v>
      </c>
      <c r="G457" s="24" t="s">
        <v>2157</v>
      </c>
      <c r="H457" s="24"/>
      <c r="I457" s="34">
        <v>3</v>
      </c>
      <c r="J457" s="24" t="s">
        <v>1188</v>
      </c>
      <c r="K457" s="24" t="s">
        <v>2162</v>
      </c>
      <c r="L457" s="24" t="s">
        <v>67</v>
      </c>
      <c r="M457" s="24" t="s">
        <v>209</v>
      </c>
      <c r="N457" s="24" t="s">
        <v>209</v>
      </c>
      <c r="O457" s="25">
        <v>0.5</v>
      </c>
      <c r="P457" s="24"/>
      <c r="Q457" s="24"/>
      <c r="R457" s="24"/>
      <c r="S457" s="24"/>
      <c r="T457" s="24"/>
      <c r="U457" s="24"/>
      <c r="V457" s="24">
        <v>2.5</v>
      </c>
      <c r="XDO457"/>
      <c r="XDP457"/>
      <c r="XDQ457"/>
      <c r="XDR457"/>
      <c r="XDS457"/>
    </row>
    <row r="458" s="21" customFormat="1" spans="1:16347">
      <c r="A458" s="24" t="s">
        <v>58</v>
      </c>
      <c r="B458" s="25" t="s">
        <v>59</v>
      </c>
      <c r="C458" s="24" t="s">
        <v>60</v>
      </c>
      <c r="D458" s="24" t="s">
        <v>2163</v>
      </c>
      <c r="E458" s="24" t="s">
        <v>2164</v>
      </c>
      <c r="F458" s="24" t="s">
        <v>2165</v>
      </c>
      <c r="G458" s="24" t="s">
        <v>2152</v>
      </c>
      <c r="H458" s="24"/>
      <c r="I458" s="34">
        <v>2.8</v>
      </c>
      <c r="J458" s="24" t="s">
        <v>65</v>
      </c>
      <c r="K458" s="24" t="s">
        <v>2166</v>
      </c>
      <c r="L458" s="24" t="s">
        <v>67</v>
      </c>
      <c r="M458" s="24" t="s">
        <v>363</v>
      </c>
      <c r="N458" s="24" t="s">
        <v>363</v>
      </c>
      <c r="O458" s="25">
        <v>0.5</v>
      </c>
      <c r="P458" s="24"/>
      <c r="Q458" s="24"/>
      <c r="R458" s="24"/>
      <c r="S458" s="24"/>
      <c r="T458" s="24"/>
      <c r="U458" s="24"/>
      <c r="V458" s="24">
        <v>2.3</v>
      </c>
      <c r="XDO458"/>
      <c r="XDP458"/>
      <c r="XDQ458"/>
      <c r="XDR458"/>
      <c r="XDS458"/>
    </row>
    <row r="459" s="21" customFormat="1" spans="1:16347">
      <c r="A459" s="24" t="s">
        <v>58</v>
      </c>
      <c r="B459" s="25" t="s">
        <v>59</v>
      </c>
      <c r="C459" s="24" t="s">
        <v>60</v>
      </c>
      <c r="D459" s="24" t="s">
        <v>2167</v>
      </c>
      <c r="E459" s="24" t="s">
        <v>2168</v>
      </c>
      <c r="F459" s="24" t="s">
        <v>2169</v>
      </c>
      <c r="G459" s="24" t="s">
        <v>2157</v>
      </c>
      <c r="H459" s="24"/>
      <c r="I459" s="25">
        <v>3</v>
      </c>
      <c r="J459" s="24" t="s">
        <v>65</v>
      </c>
      <c r="K459" s="24" t="s">
        <v>2170</v>
      </c>
      <c r="L459" s="24" t="s">
        <v>67</v>
      </c>
      <c r="M459" s="24" t="s">
        <v>672</v>
      </c>
      <c r="N459" s="24" t="s">
        <v>672</v>
      </c>
      <c r="O459" s="25">
        <v>0.5</v>
      </c>
      <c r="P459" s="24"/>
      <c r="Q459" s="24"/>
      <c r="R459" s="24"/>
      <c r="S459" s="24">
        <v>0.2</v>
      </c>
      <c r="T459" s="24"/>
      <c r="U459" s="24"/>
      <c r="V459" s="24">
        <v>2.3</v>
      </c>
      <c r="XDO459"/>
      <c r="XDP459"/>
      <c r="XDQ459"/>
      <c r="XDR459"/>
      <c r="XDS459"/>
    </row>
    <row r="460" s="21" customFormat="1" spans="1:16347">
      <c r="A460" s="24" t="s">
        <v>58</v>
      </c>
      <c r="B460" s="25" t="s">
        <v>59</v>
      </c>
      <c r="C460" s="24" t="s">
        <v>60</v>
      </c>
      <c r="D460" s="24" t="s">
        <v>2171</v>
      </c>
      <c r="E460" s="24" t="s">
        <v>2172</v>
      </c>
      <c r="F460" s="24" t="s">
        <v>2173</v>
      </c>
      <c r="G460" s="24" t="s">
        <v>2174</v>
      </c>
      <c r="H460" s="24"/>
      <c r="I460" s="25">
        <v>3</v>
      </c>
      <c r="J460" s="24" t="s">
        <v>65</v>
      </c>
      <c r="K460" s="24" t="s">
        <v>2175</v>
      </c>
      <c r="L460" s="24" t="s">
        <v>67</v>
      </c>
      <c r="M460" s="24" t="s">
        <v>672</v>
      </c>
      <c r="N460" s="24" t="s">
        <v>672</v>
      </c>
      <c r="O460" s="25">
        <v>0.5</v>
      </c>
      <c r="P460" s="24"/>
      <c r="Q460" s="24"/>
      <c r="R460" s="24"/>
      <c r="S460" s="24">
        <v>0.2</v>
      </c>
      <c r="T460" s="24"/>
      <c r="U460" s="24"/>
      <c r="V460" s="24">
        <v>2.3</v>
      </c>
      <c r="XDO460"/>
      <c r="XDP460"/>
      <c r="XDQ460"/>
      <c r="XDR460"/>
      <c r="XDS460"/>
    </row>
    <row r="461" s="21" customFormat="1" spans="1:16347">
      <c r="A461" s="24" t="s">
        <v>58</v>
      </c>
      <c r="B461" s="25" t="s">
        <v>59</v>
      </c>
      <c r="C461" s="24" t="s">
        <v>60</v>
      </c>
      <c r="D461" s="24" t="s">
        <v>2176</v>
      </c>
      <c r="E461" s="24" t="s">
        <v>2177</v>
      </c>
      <c r="F461" s="24" t="s">
        <v>2178</v>
      </c>
      <c r="G461" s="24" t="s">
        <v>2179</v>
      </c>
      <c r="H461" s="24"/>
      <c r="I461" s="25">
        <v>3</v>
      </c>
      <c r="J461" s="24" t="s">
        <v>65</v>
      </c>
      <c r="K461" s="24" t="s">
        <v>2180</v>
      </c>
      <c r="L461" s="24" t="s">
        <v>67</v>
      </c>
      <c r="M461" s="24" t="s">
        <v>672</v>
      </c>
      <c r="N461" s="24" t="s">
        <v>672</v>
      </c>
      <c r="O461" s="25">
        <v>0.5</v>
      </c>
      <c r="P461" s="24"/>
      <c r="Q461" s="24"/>
      <c r="R461" s="24"/>
      <c r="S461" s="24">
        <v>0.2</v>
      </c>
      <c r="T461" s="24"/>
      <c r="U461" s="24"/>
      <c r="V461" s="24">
        <v>2.3</v>
      </c>
      <c r="XDO461"/>
      <c r="XDP461"/>
      <c r="XDQ461"/>
      <c r="XDR461"/>
      <c r="XDS461"/>
    </row>
    <row r="462" s="21" customFormat="1" spans="1:16347">
      <c r="A462" s="24" t="s">
        <v>58</v>
      </c>
      <c r="B462" s="25" t="s">
        <v>59</v>
      </c>
      <c r="C462" s="24" t="s">
        <v>60</v>
      </c>
      <c r="D462" s="24" t="s">
        <v>2181</v>
      </c>
      <c r="E462" s="24" t="s">
        <v>2182</v>
      </c>
      <c r="F462" s="24" t="s">
        <v>2183</v>
      </c>
      <c r="G462" s="24" t="s">
        <v>2179</v>
      </c>
      <c r="H462" s="24"/>
      <c r="I462" s="25">
        <v>3.1</v>
      </c>
      <c r="J462" s="24" t="s">
        <v>65</v>
      </c>
      <c r="K462" s="24" t="s">
        <v>2184</v>
      </c>
      <c r="L462" s="24" t="s">
        <v>67</v>
      </c>
      <c r="M462" s="24" t="s">
        <v>1377</v>
      </c>
      <c r="N462" s="24" t="s">
        <v>1377</v>
      </c>
      <c r="O462" s="25">
        <v>0.7</v>
      </c>
      <c r="P462" s="24"/>
      <c r="Q462" s="24"/>
      <c r="R462" s="24"/>
      <c r="S462" s="24"/>
      <c r="T462" s="24"/>
      <c r="U462" s="24"/>
      <c r="V462" s="24">
        <v>2.4</v>
      </c>
      <c r="XDO462"/>
      <c r="XDP462"/>
      <c r="XDQ462"/>
      <c r="XDR462"/>
      <c r="XDS462"/>
    </row>
    <row r="463" s="21" customFormat="1" spans="1:16347">
      <c r="A463" s="24" t="s">
        <v>58</v>
      </c>
      <c r="B463" s="25" t="s">
        <v>59</v>
      </c>
      <c r="C463" s="24" t="s">
        <v>60</v>
      </c>
      <c r="D463" s="24" t="s">
        <v>2185</v>
      </c>
      <c r="E463" s="24" t="s">
        <v>2186</v>
      </c>
      <c r="F463" s="24" t="s">
        <v>2187</v>
      </c>
      <c r="G463" s="24" t="s">
        <v>2179</v>
      </c>
      <c r="H463" s="24"/>
      <c r="I463" s="25">
        <v>2.5</v>
      </c>
      <c r="J463" s="24" t="s">
        <v>881</v>
      </c>
      <c r="K463" s="24" t="s">
        <v>2188</v>
      </c>
      <c r="L463" s="24" t="s">
        <v>67</v>
      </c>
      <c r="M463" s="24" t="s">
        <v>137</v>
      </c>
      <c r="N463" s="24" t="s">
        <v>137</v>
      </c>
      <c r="O463" s="25">
        <v>0.5</v>
      </c>
      <c r="P463" s="24"/>
      <c r="Q463" s="24"/>
      <c r="R463" s="24"/>
      <c r="S463" s="24">
        <v>0.2</v>
      </c>
      <c r="T463" s="24"/>
      <c r="U463" s="24"/>
      <c r="V463" s="24">
        <v>1.8</v>
      </c>
      <c r="XDO463"/>
      <c r="XDP463"/>
      <c r="XDQ463"/>
      <c r="XDR463"/>
      <c r="XDS463"/>
    </row>
    <row r="464" s="21" customFormat="1" spans="1:16347">
      <c r="A464" s="24" t="s">
        <v>58</v>
      </c>
      <c r="B464" s="25" t="s">
        <v>59</v>
      </c>
      <c r="C464" s="24" t="s">
        <v>60</v>
      </c>
      <c r="D464" s="24" t="s">
        <v>2189</v>
      </c>
      <c r="E464" s="24" t="s">
        <v>2190</v>
      </c>
      <c r="F464" s="24" t="s">
        <v>2191</v>
      </c>
      <c r="G464" s="24" t="s">
        <v>2174</v>
      </c>
      <c r="H464" s="24"/>
      <c r="I464" s="25">
        <v>3.6</v>
      </c>
      <c r="J464" s="24" t="s">
        <v>65</v>
      </c>
      <c r="K464" s="24" t="s">
        <v>2192</v>
      </c>
      <c r="L464" s="24" t="s">
        <v>67</v>
      </c>
      <c r="M464" s="24" t="s">
        <v>876</v>
      </c>
      <c r="N464" s="24" t="s">
        <v>876</v>
      </c>
      <c r="O464" s="25">
        <v>1</v>
      </c>
      <c r="P464" s="24"/>
      <c r="Q464" s="24"/>
      <c r="R464" s="24"/>
      <c r="S464" s="24"/>
      <c r="T464" s="24"/>
      <c r="U464" s="24"/>
      <c r="V464" s="24">
        <v>2.6</v>
      </c>
      <c r="XDO464"/>
      <c r="XDP464"/>
      <c r="XDQ464"/>
      <c r="XDR464"/>
      <c r="XDS464"/>
    </row>
    <row r="465" s="21" customFormat="1" spans="1:16347">
      <c r="A465" s="24" t="s">
        <v>58</v>
      </c>
      <c r="B465" s="25" t="s">
        <v>59</v>
      </c>
      <c r="C465" s="24" t="s">
        <v>60</v>
      </c>
      <c r="D465" s="24" t="s">
        <v>2193</v>
      </c>
      <c r="E465" s="24" t="s">
        <v>2194</v>
      </c>
      <c r="F465" s="24" t="s">
        <v>2195</v>
      </c>
      <c r="G465" s="24" t="s">
        <v>2196</v>
      </c>
      <c r="H465" s="24"/>
      <c r="I465" s="25">
        <v>4.8</v>
      </c>
      <c r="J465" s="24" t="s">
        <v>65</v>
      </c>
      <c r="K465" s="24" t="s">
        <v>2197</v>
      </c>
      <c r="L465" s="24" t="s">
        <v>67</v>
      </c>
      <c r="M465" s="24" t="s">
        <v>519</v>
      </c>
      <c r="N465" s="24" t="s">
        <v>519</v>
      </c>
      <c r="O465" s="25">
        <v>2</v>
      </c>
      <c r="P465" s="24"/>
      <c r="Q465" s="24"/>
      <c r="R465" s="24"/>
      <c r="S465" s="24"/>
      <c r="T465" s="24"/>
      <c r="U465" s="24"/>
      <c r="V465" s="24">
        <v>2.8</v>
      </c>
      <c r="XDO465"/>
      <c r="XDP465"/>
      <c r="XDQ465"/>
      <c r="XDR465"/>
      <c r="XDS465"/>
    </row>
    <row r="466" s="21" customFormat="1" spans="1:16347">
      <c r="A466" s="24" t="s">
        <v>58</v>
      </c>
      <c r="B466" s="25" t="s">
        <v>59</v>
      </c>
      <c r="C466" s="24" t="s">
        <v>60</v>
      </c>
      <c r="D466" s="24" t="s">
        <v>2198</v>
      </c>
      <c r="E466" s="24" t="s">
        <v>2199</v>
      </c>
      <c r="F466" s="24" t="s">
        <v>2200</v>
      </c>
      <c r="G466" s="24" t="s">
        <v>2196</v>
      </c>
      <c r="H466" s="24"/>
      <c r="I466" s="25">
        <v>2.45</v>
      </c>
      <c r="J466" s="24" t="s">
        <v>881</v>
      </c>
      <c r="K466" s="24" t="s">
        <v>2201</v>
      </c>
      <c r="L466" s="24" t="s">
        <v>67</v>
      </c>
      <c r="M466" s="24" t="s">
        <v>363</v>
      </c>
      <c r="N466" s="24" t="s">
        <v>363</v>
      </c>
      <c r="O466" s="25">
        <v>0.5</v>
      </c>
      <c r="P466" s="24"/>
      <c r="Q466" s="24"/>
      <c r="R466" s="24"/>
      <c r="S466" s="24"/>
      <c r="T466" s="24"/>
      <c r="U466" s="24"/>
      <c r="V466" s="24">
        <v>1.95</v>
      </c>
      <c r="XDO466"/>
      <c r="XDP466"/>
      <c r="XDQ466"/>
      <c r="XDR466"/>
      <c r="XDS466"/>
    </row>
    <row r="467" s="21" customFormat="1" spans="1:16347">
      <c r="A467" s="24" t="s">
        <v>58</v>
      </c>
      <c r="B467" s="25" t="s">
        <v>59</v>
      </c>
      <c r="C467" s="24" t="s">
        <v>60</v>
      </c>
      <c r="D467" s="24" t="s">
        <v>2202</v>
      </c>
      <c r="E467" s="24" t="s">
        <v>2203</v>
      </c>
      <c r="F467" s="24" t="s">
        <v>2204</v>
      </c>
      <c r="G467" s="24" t="s">
        <v>2196</v>
      </c>
      <c r="H467" s="24"/>
      <c r="I467" s="25">
        <v>2.5</v>
      </c>
      <c r="J467" s="24" t="s">
        <v>881</v>
      </c>
      <c r="K467" s="24" t="s">
        <v>2205</v>
      </c>
      <c r="L467" s="24" t="s">
        <v>67</v>
      </c>
      <c r="M467" s="24" t="s">
        <v>137</v>
      </c>
      <c r="N467" s="24" t="s">
        <v>137</v>
      </c>
      <c r="O467" s="25">
        <v>0.5</v>
      </c>
      <c r="P467" s="24"/>
      <c r="Q467" s="24"/>
      <c r="R467" s="24"/>
      <c r="S467" s="24">
        <v>0.2</v>
      </c>
      <c r="T467" s="24"/>
      <c r="U467" s="24"/>
      <c r="V467" s="24">
        <v>1.8</v>
      </c>
      <c r="XDO467"/>
      <c r="XDP467"/>
      <c r="XDQ467"/>
      <c r="XDR467"/>
      <c r="XDS467"/>
    </row>
    <row r="468" s="21" customFormat="1" spans="1:16347">
      <c r="A468" s="24" t="s">
        <v>58</v>
      </c>
      <c r="B468" s="25" t="s">
        <v>59</v>
      </c>
      <c r="C468" s="24" t="s">
        <v>60</v>
      </c>
      <c r="D468" s="24" t="s">
        <v>2206</v>
      </c>
      <c r="E468" s="24" t="s">
        <v>2207</v>
      </c>
      <c r="F468" s="24" t="s">
        <v>2208</v>
      </c>
      <c r="G468" s="24" t="s">
        <v>2209</v>
      </c>
      <c r="H468" s="24"/>
      <c r="I468" s="25">
        <v>2.45</v>
      </c>
      <c r="J468" s="24" t="s">
        <v>881</v>
      </c>
      <c r="K468" s="24" t="s">
        <v>2210</v>
      </c>
      <c r="L468" s="24" t="s">
        <v>67</v>
      </c>
      <c r="M468" s="24" t="s">
        <v>1246</v>
      </c>
      <c r="N468" s="24" t="s">
        <v>1246</v>
      </c>
      <c r="O468" s="25">
        <v>0.5</v>
      </c>
      <c r="P468" s="24"/>
      <c r="Q468" s="24"/>
      <c r="R468" s="24"/>
      <c r="S468" s="24"/>
      <c r="T468" s="24"/>
      <c r="U468" s="24"/>
      <c r="V468" s="24">
        <v>1.95</v>
      </c>
      <c r="XDO468"/>
      <c r="XDP468"/>
      <c r="XDQ468"/>
      <c r="XDR468"/>
      <c r="XDS468"/>
    </row>
    <row r="469" s="21" customFormat="1" spans="1:16347">
      <c r="A469" s="24" t="s">
        <v>58</v>
      </c>
      <c r="B469" s="25" t="s">
        <v>59</v>
      </c>
      <c r="C469" s="24" t="s">
        <v>60</v>
      </c>
      <c r="D469" s="24" t="s">
        <v>2211</v>
      </c>
      <c r="E469" s="24" t="s">
        <v>2212</v>
      </c>
      <c r="F469" s="24" t="s">
        <v>2213</v>
      </c>
      <c r="G469" s="24" t="s">
        <v>2214</v>
      </c>
      <c r="H469" s="24"/>
      <c r="I469" s="25">
        <v>2.3</v>
      </c>
      <c r="J469" s="24" t="s">
        <v>881</v>
      </c>
      <c r="K469" s="24" t="s">
        <v>2215</v>
      </c>
      <c r="L469" s="24" t="s">
        <v>67</v>
      </c>
      <c r="M469" s="24" t="s">
        <v>672</v>
      </c>
      <c r="N469" s="24" t="s">
        <v>672</v>
      </c>
      <c r="O469" s="25">
        <v>0.5</v>
      </c>
      <c r="P469" s="24"/>
      <c r="Q469" s="24"/>
      <c r="R469" s="24"/>
      <c r="S469" s="24"/>
      <c r="T469" s="24"/>
      <c r="U469" s="24"/>
      <c r="V469" s="24">
        <v>1.8</v>
      </c>
      <c r="XDO469"/>
      <c r="XDP469"/>
      <c r="XDQ469"/>
      <c r="XDR469"/>
      <c r="XDS469"/>
    </row>
    <row r="470" s="21" customFormat="1" spans="1:16347">
      <c r="A470" s="24" t="s">
        <v>58</v>
      </c>
      <c r="B470" s="25" t="s">
        <v>59</v>
      </c>
      <c r="C470" s="24" t="s">
        <v>60</v>
      </c>
      <c r="D470" s="24" t="s">
        <v>2216</v>
      </c>
      <c r="E470" s="24" t="s">
        <v>2217</v>
      </c>
      <c r="F470" s="24" t="s">
        <v>2218</v>
      </c>
      <c r="G470" s="24" t="s">
        <v>2219</v>
      </c>
      <c r="H470" s="24"/>
      <c r="I470" s="25">
        <v>4.6</v>
      </c>
      <c r="J470" s="24" t="s">
        <v>65</v>
      </c>
      <c r="K470" s="24" t="s">
        <v>2220</v>
      </c>
      <c r="L470" s="24" t="s">
        <v>67</v>
      </c>
      <c r="M470" s="24" t="s">
        <v>463</v>
      </c>
      <c r="N470" s="24" t="s">
        <v>463</v>
      </c>
      <c r="O470" s="25">
        <v>1</v>
      </c>
      <c r="P470" s="24"/>
      <c r="Q470" s="24"/>
      <c r="R470" s="24"/>
      <c r="S470" s="24">
        <v>1</v>
      </c>
      <c r="T470" s="24"/>
      <c r="U470" s="24"/>
      <c r="V470" s="24">
        <v>2.6</v>
      </c>
      <c r="XDO470"/>
      <c r="XDP470"/>
      <c r="XDQ470"/>
      <c r="XDR470"/>
      <c r="XDS470"/>
    </row>
    <row r="471" s="21" customFormat="1" spans="1:16347">
      <c r="A471" s="24" t="s">
        <v>58</v>
      </c>
      <c r="B471" s="25" t="s">
        <v>59</v>
      </c>
      <c r="C471" s="24" t="s">
        <v>60</v>
      </c>
      <c r="D471" s="24" t="s">
        <v>2221</v>
      </c>
      <c r="E471" s="24" t="s">
        <v>2222</v>
      </c>
      <c r="F471" s="24" t="s">
        <v>2223</v>
      </c>
      <c r="G471" s="24" t="s">
        <v>2224</v>
      </c>
      <c r="H471" s="24"/>
      <c r="I471" s="25">
        <v>4.6</v>
      </c>
      <c r="J471" s="24" t="s">
        <v>65</v>
      </c>
      <c r="K471" s="24" t="s">
        <v>2225</v>
      </c>
      <c r="L471" s="24" t="s">
        <v>67</v>
      </c>
      <c r="M471" s="24" t="s">
        <v>463</v>
      </c>
      <c r="N471" s="24" t="s">
        <v>463</v>
      </c>
      <c r="O471" s="25">
        <v>1</v>
      </c>
      <c r="P471" s="24"/>
      <c r="Q471" s="24"/>
      <c r="R471" s="24"/>
      <c r="S471" s="24">
        <v>1</v>
      </c>
      <c r="T471" s="24"/>
      <c r="U471" s="24"/>
      <c r="V471" s="24">
        <v>2.6</v>
      </c>
      <c r="XDO471"/>
      <c r="XDP471"/>
      <c r="XDQ471"/>
      <c r="XDR471"/>
      <c r="XDS471"/>
    </row>
    <row r="472" s="21" customFormat="1" spans="1:16347">
      <c r="A472" s="24" t="s">
        <v>58</v>
      </c>
      <c r="B472" s="25" t="s">
        <v>59</v>
      </c>
      <c r="C472" s="24" t="s">
        <v>60</v>
      </c>
      <c r="D472" s="24" t="s">
        <v>2226</v>
      </c>
      <c r="E472" s="24" t="s">
        <v>2227</v>
      </c>
      <c r="F472" s="24" t="s">
        <v>2228</v>
      </c>
      <c r="G472" s="24" t="s">
        <v>2224</v>
      </c>
      <c r="H472" s="24"/>
      <c r="I472" s="25">
        <v>4.6</v>
      </c>
      <c r="J472" s="24" t="s">
        <v>65</v>
      </c>
      <c r="K472" s="24" t="s">
        <v>2229</v>
      </c>
      <c r="L472" s="24" t="s">
        <v>67</v>
      </c>
      <c r="M472" s="24" t="s">
        <v>463</v>
      </c>
      <c r="N472" s="24" t="s">
        <v>463</v>
      </c>
      <c r="O472" s="25">
        <v>1</v>
      </c>
      <c r="P472" s="24"/>
      <c r="Q472" s="24"/>
      <c r="R472" s="24"/>
      <c r="S472" s="24">
        <v>1</v>
      </c>
      <c r="T472" s="24"/>
      <c r="U472" s="24"/>
      <c r="V472" s="24">
        <v>2.6</v>
      </c>
      <c r="XDO472"/>
      <c r="XDP472"/>
      <c r="XDQ472"/>
      <c r="XDR472"/>
      <c r="XDS472"/>
    </row>
    <row r="473" s="21" customFormat="1" spans="1:16347">
      <c r="A473" s="24" t="s">
        <v>58</v>
      </c>
      <c r="B473" s="25" t="s">
        <v>59</v>
      </c>
      <c r="C473" s="24" t="s">
        <v>60</v>
      </c>
      <c r="D473" s="24" t="s">
        <v>2230</v>
      </c>
      <c r="E473" s="24" t="s">
        <v>2231</v>
      </c>
      <c r="F473" s="24" t="s">
        <v>2232</v>
      </c>
      <c r="G473" s="24" t="s">
        <v>2224</v>
      </c>
      <c r="H473" s="24"/>
      <c r="I473" s="25">
        <v>5.5</v>
      </c>
      <c r="J473" s="24" t="s">
        <v>65</v>
      </c>
      <c r="K473" s="24" t="s">
        <v>2233</v>
      </c>
      <c r="L473" s="24" t="s">
        <v>1493</v>
      </c>
      <c r="M473" s="24" t="s">
        <v>2234</v>
      </c>
      <c r="N473" s="24" t="s">
        <v>2234</v>
      </c>
      <c r="O473" s="25">
        <v>1.7</v>
      </c>
      <c r="P473" s="24"/>
      <c r="Q473" s="24"/>
      <c r="R473" s="24"/>
      <c r="S473" s="24">
        <v>1</v>
      </c>
      <c r="T473" s="24"/>
      <c r="U473" s="24"/>
      <c r="V473" s="24">
        <v>2.8</v>
      </c>
      <c r="XDO473"/>
      <c r="XDP473"/>
      <c r="XDQ473"/>
      <c r="XDR473"/>
      <c r="XDS473"/>
    </row>
    <row r="474" s="21" customFormat="1" spans="1:16347">
      <c r="A474" s="24" t="s">
        <v>58</v>
      </c>
      <c r="B474" s="25" t="s">
        <v>59</v>
      </c>
      <c r="C474" s="24" t="s">
        <v>60</v>
      </c>
      <c r="D474" s="24" t="s">
        <v>2235</v>
      </c>
      <c r="E474" s="24" t="s">
        <v>2236</v>
      </c>
      <c r="F474" s="24" t="s">
        <v>2237</v>
      </c>
      <c r="G474" s="24" t="s">
        <v>2224</v>
      </c>
      <c r="H474" s="24"/>
      <c r="I474" s="25">
        <v>5.5</v>
      </c>
      <c r="J474" s="24" t="s">
        <v>65</v>
      </c>
      <c r="K474" s="24" t="s">
        <v>2238</v>
      </c>
      <c r="L474" s="24" t="s">
        <v>67</v>
      </c>
      <c r="M474" s="24" t="s">
        <v>667</v>
      </c>
      <c r="N474" s="24" t="s">
        <v>667</v>
      </c>
      <c r="O474" s="25">
        <v>1.7</v>
      </c>
      <c r="P474" s="24"/>
      <c r="Q474" s="24"/>
      <c r="R474" s="24"/>
      <c r="S474" s="24">
        <v>1</v>
      </c>
      <c r="T474" s="24"/>
      <c r="U474" s="24"/>
      <c r="V474" s="24">
        <v>2.8</v>
      </c>
      <c r="XDO474"/>
      <c r="XDP474"/>
      <c r="XDQ474"/>
      <c r="XDR474"/>
      <c r="XDS474"/>
    </row>
    <row r="475" s="21" customFormat="1" spans="1:16347">
      <c r="A475" s="24" t="s">
        <v>58</v>
      </c>
      <c r="B475" s="25" t="s">
        <v>59</v>
      </c>
      <c r="C475" s="24" t="s">
        <v>60</v>
      </c>
      <c r="D475" s="24" t="s">
        <v>2239</v>
      </c>
      <c r="E475" s="24" t="s">
        <v>2240</v>
      </c>
      <c r="F475" s="24" t="s">
        <v>2241</v>
      </c>
      <c r="G475" s="24" t="s">
        <v>2242</v>
      </c>
      <c r="H475" s="24"/>
      <c r="I475" s="30">
        <v>6.5</v>
      </c>
      <c r="J475" s="29" t="s">
        <v>65</v>
      </c>
      <c r="K475" s="29" t="s">
        <v>2243</v>
      </c>
      <c r="L475" s="29" t="s">
        <v>67</v>
      </c>
      <c r="M475" s="29" t="s">
        <v>2244</v>
      </c>
      <c r="N475" s="29" t="s">
        <v>2244</v>
      </c>
      <c r="O475" s="30">
        <v>2</v>
      </c>
      <c r="P475" s="29"/>
      <c r="Q475" s="29"/>
      <c r="R475" s="29"/>
      <c r="S475" s="29">
        <v>1</v>
      </c>
      <c r="T475" s="29"/>
      <c r="U475" s="29"/>
      <c r="V475" s="29">
        <v>3.5</v>
      </c>
      <c r="XDO475"/>
      <c r="XDP475"/>
      <c r="XDQ475"/>
      <c r="XDR475"/>
      <c r="XDS475"/>
    </row>
    <row r="476" s="21" customFormat="1" spans="1:16347">
      <c r="A476" s="24" t="s">
        <v>58</v>
      </c>
      <c r="B476" s="25" t="s">
        <v>59</v>
      </c>
      <c r="C476" s="24" t="s">
        <v>60</v>
      </c>
      <c r="D476" s="24" t="s">
        <v>2245</v>
      </c>
      <c r="E476" s="24" t="s">
        <v>2246</v>
      </c>
      <c r="F476" s="24" t="s">
        <v>2247</v>
      </c>
      <c r="G476" s="24" t="s">
        <v>2242</v>
      </c>
      <c r="H476" s="24"/>
      <c r="I476" s="25">
        <v>5.5</v>
      </c>
      <c r="J476" s="24" t="s">
        <v>65</v>
      </c>
      <c r="K476" s="24" t="s">
        <v>2248</v>
      </c>
      <c r="L476" s="24" t="s">
        <v>67</v>
      </c>
      <c r="M476" s="24" t="s">
        <v>2234</v>
      </c>
      <c r="N476" s="24" t="s">
        <v>2234</v>
      </c>
      <c r="O476" s="25">
        <v>1.7</v>
      </c>
      <c r="P476" s="24"/>
      <c r="Q476" s="24"/>
      <c r="R476" s="24"/>
      <c r="S476" s="24">
        <v>1</v>
      </c>
      <c r="T476" s="24"/>
      <c r="U476" s="24"/>
      <c r="V476" s="24">
        <v>2.8</v>
      </c>
      <c r="W476" s="24"/>
      <c r="XDO476"/>
      <c r="XDP476"/>
      <c r="XDQ476"/>
      <c r="XDR476"/>
      <c r="XDS476"/>
    </row>
    <row r="477" s="21" customFormat="1" spans="1:16347">
      <c r="A477" s="24" t="s">
        <v>58</v>
      </c>
      <c r="B477" s="25" t="s">
        <v>59</v>
      </c>
      <c r="C477" s="24" t="s">
        <v>60</v>
      </c>
      <c r="D477" s="24" t="s">
        <v>2249</v>
      </c>
      <c r="E477" s="24" t="s">
        <v>2250</v>
      </c>
      <c r="F477" s="24" t="s">
        <v>2251</v>
      </c>
      <c r="G477" s="24" t="s">
        <v>2252</v>
      </c>
      <c r="H477" s="24"/>
      <c r="I477" s="25">
        <v>3.1</v>
      </c>
      <c r="J477" s="24" t="s">
        <v>65</v>
      </c>
      <c r="K477" s="24" t="s">
        <v>2253</v>
      </c>
      <c r="L477" s="24" t="s">
        <v>67</v>
      </c>
      <c r="M477" s="24" t="s">
        <v>179</v>
      </c>
      <c r="N477" s="24" t="s">
        <v>179</v>
      </c>
      <c r="O477" s="25">
        <v>0.7</v>
      </c>
      <c r="P477" s="24"/>
      <c r="Q477" s="24"/>
      <c r="R477" s="24"/>
      <c r="S477" s="24"/>
      <c r="T477" s="24"/>
      <c r="U477" s="24"/>
      <c r="V477" s="24">
        <v>2.4</v>
      </c>
      <c r="W477" s="24"/>
      <c r="XDO477"/>
      <c r="XDP477"/>
      <c r="XDQ477"/>
      <c r="XDR477"/>
      <c r="XDS477"/>
    </row>
    <row r="478" s="21" customFormat="1" spans="1:16347">
      <c r="A478" s="24" t="s">
        <v>58</v>
      </c>
      <c r="B478" s="25" t="s">
        <v>59</v>
      </c>
      <c r="C478" s="24" t="s">
        <v>60</v>
      </c>
      <c r="D478" s="24" t="s">
        <v>2254</v>
      </c>
      <c r="E478" s="24" t="s">
        <v>2255</v>
      </c>
      <c r="F478" s="24" t="s">
        <v>2256</v>
      </c>
      <c r="G478" s="24" t="s">
        <v>2252</v>
      </c>
      <c r="H478" s="24"/>
      <c r="I478" s="25">
        <v>4.6</v>
      </c>
      <c r="J478" s="24" t="s">
        <v>65</v>
      </c>
      <c r="K478" s="24" t="s">
        <v>2257</v>
      </c>
      <c r="L478" s="24" t="s">
        <v>67</v>
      </c>
      <c r="M478" s="24" t="s">
        <v>463</v>
      </c>
      <c r="N478" s="24" t="s">
        <v>463</v>
      </c>
      <c r="O478" s="25">
        <v>1</v>
      </c>
      <c r="P478" s="24"/>
      <c r="Q478" s="24"/>
      <c r="R478" s="24"/>
      <c r="S478" s="24">
        <v>1</v>
      </c>
      <c r="T478" s="24"/>
      <c r="U478" s="24"/>
      <c r="V478" s="24">
        <v>2.6</v>
      </c>
      <c r="W478" s="24"/>
      <c r="XDO478"/>
      <c r="XDP478"/>
      <c r="XDQ478"/>
      <c r="XDR478"/>
      <c r="XDS478"/>
    </row>
    <row r="479" s="21" customFormat="1" spans="1:16347">
      <c r="A479" s="24" t="s">
        <v>58</v>
      </c>
      <c r="B479" s="25" t="s">
        <v>59</v>
      </c>
      <c r="C479" s="24" t="s">
        <v>60</v>
      </c>
      <c r="D479" s="24" t="s">
        <v>2258</v>
      </c>
      <c r="E479" s="24" t="s">
        <v>2259</v>
      </c>
      <c r="F479" s="24" t="s">
        <v>2260</v>
      </c>
      <c r="G479" s="24" t="s">
        <v>2261</v>
      </c>
      <c r="H479" s="24"/>
      <c r="I479" s="25">
        <v>2.3</v>
      </c>
      <c r="J479" s="24" t="s">
        <v>881</v>
      </c>
      <c r="K479" s="24" t="s">
        <v>2262</v>
      </c>
      <c r="L479" s="24" t="s">
        <v>67</v>
      </c>
      <c r="M479" s="24" t="s">
        <v>74</v>
      </c>
      <c r="N479" s="24" t="s">
        <v>74</v>
      </c>
      <c r="O479" s="25">
        <v>0.5</v>
      </c>
      <c r="P479" s="24"/>
      <c r="Q479" s="24"/>
      <c r="R479" s="24"/>
      <c r="S479" s="24"/>
      <c r="T479" s="24"/>
      <c r="U479" s="24"/>
      <c r="V479" s="24">
        <v>1.8</v>
      </c>
      <c r="W479" s="24"/>
      <c r="XDO479"/>
      <c r="XDP479"/>
      <c r="XDQ479"/>
      <c r="XDR479"/>
      <c r="XDS479"/>
    </row>
    <row r="480" s="21" customFormat="1" spans="1:16347">
      <c r="A480" s="24" t="s">
        <v>58</v>
      </c>
      <c r="B480" s="25" t="s">
        <v>59</v>
      </c>
      <c r="C480" s="24" t="s">
        <v>60</v>
      </c>
      <c r="D480" s="24" t="s">
        <v>2263</v>
      </c>
      <c r="E480" s="24" t="s">
        <v>2264</v>
      </c>
      <c r="F480" s="24" t="s">
        <v>2265</v>
      </c>
      <c r="G480" s="24" t="s">
        <v>2261</v>
      </c>
      <c r="H480" s="24"/>
      <c r="I480" s="25">
        <v>2.8</v>
      </c>
      <c r="J480" s="24" t="s">
        <v>65</v>
      </c>
      <c r="K480" s="24" t="s">
        <v>2266</v>
      </c>
      <c r="L480" s="24" t="s">
        <v>67</v>
      </c>
      <c r="M480" s="24" t="s">
        <v>672</v>
      </c>
      <c r="N480" s="24" t="s">
        <v>672</v>
      </c>
      <c r="O480" s="25">
        <v>0.5</v>
      </c>
      <c r="P480" s="24"/>
      <c r="Q480" s="24"/>
      <c r="R480" s="24"/>
      <c r="S480" s="24"/>
      <c r="T480" s="24"/>
      <c r="U480" s="24"/>
      <c r="V480" s="24">
        <v>2.3</v>
      </c>
      <c r="W480" s="24"/>
      <c r="XDO480"/>
      <c r="XDP480"/>
      <c r="XDQ480"/>
      <c r="XDR480"/>
      <c r="XDS480"/>
    </row>
    <row r="481" s="21" customFormat="1" spans="1:16347">
      <c r="A481" s="24" t="s">
        <v>58</v>
      </c>
      <c r="B481" s="25" t="s">
        <v>59</v>
      </c>
      <c r="C481" s="24" t="s">
        <v>60</v>
      </c>
      <c r="D481" s="24" t="s">
        <v>2267</v>
      </c>
      <c r="E481" s="24" t="s">
        <v>2268</v>
      </c>
      <c r="F481" s="24" t="s">
        <v>2269</v>
      </c>
      <c r="G481" s="24" t="s">
        <v>2270</v>
      </c>
      <c r="H481" s="24"/>
      <c r="I481" s="25">
        <v>6.9</v>
      </c>
      <c r="J481" s="24" t="s">
        <v>65</v>
      </c>
      <c r="K481" s="24" t="s">
        <v>2271</v>
      </c>
      <c r="L481" s="24" t="s">
        <v>67</v>
      </c>
      <c r="M481" s="24" t="s">
        <v>2272</v>
      </c>
      <c r="N481" s="24" t="s">
        <v>2272</v>
      </c>
      <c r="O481" s="25">
        <v>2.4</v>
      </c>
      <c r="P481" s="24"/>
      <c r="Q481" s="24"/>
      <c r="R481" s="24"/>
      <c r="S481" s="24">
        <v>1</v>
      </c>
      <c r="T481" s="24"/>
      <c r="U481" s="24"/>
      <c r="V481" s="24">
        <v>3.5</v>
      </c>
      <c r="W481" s="24"/>
      <c r="XDO481"/>
      <c r="XDP481"/>
      <c r="XDQ481"/>
      <c r="XDR481"/>
      <c r="XDS481"/>
    </row>
    <row r="482" s="21" customFormat="1" spans="1:16347">
      <c r="A482" s="24" t="s">
        <v>58</v>
      </c>
      <c r="B482" s="25" t="s">
        <v>59</v>
      </c>
      <c r="C482" s="24" t="s">
        <v>109</v>
      </c>
      <c r="D482" s="24" t="s">
        <v>2273</v>
      </c>
      <c r="E482" s="24" t="s">
        <v>111</v>
      </c>
      <c r="F482" s="24" t="s">
        <v>2274</v>
      </c>
      <c r="G482" s="24" t="s">
        <v>2274</v>
      </c>
      <c r="H482" s="24"/>
      <c r="I482" s="25">
        <v>480</v>
      </c>
      <c r="J482" s="24"/>
      <c r="K482" s="24"/>
      <c r="L482" s="24"/>
      <c r="M482" s="24" t="s">
        <v>2275</v>
      </c>
      <c r="N482" s="24" t="s">
        <v>102</v>
      </c>
      <c r="O482" s="25"/>
      <c r="P482" s="24"/>
      <c r="Q482" s="24"/>
      <c r="R482" s="24"/>
      <c r="S482" s="24"/>
      <c r="T482" s="24"/>
      <c r="U482" s="24"/>
      <c r="V482" s="24"/>
      <c r="W482" s="24">
        <v>480</v>
      </c>
      <c r="XDO482"/>
      <c r="XDP482"/>
      <c r="XDQ482"/>
      <c r="XDR482"/>
      <c r="XDS482"/>
    </row>
    <row r="483" s="21" customFormat="1" spans="1:16347">
      <c r="A483" s="24" t="s">
        <v>58</v>
      </c>
      <c r="B483" s="25" t="s">
        <v>59</v>
      </c>
      <c r="C483" s="24" t="s">
        <v>60</v>
      </c>
      <c r="D483" s="24" t="s">
        <v>2276</v>
      </c>
      <c r="E483" s="24" t="s">
        <v>2277</v>
      </c>
      <c r="F483" s="24" t="s">
        <v>2278</v>
      </c>
      <c r="G483" s="24" t="s">
        <v>2279</v>
      </c>
      <c r="H483" s="24"/>
      <c r="I483" s="25">
        <v>4.8</v>
      </c>
      <c r="J483" s="24" t="s">
        <v>65</v>
      </c>
      <c r="K483" s="24" t="s">
        <v>2280</v>
      </c>
      <c r="L483" s="24" t="s">
        <v>67</v>
      </c>
      <c r="M483" s="24" t="s">
        <v>661</v>
      </c>
      <c r="N483" s="24" t="s">
        <v>661</v>
      </c>
      <c r="O483" s="25">
        <v>1.4</v>
      </c>
      <c r="P483" s="24"/>
      <c r="Q483" s="24"/>
      <c r="R483" s="24"/>
      <c r="S483" s="24">
        <v>1</v>
      </c>
      <c r="T483" s="24"/>
      <c r="U483" s="24"/>
      <c r="V483" s="24">
        <v>2.4</v>
      </c>
      <c r="W483" s="24"/>
      <c r="XDO483"/>
      <c r="XDP483"/>
      <c r="XDQ483"/>
      <c r="XDR483"/>
      <c r="XDS483"/>
    </row>
    <row r="484" s="21" customFormat="1" spans="1:16347">
      <c r="A484" s="21" t="s">
        <v>58</v>
      </c>
      <c r="B484" s="22" t="s">
        <v>59</v>
      </c>
      <c r="C484" s="21" t="s">
        <v>60</v>
      </c>
      <c r="D484" s="21" t="s">
        <v>2281</v>
      </c>
      <c r="E484" s="21" t="s">
        <v>2282</v>
      </c>
      <c r="F484" s="21" t="s">
        <v>2283</v>
      </c>
      <c r="G484" s="21" t="s">
        <v>2284</v>
      </c>
      <c r="H484" s="31"/>
      <c r="I484" s="25">
        <v>3.6</v>
      </c>
      <c r="J484" s="24" t="s">
        <v>65</v>
      </c>
      <c r="K484" s="24" t="s">
        <v>2285</v>
      </c>
      <c r="L484" s="24" t="s">
        <v>67</v>
      </c>
      <c r="M484" s="24" t="s">
        <v>397</v>
      </c>
      <c r="N484" s="24" t="s">
        <v>397</v>
      </c>
      <c r="O484" s="25">
        <v>1</v>
      </c>
      <c r="P484" s="24"/>
      <c r="Q484" s="24"/>
      <c r="R484" s="24"/>
      <c r="S484" s="24"/>
      <c r="T484" s="24"/>
      <c r="U484" s="24"/>
      <c r="V484" s="24">
        <v>2.6</v>
      </c>
      <c r="W484" s="24"/>
      <c r="XDO484"/>
      <c r="XDP484"/>
      <c r="XDQ484"/>
      <c r="XDR484"/>
      <c r="XDS484"/>
    </row>
    <row r="485" s="21" customFormat="1" spans="1:16347">
      <c r="A485" s="21" t="s">
        <v>58</v>
      </c>
      <c r="B485" s="22" t="s">
        <v>59</v>
      </c>
      <c r="C485" s="21" t="s">
        <v>60</v>
      </c>
      <c r="D485" s="21" t="s">
        <v>2286</v>
      </c>
      <c r="E485" s="21" t="s">
        <v>2287</v>
      </c>
      <c r="F485" s="21" t="s">
        <v>2288</v>
      </c>
      <c r="G485" s="21" t="s">
        <v>2284</v>
      </c>
      <c r="H485" s="29"/>
      <c r="I485" s="25">
        <v>3</v>
      </c>
      <c r="J485" s="24" t="s">
        <v>65</v>
      </c>
      <c r="K485" s="24" t="s">
        <v>2289</v>
      </c>
      <c r="L485" s="24" t="s">
        <v>67</v>
      </c>
      <c r="M485" s="24" t="s">
        <v>672</v>
      </c>
      <c r="N485" s="24" t="s">
        <v>672</v>
      </c>
      <c r="O485" s="25">
        <v>0.5</v>
      </c>
      <c r="P485" s="24"/>
      <c r="Q485" s="24"/>
      <c r="R485" s="24"/>
      <c r="S485" s="24">
        <v>0.2</v>
      </c>
      <c r="T485" s="24"/>
      <c r="U485" s="24"/>
      <c r="V485" s="24">
        <v>2.3</v>
      </c>
      <c r="W485" s="24"/>
      <c r="XDO485"/>
      <c r="XDP485"/>
      <c r="XDQ485"/>
      <c r="XDR485"/>
      <c r="XDS485"/>
    </row>
    <row r="486" s="21" customFormat="1" spans="1:16347">
      <c r="A486" s="24" t="s">
        <v>58</v>
      </c>
      <c r="B486" s="25" t="s">
        <v>59</v>
      </c>
      <c r="C486" s="24" t="s">
        <v>60</v>
      </c>
      <c r="D486" s="24" t="s">
        <v>2290</v>
      </c>
      <c r="E486" s="24" t="s">
        <v>2291</v>
      </c>
      <c r="F486" s="24" t="s">
        <v>2292</v>
      </c>
      <c r="G486" s="24" t="s">
        <v>2284</v>
      </c>
      <c r="H486" s="24"/>
      <c r="I486" s="25">
        <v>4.6</v>
      </c>
      <c r="J486" s="24" t="s">
        <v>65</v>
      </c>
      <c r="K486" s="24" t="s">
        <v>2293</v>
      </c>
      <c r="L486" s="24" t="s">
        <v>67</v>
      </c>
      <c r="M486" s="24" t="s">
        <v>876</v>
      </c>
      <c r="N486" s="24" t="s">
        <v>876</v>
      </c>
      <c r="O486" s="25">
        <v>1</v>
      </c>
      <c r="P486" s="24"/>
      <c r="Q486" s="24"/>
      <c r="R486" s="24"/>
      <c r="S486" s="24">
        <v>1</v>
      </c>
      <c r="T486" s="24"/>
      <c r="U486" s="24"/>
      <c r="V486" s="24">
        <v>2.6</v>
      </c>
      <c r="W486" s="24"/>
      <c r="XDO486"/>
      <c r="XDP486"/>
      <c r="XDQ486"/>
      <c r="XDR486"/>
      <c r="XDS486"/>
    </row>
    <row r="487" s="21" customFormat="1" spans="1:16347">
      <c r="A487" s="24" t="s">
        <v>58</v>
      </c>
      <c r="B487" s="25" t="s">
        <v>59</v>
      </c>
      <c r="C487" s="24" t="s">
        <v>60</v>
      </c>
      <c r="D487" s="24" t="s">
        <v>2294</v>
      </c>
      <c r="E487" s="24" t="s">
        <v>2295</v>
      </c>
      <c r="F487" s="24" t="s">
        <v>2296</v>
      </c>
      <c r="G487" s="24" t="s">
        <v>2284</v>
      </c>
      <c r="H487" s="24"/>
      <c r="I487" s="25">
        <v>3.4</v>
      </c>
      <c r="J487" s="24" t="s">
        <v>65</v>
      </c>
      <c r="K487" s="24" t="s">
        <v>2297</v>
      </c>
      <c r="L487" s="24" t="s">
        <v>67</v>
      </c>
      <c r="M487" s="24" t="s">
        <v>179</v>
      </c>
      <c r="N487" s="24" t="s">
        <v>179</v>
      </c>
      <c r="O487" s="25">
        <v>0.7</v>
      </c>
      <c r="P487" s="24"/>
      <c r="Q487" s="24"/>
      <c r="R487" s="24"/>
      <c r="S487" s="24">
        <v>0.3</v>
      </c>
      <c r="T487" s="24"/>
      <c r="U487" s="24"/>
      <c r="V487" s="24">
        <v>2.4</v>
      </c>
      <c r="W487" s="24"/>
      <c r="XDO487"/>
      <c r="XDP487"/>
      <c r="XDQ487"/>
      <c r="XDR487"/>
      <c r="XDS487"/>
    </row>
    <row r="488" s="21" customFormat="1" spans="1:16347">
      <c r="A488" s="24" t="s">
        <v>58</v>
      </c>
      <c r="B488" s="25" t="s">
        <v>59</v>
      </c>
      <c r="C488" s="24" t="s">
        <v>60</v>
      </c>
      <c r="D488" s="24" t="s">
        <v>2298</v>
      </c>
      <c r="E488" s="24" t="s">
        <v>2299</v>
      </c>
      <c r="F488" s="24" t="s">
        <v>2300</v>
      </c>
      <c r="G488" s="24" t="s">
        <v>2301</v>
      </c>
      <c r="H488" s="24"/>
      <c r="I488" s="25">
        <v>3.8</v>
      </c>
      <c r="J488" s="24" t="s">
        <v>65</v>
      </c>
      <c r="K488" s="24" t="s">
        <v>2302</v>
      </c>
      <c r="L488" s="24" t="s">
        <v>67</v>
      </c>
      <c r="M488" s="24" t="s">
        <v>79</v>
      </c>
      <c r="N488" s="24" t="s">
        <v>79</v>
      </c>
      <c r="O488" s="25">
        <v>1</v>
      </c>
      <c r="P488" s="24"/>
      <c r="Q488" s="24"/>
      <c r="R488" s="24"/>
      <c r="S488" s="24">
        <v>0.5</v>
      </c>
      <c r="T488" s="24"/>
      <c r="U488" s="24"/>
      <c r="V488" s="24">
        <v>2.3</v>
      </c>
      <c r="W488" s="24"/>
      <c r="XDO488"/>
      <c r="XDP488"/>
      <c r="XDQ488"/>
      <c r="XDR488"/>
      <c r="XDS488"/>
    </row>
    <row r="489" s="21" customFormat="1" spans="1:16347">
      <c r="A489" s="24" t="s">
        <v>58</v>
      </c>
      <c r="B489" s="25" t="s">
        <v>59</v>
      </c>
      <c r="C489" s="24" t="s">
        <v>60</v>
      </c>
      <c r="D489" s="24" t="s">
        <v>2303</v>
      </c>
      <c r="E489" s="24" t="s">
        <v>2304</v>
      </c>
      <c r="F489" s="24" t="s">
        <v>2305</v>
      </c>
      <c r="G489" s="24" t="s">
        <v>2306</v>
      </c>
      <c r="H489" s="24"/>
      <c r="I489" s="25">
        <v>2.5</v>
      </c>
      <c r="J489" s="24" t="s">
        <v>881</v>
      </c>
      <c r="K489" s="24" t="s">
        <v>2307</v>
      </c>
      <c r="L489" s="24" t="s">
        <v>67</v>
      </c>
      <c r="M489" s="24" t="s">
        <v>672</v>
      </c>
      <c r="N489" s="24" t="s">
        <v>672</v>
      </c>
      <c r="O489" s="25">
        <v>0.5</v>
      </c>
      <c r="P489" s="24"/>
      <c r="Q489" s="24"/>
      <c r="R489" s="24"/>
      <c r="S489" s="24">
        <v>0.2</v>
      </c>
      <c r="T489" s="24"/>
      <c r="U489" s="24"/>
      <c r="V489" s="24">
        <v>1.8</v>
      </c>
      <c r="W489" s="24"/>
      <c r="XDO489"/>
      <c r="XDP489"/>
      <c r="XDQ489"/>
      <c r="XDR489"/>
      <c r="XDS489"/>
    </row>
    <row r="490" s="21" customFormat="1" spans="1:16347">
      <c r="A490" s="24" t="s">
        <v>58</v>
      </c>
      <c r="B490" s="25" t="s">
        <v>59</v>
      </c>
      <c r="C490" s="24" t="s">
        <v>60</v>
      </c>
      <c r="D490" s="24" t="s">
        <v>2308</v>
      </c>
      <c r="E490" s="24" t="s">
        <v>2309</v>
      </c>
      <c r="F490" s="24" t="s">
        <v>2310</v>
      </c>
      <c r="G490" s="24" t="s">
        <v>2306</v>
      </c>
      <c r="H490" s="24"/>
      <c r="I490" s="25">
        <v>2.5</v>
      </c>
      <c r="J490" s="24" t="s">
        <v>881</v>
      </c>
      <c r="K490" s="24" t="s">
        <v>2311</v>
      </c>
      <c r="L490" s="24" t="s">
        <v>67</v>
      </c>
      <c r="M490" s="24" t="s">
        <v>137</v>
      </c>
      <c r="N490" s="24" t="s">
        <v>137</v>
      </c>
      <c r="O490" s="25">
        <v>0.5</v>
      </c>
      <c r="P490" s="24"/>
      <c r="Q490" s="24"/>
      <c r="R490" s="24"/>
      <c r="S490" s="24">
        <v>0.2</v>
      </c>
      <c r="T490" s="24"/>
      <c r="U490" s="24"/>
      <c r="V490" s="24">
        <v>1.8</v>
      </c>
      <c r="W490" s="24"/>
      <c r="XDO490"/>
      <c r="XDP490"/>
      <c r="XDQ490"/>
      <c r="XDR490"/>
      <c r="XDS490"/>
    </row>
    <row r="491" s="21" customFormat="1" spans="1:16347">
      <c r="A491" s="24" t="s">
        <v>58</v>
      </c>
      <c r="B491" s="25" t="s">
        <v>59</v>
      </c>
      <c r="C491" s="24" t="s">
        <v>60</v>
      </c>
      <c r="D491" s="24" t="s">
        <v>2312</v>
      </c>
      <c r="E491" s="24" t="s">
        <v>2313</v>
      </c>
      <c r="F491" s="24" t="s">
        <v>2314</v>
      </c>
      <c r="G491" s="24" t="s">
        <v>2306</v>
      </c>
      <c r="H491" s="24"/>
      <c r="I491" s="25">
        <v>13</v>
      </c>
      <c r="J491" s="24" t="s">
        <v>65</v>
      </c>
      <c r="K491" s="24" t="s">
        <v>2315</v>
      </c>
      <c r="L491" s="24" t="s">
        <v>615</v>
      </c>
      <c r="M491" s="24" t="s">
        <v>870</v>
      </c>
      <c r="N491" s="24" t="s">
        <v>870</v>
      </c>
      <c r="O491" s="25">
        <v>5</v>
      </c>
      <c r="P491" s="24"/>
      <c r="Q491" s="24"/>
      <c r="R491" s="24"/>
      <c r="S491" s="24">
        <v>4.5</v>
      </c>
      <c r="T491" s="24"/>
      <c r="U491" s="24"/>
      <c r="V491" s="24">
        <v>3.5</v>
      </c>
      <c r="W491" s="24"/>
      <c r="XDO491"/>
      <c r="XDP491"/>
      <c r="XDQ491"/>
      <c r="XDR491"/>
      <c r="XDS491"/>
    </row>
    <row r="492" s="21" customFormat="1" spans="1:16347">
      <c r="A492" s="24" t="s">
        <v>58</v>
      </c>
      <c r="B492" s="25" t="s">
        <v>59</v>
      </c>
      <c r="C492" s="24" t="s">
        <v>60</v>
      </c>
      <c r="D492" s="24" t="s">
        <v>2316</v>
      </c>
      <c r="E492" s="24" t="s">
        <v>2317</v>
      </c>
      <c r="F492" s="24" t="s">
        <v>2318</v>
      </c>
      <c r="G492" s="24" t="s">
        <v>2306</v>
      </c>
      <c r="H492" s="24"/>
      <c r="I492" s="25">
        <v>3.6</v>
      </c>
      <c r="J492" s="24" t="s">
        <v>65</v>
      </c>
      <c r="K492" s="24" t="s">
        <v>2319</v>
      </c>
      <c r="L492" s="24" t="s">
        <v>67</v>
      </c>
      <c r="M492" s="24" t="s">
        <v>397</v>
      </c>
      <c r="N492" s="24" t="s">
        <v>397</v>
      </c>
      <c r="O492" s="25">
        <v>1</v>
      </c>
      <c r="P492" s="24"/>
      <c r="Q492" s="24"/>
      <c r="R492" s="24"/>
      <c r="S492" s="24"/>
      <c r="T492" s="24"/>
      <c r="U492" s="24"/>
      <c r="V492" s="24">
        <v>2.6</v>
      </c>
      <c r="W492" s="24"/>
      <c r="XDO492"/>
      <c r="XDP492"/>
      <c r="XDQ492"/>
      <c r="XDR492"/>
      <c r="XDS492"/>
    </row>
    <row r="493" s="21" customFormat="1" spans="1:16347">
      <c r="A493" s="24" t="s">
        <v>58</v>
      </c>
      <c r="B493" s="25" t="s">
        <v>59</v>
      </c>
      <c r="C493" s="24" t="s">
        <v>60</v>
      </c>
      <c r="D493" s="24" t="s">
        <v>2320</v>
      </c>
      <c r="E493" s="24" t="s">
        <v>2321</v>
      </c>
      <c r="F493" s="24" t="s">
        <v>2322</v>
      </c>
      <c r="G493" s="24" t="s">
        <v>2323</v>
      </c>
      <c r="H493" s="24"/>
      <c r="I493" s="25">
        <v>3.6</v>
      </c>
      <c r="J493" s="24" t="s">
        <v>65</v>
      </c>
      <c r="K493" s="24" t="s">
        <v>2324</v>
      </c>
      <c r="L493" s="24" t="s">
        <v>67</v>
      </c>
      <c r="M493" s="24" t="s">
        <v>463</v>
      </c>
      <c r="N493" s="24" t="s">
        <v>463</v>
      </c>
      <c r="O493" s="25">
        <v>1</v>
      </c>
      <c r="P493" s="24"/>
      <c r="Q493" s="24"/>
      <c r="R493" s="24"/>
      <c r="S493" s="24"/>
      <c r="T493" s="24"/>
      <c r="U493" s="24"/>
      <c r="V493" s="24">
        <v>2.6</v>
      </c>
      <c r="W493" s="24"/>
      <c r="XDO493"/>
      <c r="XDP493"/>
      <c r="XDQ493"/>
      <c r="XDR493"/>
      <c r="XDS493"/>
    </row>
    <row r="494" s="21" customFormat="1" spans="1:16347">
      <c r="A494" s="24" t="s">
        <v>58</v>
      </c>
      <c r="B494" s="25" t="s">
        <v>59</v>
      </c>
      <c r="C494" s="24" t="s">
        <v>60</v>
      </c>
      <c r="D494" s="24" t="s">
        <v>2325</v>
      </c>
      <c r="E494" s="24" t="s">
        <v>2326</v>
      </c>
      <c r="F494" s="24" t="s">
        <v>2327</v>
      </c>
      <c r="G494" s="24" t="s">
        <v>2328</v>
      </c>
      <c r="H494" s="24"/>
      <c r="I494" s="25">
        <v>2.5</v>
      </c>
      <c r="J494" s="24" t="s">
        <v>881</v>
      </c>
      <c r="K494" s="24" t="s">
        <v>2329</v>
      </c>
      <c r="L494" s="24" t="s">
        <v>67</v>
      </c>
      <c r="M494" s="24" t="s">
        <v>74</v>
      </c>
      <c r="N494" s="24" t="s">
        <v>74</v>
      </c>
      <c r="O494" s="25">
        <v>0.5</v>
      </c>
      <c r="P494" s="24"/>
      <c r="Q494" s="24"/>
      <c r="R494" s="24"/>
      <c r="S494" s="24">
        <v>0.2</v>
      </c>
      <c r="T494" s="24"/>
      <c r="U494" s="24"/>
      <c r="V494" s="24">
        <v>1.8</v>
      </c>
      <c r="W494" s="24"/>
      <c r="XDO494"/>
      <c r="XDP494"/>
      <c r="XDQ494"/>
      <c r="XDR494"/>
      <c r="XDS494"/>
    </row>
    <row r="495" s="21" customFormat="1" spans="1:16347">
      <c r="A495" s="24" t="s">
        <v>58</v>
      </c>
      <c r="B495" s="25" t="s">
        <v>59</v>
      </c>
      <c r="C495" s="24" t="s">
        <v>60</v>
      </c>
      <c r="D495" s="24" t="s">
        <v>2330</v>
      </c>
      <c r="E495" s="24" t="s">
        <v>2331</v>
      </c>
      <c r="F495" s="24" t="s">
        <v>2332</v>
      </c>
      <c r="G495" s="24" t="s">
        <v>2328</v>
      </c>
      <c r="H495" s="24"/>
      <c r="I495" s="25">
        <v>3.6</v>
      </c>
      <c r="J495" s="24" t="s">
        <v>65</v>
      </c>
      <c r="K495" s="24" t="s">
        <v>2333</v>
      </c>
      <c r="L495" s="24" t="s">
        <v>67</v>
      </c>
      <c r="M495" s="24" t="s">
        <v>463</v>
      </c>
      <c r="N495" s="24" t="s">
        <v>463</v>
      </c>
      <c r="O495" s="25">
        <v>1</v>
      </c>
      <c r="P495" s="24"/>
      <c r="Q495" s="24"/>
      <c r="R495" s="24"/>
      <c r="S495" s="24"/>
      <c r="T495" s="24"/>
      <c r="U495" s="24"/>
      <c r="V495" s="24">
        <v>2.6</v>
      </c>
      <c r="W495" s="24"/>
      <c r="XDO495"/>
      <c r="XDP495"/>
      <c r="XDQ495"/>
      <c r="XDR495"/>
      <c r="XDS495"/>
    </row>
    <row r="496" s="21" customFormat="1" spans="1:16347">
      <c r="A496" s="24" t="s">
        <v>58</v>
      </c>
      <c r="B496" s="25" t="s">
        <v>59</v>
      </c>
      <c r="C496" s="24" t="s">
        <v>60</v>
      </c>
      <c r="D496" s="24" t="s">
        <v>2334</v>
      </c>
      <c r="E496" s="24" t="s">
        <v>2335</v>
      </c>
      <c r="F496" s="24" t="s">
        <v>2336</v>
      </c>
      <c r="G496" s="24" t="s">
        <v>2328</v>
      </c>
      <c r="H496" s="24"/>
      <c r="I496" s="25">
        <v>4.6</v>
      </c>
      <c r="J496" s="24" t="s">
        <v>65</v>
      </c>
      <c r="K496" s="24" t="s">
        <v>2337</v>
      </c>
      <c r="L496" s="24" t="s">
        <v>67</v>
      </c>
      <c r="M496" s="24" t="s">
        <v>876</v>
      </c>
      <c r="N496" s="24" t="s">
        <v>876</v>
      </c>
      <c r="O496" s="25">
        <v>1</v>
      </c>
      <c r="P496" s="24"/>
      <c r="Q496" s="24"/>
      <c r="R496" s="24"/>
      <c r="S496" s="24">
        <v>1</v>
      </c>
      <c r="T496" s="24"/>
      <c r="U496" s="24"/>
      <c r="V496" s="24">
        <v>2.6</v>
      </c>
      <c r="W496" s="24"/>
      <c r="XDO496"/>
      <c r="XDP496"/>
      <c r="XDQ496"/>
      <c r="XDR496"/>
      <c r="XDS496"/>
    </row>
    <row r="497" s="21" customFormat="1" spans="1:16347">
      <c r="A497" s="24" t="s">
        <v>58</v>
      </c>
      <c r="B497" s="25" t="s">
        <v>59</v>
      </c>
      <c r="C497" s="24" t="s">
        <v>60</v>
      </c>
      <c r="D497" s="24" t="s">
        <v>2338</v>
      </c>
      <c r="E497" s="24" t="s">
        <v>2339</v>
      </c>
      <c r="F497" s="24" t="s">
        <v>2340</v>
      </c>
      <c r="G497" s="24" t="s">
        <v>2341</v>
      </c>
      <c r="H497" s="24"/>
      <c r="I497" s="25">
        <v>3</v>
      </c>
      <c r="J497" s="24" t="s">
        <v>65</v>
      </c>
      <c r="K497" s="24" t="s">
        <v>2342</v>
      </c>
      <c r="L497" s="24" t="s">
        <v>67</v>
      </c>
      <c r="M497" s="24" t="s">
        <v>672</v>
      </c>
      <c r="N497" s="24" t="s">
        <v>672</v>
      </c>
      <c r="O497" s="25">
        <v>0.5</v>
      </c>
      <c r="P497" s="24"/>
      <c r="Q497" s="24"/>
      <c r="R497" s="24"/>
      <c r="S497" s="24">
        <v>0.2</v>
      </c>
      <c r="T497" s="24"/>
      <c r="U497" s="24"/>
      <c r="V497" s="24">
        <v>2.3</v>
      </c>
      <c r="W497" s="24"/>
      <c r="XDO497"/>
      <c r="XDP497"/>
      <c r="XDQ497"/>
      <c r="XDR497"/>
      <c r="XDS497"/>
    </row>
    <row r="498" s="21" customFormat="1" spans="1:16347">
      <c r="A498" s="24" t="s">
        <v>58</v>
      </c>
      <c r="B498" s="25" t="s">
        <v>59</v>
      </c>
      <c r="C498" s="24" t="s">
        <v>60</v>
      </c>
      <c r="D498" s="24" t="s">
        <v>2343</v>
      </c>
      <c r="E498" s="24" t="s">
        <v>2344</v>
      </c>
      <c r="F498" s="24" t="s">
        <v>2345</v>
      </c>
      <c r="G498" s="24" t="s">
        <v>2346</v>
      </c>
      <c r="H498" s="24"/>
      <c r="I498" s="25">
        <v>3.6</v>
      </c>
      <c r="J498" s="24" t="s">
        <v>65</v>
      </c>
      <c r="K498" s="24" t="s">
        <v>2347</v>
      </c>
      <c r="L498" s="24" t="s">
        <v>67</v>
      </c>
      <c r="M498" s="24" t="s">
        <v>463</v>
      </c>
      <c r="N498" s="24" t="s">
        <v>463</v>
      </c>
      <c r="O498" s="25">
        <v>1</v>
      </c>
      <c r="P498" s="24"/>
      <c r="Q498" s="24"/>
      <c r="R498" s="24"/>
      <c r="S498" s="24"/>
      <c r="T498" s="24"/>
      <c r="U498" s="24"/>
      <c r="V498" s="24">
        <v>2.6</v>
      </c>
      <c r="W498" s="24"/>
      <c r="XDO498"/>
      <c r="XDP498"/>
      <c r="XDQ498"/>
      <c r="XDR498"/>
      <c r="XDS498"/>
    </row>
    <row r="499" s="21" customFormat="1" spans="1:16347">
      <c r="A499" s="24" t="s">
        <v>58</v>
      </c>
      <c r="B499" s="25" t="s">
        <v>59</v>
      </c>
      <c r="C499" s="24" t="s">
        <v>60</v>
      </c>
      <c r="D499" s="24" t="s">
        <v>2348</v>
      </c>
      <c r="E499" s="24" t="s">
        <v>2349</v>
      </c>
      <c r="F499" s="24" t="s">
        <v>2350</v>
      </c>
      <c r="G499" s="24" t="s">
        <v>2346</v>
      </c>
      <c r="H499" s="24"/>
      <c r="I499" s="25">
        <v>3</v>
      </c>
      <c r="J499" s="24" t="s">
        <v>65</v>
      </c>
      <c r="K499" s="24" t="s">
        <v>2351</v>
      </c>
      <c r="L499" s="24" t="s">
        <v>67</v>
      </c>
      <c r="M499" s="24" t="s">
        <v>672</v>
      </c>
      <c r="N499" s="24" t="s">
        <v>672</v>
      </c>
      <c r="O499" s="25">
        <v>0.5</v>
      </c>
      <c r="P499" s="24"/>
      <c r="Q499" s="24"/>
      <c r="R499" s="24"/>
      <c r="S499" s="24">
        <v>0.2</v>
      </c>
      <c r="T499" s="24"/>
      <c r="U499" s="24"/>
      <c r="V499" s="24">
        <v>2.3</v>
      </c>
      <c r="W499" s="24"/>
      <c r="XDO499"/>
      <c r="XDP499"/>
      <c r="XDQ499"/>
      <c r="XDR499"/>
      <c r="XDS499"/>
    </row>
    <row r="500" s="21" customFormat="1" spans="1:16347">
      <c r="A500" s="24" t="s">
        <v>58</v>
      </c>
      <c r="B500" s="25" t="s">
        <v>59</v>
      </c>
      <c r="C500" s="24" t="s">
        <v>60</v>
      </c>
      <c r="D500" s="24" t="s">
        <v>2352</v>
      </c>
      <c r="E500" s="24" t="s">
        <v>2353</v>
      </c>
      <c r="F500" s="24" t="s">
        <v>2354</v>
      </c>
      <c r="G500" s="24" t="s">
        <v>2355</v>
      </c>
      <c r="H500" s="24"/>
      <c r="I500" s="25">
        <v>4.6</v>
      </c>
      <c r="J500" s="24" t="s">
        <v>65</v>
      </c>
      <c r="K500" s="24" t="s">
        <v>2356</v>
      </c>
      <c r="L500" s="24" t="s">
        <v>67</v>
      </c>
      <c r="M500" s="24" t="s">
        <v>876</v>
      </c>
      <c r="N500" s="24" t="s">
        <v>876</v>
      </c>
      <c r="O500" s="25">
        <v>1</v>
      </c>
      <c r="P500" s="24"/>
      <c r="Q500" s="24"/>
      <c r="R500" s="24"/>
      <c r="S500" s="24">
        <v>1</v>
      </c>
      <c r="T500" s="24"/>
      <c r="U500" s="24"/>
      <c r="V500" s="24">
        <v>2.6</v>
      </c>
      <c r="W500" s="24"/>
      <c r="XDO500"/>
      <c r="XDP500"/>
      <c r="XDQ500"/>
      <c r="XDR500"/>
      <c r="XDS500"/>
    </row>
    <row r="501" s="21" customFormat="1" spans="1:16347">
      <c r="A501" s="24" t="s">
        <v>58</v>
      </c>
      <c r="B501" s="25" t="s">
        <v>59</v>
      </c>
      <c r="C501" s="24" t="s">
        <v>60</v>
      </c>
      <c r="D501" s="24" t="s">
        <v>2357</v>
      </c>
      <c r="E501" s="24" t="s">
        <v>2358</v>
      </c>
      <c r="F501" s="24" t="s">
        <v>2359</v>
      </c>
      <c r="G501" s="24" t="s">
        <v>2355</v>
      </c>
      <c r="H501" s="24"/>
      <c r="I501" s="25">
        <v>3.1</v>
      </c>
      <c r="J501" s="24" t="s">
        <v>65</v>
      </c>
      <c r="K501" s="24" t="s">
        <v>2360</v>
      </c>
      <c r="L501" s="24" t="s">
        <v>67</v>
      </c>
      <c r="M501" s="24" t="s">
        <v>2361</v>
      </c>
      <c r="N501" s="24" t="s">
        <v>2361</v>
      </c>
      <c r="O501" s="25">
        <v>0.7</v>
      </c>
      <c r="P501" s="24"/>
      <c r="Q501" s="24"/>
      <c r="R501" s="24"/>
      <c r="S501" s="24"/>
      <c r="T501" s="24"/>
      <c r="U501" s="24"/>
      <c r="V501" s="24">
        <v>2.4</v>
      </c>
      <c r="W501" s="24"/>
      <c r="XDO501"/>
      <c r="XDP501"/>
      <c r="XDQ501"/>
      <c r="XDR501"/>
      <c r="XDS501"/>
    </row>
    <row r="502" s="21" customFormat="1" spans="1:16347">
      <c r="A502" s="24" t="s">
        <v>58</v>
      </c>
      <c r="B502" s="25" t="s">
        <v>59</v>
      </c>
      <c r="C502" s="24" t="s">
        <v>60</v>
      </c>
      <c r="D502" s="24" t="s">
        <v>2362</v>
      </c>
      <c r="E502" s="24" t="s">
        <v>2363</v>
      </c>
      <c r="F502" s="24" t="s">
        <v>2364</v>
      </c>
      <c r="G502" s="24" t="s">
        <v>2355</v>
      </c>
      <c r="H502" s="24"/>
      <c r="I502" s="25">
        <v>3</v>
      </c>
      <c r="J502" s="24" t="s">
        <v>65</v>
      </c>
      <c r="K502" s="24" t="s">
        <v>2365</v>
      </c>
      <c r="L502" s="24" t="s">
        <v>67</v>
      </c>
      <c r="M502" s="24" t="s">
        <v>1796</v>
      </c>
      <c r="N502" s="24" t="s">
        <v>1796</v>
      </c>
      <c r="O502" s="25">
        <v>0.7</v>
      </c>
      <c r="P502" s="24"/>
      <c r="Q502" s="24"/>
      <c r="R502" s="24"/>
      <c r="S502" s="24"/>
      <c r="T502" s="24"/>
      <c r="U502" s="24"/>
      <c r="V502" s="24">
        <v>2.3</v>
      </c>
      <c r="W502" s="24"/>
      <c r="XDO502"/>
      <c r="XDP502"/>
      <c r="XDQ502"/>
      <c r="XDR502"/>
      <c r="XDS502"/>
    </row>
    <row r="503" s="21" customFormat="1" spans="1:16347">
      <c r="A503" s="24" t="s">
        <v>58</v>
      </c>
      <c r="B503" s="25" t="s">
        <v>59</v>
      </c>
      <c r="C503" s="24" t="s">
        <v>60</v>
      </c>
      <c r="D503" s="24" t="s">
        <v>2366</v>
      </c>
      <c r="E503" s="24" t="s">
        <v>2367</v>
      </c>
      <c r="F503" s="24" t="s">
        <v>2368</v>
      </c>
      <c r="G503" s="24" t="s">
        <v>2369</v>
      </c>
      <c r="H503" s="24"/>
      <c r="I503" s="25">
        <v>4.1</v>
      </c>
      <c r="J503" s="24" t="s">
        <v>65</v>
      </c>
      <c r="K503" s="24" t="s">
        <v>2370</v>
      </c>
      <c r="L503" s="24" t="s">
        <v>67</v>
      </c>
      <c r="M503" s="24" t="s">
        <v>189</v>
      </c>
      <c r="N503" s="24" t="s">
        <v>189</v>
      </c>
      <c r="O503" s="25">
        <v>0.7</v>
      </c>
      <c r="P503" s="24"/>
      <c r="Q503" s="24"/>
      <c r="R503" s="24"/>
      <c r="S503" s="24">
        <v>1</v>
      </c>
      <c r="T503" s="24"/>
      <c r="U503" s="24"/>
      <c r="V503" s="24">
        <v>2.4</v>
      </c>
      <c r="W503" s="24"/>
      <c r="XDO503"/>
      <c r="XDP503"/>
      <c r="XDQ503"/>
      <c r="XDR503"/>
      <c r="XDS503"/>
    </row>
    <row r="504" s="21" customFormat="1" spans="1:16347">
      <c r="A504" s="24" t="s">
        <v>58</v>
      </c>
      <c r="B504" s="25" t="s">
        <v>59</v>
      </c>
      <c r="C504" s="24" t="s">
        <v>60</v>
      </c>
      <c r="D504" s="24" t="s">
        <v>2371</v>
      </c>
      <c r="E504" s="24" t="s">
        <v>2372</v>
      </c>
      <c r="F504" s="24" t="s">
        <v>2373</v>
      </c>
      <c r="G504" s="24" t="s">
        <v>2369</v>
      </c>
      <c r="H504" s="24"/>
      <c r="I504" s="25">
        <v>4.1</v>
      </c>
      <c r="J504" s="24" t="s">
        <v>65</v>
      </c>
      <c r="K504" s="24" t="s">
        <v>2374</v>
      </c>
      <c r="L504" s="24" t="s">
        <v>67</v>
      </c>
      <c r="M504" s="24" t="s">
        <v>189</v>
      </c>
      <c r="N504" s="24" t="s">
        <v>189</v>
      </c>
      <c r="O504" s="25">
        <v>0.7</v>
      </c>
      <c r="P504" s="24"/>
      <c r="Q504" s="24"/>
      <c r="R504" s="24"/>
      <c r="S504" s="24">
        <v>1</v>
      </c>
      <c r="T504" s="24"/>
      <c r="U504" s="24"/>
      <c r="V504" s="24">
        <v>2.4</v>
      </c>
      <c r="W504" s="24"/>
      <c r="XDO504"/>
      <c r="XDP504"/>
      <c r="XDQ504"/>
      <c r="XDR504"/>
      <c r="XDS504"/>
    </row>
    <row r="505" s="21" customFormat="1" spans="1:16347">
      <c r="A505" s="24" t="s">
        <v>58</v>
      </c>
      <c r="B505" s="25" t="s">
        <v>59</v>
      </c>
      <c r="C505" s="24" t="s">
        <v>60</v>
      </c>
      <c r="D505" s="24" t="s">
        <v>2375</v>
      </c>
      <c r="E505" s="24" t="s">
        <v>2376</v>
      </c>
      <c r="F505" s="24" t="s">
        <v>2377</v>
      </c>
      <c r="G505" s="24" t="s">
        <v>2378</v>
      </c>
      <c r="H505" s="24"/>
      <c r="I505" s="25">
        <v>4.1</v>
      </c>
      <c r="J505" s="24" t="s">
        <v>65</v>
      </c>
      <c r="K505" s="24" t="s">
        <v>2379</v>
      </c>
      <c r="L505" s="24" t="s">
        <v>67</v>
      </c>
      <c r="M505" s="24" t="s">
        <v>189</v>
      </c>
      <c r="N505" s="24" t="s">
        <v>189</v>
      </c>
      <c r="O505" s="25">
        <v>0.7</v>
      </c>
      <c r="P505" s="24"/>
      <c r="Q505" s="24"/>
      <c r="R505" s="24"/>
      <c r="S505" s="24">
        <v>1</v>
      </c>
      <c r="T505" s="24"/>
      <c r="U505" s="24"/>
      <c r="V505" s="24">
        <v>2.4</v>
      </c>
      <c r="W505" s="24"/>
      <c r="XDO505"/>
      <c r="XDP505"/>
      <c r="XDQ505"/>
      <c r="XDR505"/>
      <c r="XDS505"/>
    </row>
    <row r="506" s="21" customFormat="1" spans="1:16347">
      <c r="A506" s="24" t="s">
        <v>58</v>
      </c>
      <c r="B506" s="25" t="s">
        <v>59</v>
      </c>
      <c r="C506" s="24" t="s">
        <v>60</v>
      </c>
      <c r="D506" s="24" t="s">
        <v>2380</v>
      </c>
      <c r="E506" s="24" t="s">
        <v>2381</v>
      </c>
      <c r="F506" s="24" t="s">
        <v>2382</v>
      </c>
      <c r="G506" s="24" t="s">
        <v>2378</v>
      </c>
      <c r="H506" s="24"/>
      <c r="I506" s="25">
        <v>4.1</v>
      </c>
      <c r="J506" s="24" t="s">
        <v>65</v>
      </c>
      <c r="K506" s="24" t="s">
        <v>2383</v>
      </c>
      <c r="L506" s="24" t="s">
        <v>67</v>
      </c>
      <c r="M506" s="24" t="s">
        <v>189</v>
      </c>
      <c r="N506" s="24" t="s">
        <v>189</v>
      </c>
      <c r="O506" s="25">
        <v>0.7</v>
      </c>
      <c r="P506" s="24"/>
      <c r="Q506" s="24"/>
      <c r="R506" s="24"/>
      <c r="S506" s="24">
        <v>1</v>
      </c>
      <c r="T506" s="24"/>
      <c r="U506" s="24"/>
      <c r="V506" s="24">
        <v>2.4</v>
      </c>
      <c r="W506" s="24"/>
      <c r="XDO506"/>
      <c r="XDP506"/>
      <c r="XDQ506"/>
      <c r="XDR506"/>
      <c r="XDS506"/>
    </row>
    <row r="507" s="21" customFormat="1" spans="1:16347">
      <c r="A507" s="24" t="s">
        <v>58</v>
      </c>
      <c r="B507" s="25" t="s">
        <v>59</v>
      </c>
      <c r="C507" s="24" t="s">
        <v>60</v>
      </c>
      <c r="D507" s="24" t="s">
        <v>2384</v>
      </c>
      <c r="E507" s="24" t="s">
        <v>2385</v>
      </c>
      <c r="F507" s="24" t="s">
        <v>2386</v>
      </c>
      <c r="G507" s="24" t="s">
        <v>2378</v>
      </c>
      <c r="H507" s="24"/>
      <c r="I507" s="25">
        <v>2.3</v>
      </c>
      <c r="J507" s="24" t="s">
        <v>881</v>
      </c>
      <c r="K507" s="24" t="s">
        <v>2387</v>
      </c>
      <c r="L507" s="24" t="s">
        <v>67</v>
      </c>
      <c r="M507" s="24" t="s">
        <v>132</v>
      </c>
      <c r="N507" s="24" t="s">
        <v>132</v>
      </c>
      <c r="O507" s="25">
        <v>0.5</v>
      </c>
      <c r="P507" s="24"/>
      <c r="Q507" s="24"/>
      <c r="R507" s="24"/>
      <c r="S507" s="24"/>
      <c r="T507" s="24"/>
      <c r="U507" s="24"/>
      <c r="V507" s="24">
        <v>1.8</v>
      </c>
      <c r="W507" s="24"/>
      <c r="XDO507"/>
      <c r="XDP507"/>
      <c r="XDQ507"/>
      <c r="XDR507"/>
      <c r="XDS507"/>
    </row>
    <row r="508" s="21" customFormat="1" spans="1:16347">
      <c r="A508" s="24" t="s">
        <v>58</v>
      </c>
      <c r="B508" s="25" t="s">
        <v>59</v>
      </c>
      <c r="C508" s="24" t="s">
        <v>60</v>
      </c>
      <c r="D508" s="24" t="s">
        <v>2388</v>
      </c>
      <c r="E508" s="24" t="s">
        <v>2389</v>
      </c>
      <c r="F508" s="24" t="s">
        <v>2390</v>
      </c>
      <c r="G508" s="24" t="s">
        <v>2378</v>
      </c>
      <c r="H508" s="24"/>
      <c r="I508" s="25">
        <v>3.1</v>
      </c>
      <c r="J508" s="24" t="s">
        <v>65</v>
      </c>
      <c r="K508" s="24" t="s">
        <v>2391</v>
      </c>
      <c r="L508" s="24" t="s">
        <v>67</v>
      </c>
      <c r="M508" s="24" t="s">
        <v>594</v>
      </c>
      <c r="N508" s="24" t="s">
        <v>594</v>
      </c>
      <c r="O508" s="25">
        <v>0.7</v>
      </c>
      <c r="P508" s="24"/>
      <c r="Q508" s="24"/>
      <c r="R508" s="24"/>
      <c r="S508" s="24"/>
      <c r="T508" s="24"/>
      <c r="U508" s="24"/>
      <c r="V508" s="24">
        <v>2.4</v>
      </c>
      <c r="W508" s="24"/>
      <c r="XDO508"/>
      <c r="XDP508"/>
      <c r="XDQ508"/>
      <c r="XDR508"/>
      <c r="XDS508"/>
    </row>
    <row r="509" s="21" customFormat="1" spans="1:16347">
      <c r="A509" s="24" t="s">
        <v>58</v>
      </c>
      <c r="B509" s="25" t="s">
        <v>59</v>
      </c>
      <c r="C509" s="24" t="s">
        <v>60</v>
      </c>
      <c r="D509" s="24" t="s">
        <v>2392</v>
      </c>
      <c r="E509" s="24" t="s">
        <v>2393</v>
      </c>
      <c r="F509" s="24" t="s">
        <v>2394</v>
      </c>
      <c r="G509" s="24" t="s">
        <v>2395</v>
      </c>
      <c r="H509" s="24"/>
      <c r="I509" s="25">
        <v>4.1</v>
      </c>
      <c r="J509" s="24" t="s">
        <v>65</v>
      </c>
      <c r="K509" s="24" t="s">
        <v>2396</v>
      </c>
      <c r="L509" s="24" t="s">
        <v>67</v>
      </c>
      <c r="M509" s="24" t="s">
        <v>189</v>
      </c>
      <c r="N509" s="24" t="s">
        <v>189</v>
      </c>
      <c r="O509" s="25">
        <v>0.7</v>
      </c>
      <c r="P509" s="24"/>
      <c r="Q509" s="24"/>
      <c r="R509" s="24"/>
      <c r="S509" s="24">
        <v>1</v>
      </c>
      <c r="T509" s="24"/>
      <c r="U509" s="24"/>
      <c r="V509" s="24">
        <v>2.4</v>
      </c>
      <c r="W509" s="24"/>
      <c r="XDO509"/>
      <c r="XDP509"/>
      <c r="XDQ509"/>
      <c r="XDR509"/>
      <c r="XDS509"/>
    </row>
    <row r="510" s="21" customFormat="1" spans="1:16347">
      <c r="A510" s="24" t="s">
        <v>58</v>
      </c>
      <c r="B510" s="25" t="s">
        <v>59</v>
      </c>
      <c r="C510" s="24" t="s">
        <v>60</v>
      </c>
      <c r="D510" s="24" t="s">
        <v>2397</v>
      </c>
      <c r="E510" s="24" t="s">
        <v>2398</v>
      </c>
      <c r="F510" s="24" t="s">
        <v>2399</v>
      </c>
      <c r="G510" s="24" t="s">
        <v>2395</v>
      </c>
      <c r="H510" s="24"/>
      <c r="I510" s="25">
        <v>2.45</v>
      </c>
      <c r="J510" s="24" t="s">
        <v>881</v>
      </c>
      <c r="K510" s="24" t="s">
        <v>2400</v>
      </c>
      <c r="L510" s="24" t="s">
        <v>67</v>
      </c>
      <c r="M510" s="24" t="s">
        <v>363</v>
      </c>
      <c r="N510" s="24" t="s">
        <v>363</v>
      </c>
      <c r="O510" s="25">
        <v>0.5</v>
      </c>
      <c r="P510" s="24"/>
      <c r="Q510" s="24"/>
      <c r="R510" s="24"/>
      <c r="S510" s="24"/>
      <c r="T510" s="24"/>
      <c r="U510" s="24"/>
      <c r="V510" s="24">
        <v>1.95</v>
      </c>
      <c r="W510" s="24"/>
      <c r="XDO510"/>
      <c r="XDP510"/>
      <c r="XDQ510"/>
      <c r="XDR510"/>
      <c r="XDS510"/>
    </row>
    <row r="511" s="21" customFormat="1" spans="1:16347">
      <c r="A511" s="24" t="s">
        <v>58</v>
      </c>
      <c r="B511" s="25" t="s">
        <v>59</v>
      </c>
      <c r="C511" s="24" t="s">
        <v>60</v>
      </c>
      <c r="D511" s="24" t="s">
        <v>2401</v>
      </c>
      <c r="E511" s="24" t="s">
        <v>2402</v>
      </c>
      <c r="F511" s="24" t="s">
        <v>2403</v>
      </c>
      <c r="G511" s="24" t="s">
        <v>2404</v>
      </c>
      <c r="H511" s="24"/>
      <c r="I511" s="25">
        <v>3.1</v>
      </c>
      <c r="J511" s="24" t="s">
        <v>65</v>
      </c>
      <c r="K511" s="24" t="s">
        <v>2405</v>
      </c>
      <c r="L511" s="24" t="s">
        <v>67</v>
      </c>
      <c r="M511" s="24" t="s">
        <v>189</v>
      </c>
      <c r="N511" s="24" t="s">
        <v>189</v>
      </c>
      <c r="O511" s="25">
        <v>0.7</v>
      </c>
      <c r="P511" s="24"/>
      <c r="Q511" s="24"/>
      <c r="R511" s="24"/>
      <c r="S511" s="24"/>
      <c r="T511" s="24"/>
      <c r="U511" s="24"/>
      <c r="V511" s="24">
        <v>2.4</v>
      </c>
      <c r="W511" s="24"/>
      <c r="XDO511"/>
      <c r="XDP511"/>
      <c r="XDQ511"/>
      <c r="XDR511"/>
      <c r="XDS511"/>
    </row>
    <row r="512" s="21" customFormat="1" spans="1:16347">
      <c r="A512" s="24" t="s">
        <v>58</v>
      </c>
      <c r="B512" s="25" t="s">
        <v>59</v>
      </c>
      <c r="C512" s="24" t="s">
        <v>60</v>
      </c>
      <c r="D512" s="24" t="s">
        <v>2406</v>
      </c>
      <c r="E512" s="24" t="s">
        <v>2407</v>
      </c>
      <c r="F512" s="24" t="s">
        <v>2408</v>
      </c>
      <c r="G512" s="24" t="s">
        <v>2409</v>
      </c>
      <c r="H512" s="24"/>
      <c r="I512" s="25">
        <v>3</v>
      </c>
      <c r="J512" s="24" t="s">
        <v>65</v>
      </c>
      <c r="K512" s="24" t="s">
        <v>2410</v>
      </c>
      <c r="L512" s="24" t="s">
        <v>67</v>
      </c>
      <c r="M512" s="24" t="s">
        <v>672</v>
      </c>
      <c r="N512" s="24" t="s">
        <v>672</v>
      </c>
      <c r="O512" s="25">
        <v>0.5</v>
      </c>
      <c r="P512" s="24"/>
      <c r="Q512" s="24"/>
      <c r="R512" s="24"/>
      <c r="S512" s="24">
        <v>0.2</v>
      </c>
      <c r="T512" s="24"/>
      <c r="U512" s="24"/>
      <c r="V512" s="24">
        <v>2.3</v>
      </c>
      <c r="W512" s="24"/>
      <c r="XDO512"/>
      <c r="XDP512"/>
      <c r="XDQ512"/>
      <c r="XDR512"/>
      <c r="XDS512"/>
    </row>
    <row r="513" s="21" customFormat="1" spans="1:16347">
      <c r="A513" s="24" t="s">
        <v>58</v>
      </c>
      <c r="B513" s="25" t="s">
        <v>59</v>
      </c>
      <c r="C513" s="24" t="s">
        <v>60</v>
      </c>
      <c r="D513" s="24" t="s">
        <v>2411</v>
      </c>
      <c r="E513" s="24" t="s">
        <v>2412</v>
      </c>
      <c r="F513" s="24" t="s">
        <v>2413</v>
      </c>
      <c r="G513" s="24" t="s">
        <v>2409</v>
      </c>
      <c r="H513" s="24"/>
      <c r="I513" s="25">
        <v>3</v>
      </c>
      <c r="J513" s="24" t="s">
        <v>65</v>
      </c>
      <c r="K513" s="24" t="s">
        <v>2414</v>
      </c>
      <c r="L513" s="24" t="s">
        <v>67</v>
      </c>
      <c r="M513" s="24" t="s">
        <v>672</v>
      </c>
      <c r="N513" s="24" t="s">
        <v>672</v>
      </c>
      <c r="O513" s="25">
        <v>0.5</v>
      </c>
      <c r="P513" s="24"/>
      <c r="Q513" s="24"/>
      <c r="R513" s="24"/>
      <c r="S513" s="24">
        <v>0.2</v>
      </c>
      <c r="T513" s="24"/>
      <c r="U513" s="24"/>
      <c r="V513" s="24">
        <v>2.3</v>
      </c>
      <c r="W513" s="24"/>
      <c r="XDO513"/>
      <c r="XDP513"/>
      <c r="XDQ513"/>
      <c r="XDR513"/>
      <c r="XDS513"/>
    </row>
    <row r="514" s="21" customFormat="1" spans="1:16347">
      <c r="A514" s="24" t="s">
        <v>58</v>
      </c>
      <c r="B514" s="25" t="s">
        <v>59</v>
      </c>
      <c r="C514" s="24" t="s">
        <v>60</v>
      </c>
      <c r="D514" s="24" t="s">
        <v>2415</v>
      </c>
      <c r="E514" s="24" t="s">
        <v>2416</v>
      </c>
      <c r="F514" s="24" t="s">
        <v>2417</v>
      </c>
      <c r="G514" s="24" t="s">
        <v>2409</v>
      </c>
      <c r="H514" s="24"/>
      <c r="I514" s="25">
        <v>6.5</v>
      </c>
      <c r="J514" s="24" t="s">
        <v>65</v>
      </c>
      <c r="K514" s="24" t="s">
        <v>2418</v>
      </c>
      <c r="L514" s="24" t="s">
        <v>67</v>
      </c>
      <c r="M514" s="24" t="s">
        <v>2244</v>
      </c>
      <c r="N514" s="24" t="s">
        <v>2244</v>
      </c>
      <c r="O514" s="25">
        <v>2</v>
      </c>
      <c r="P514" s="24"/>
      <c r="Q514" s="24"/>
      <c r="R514" s="24"/>
      <c r="S514" s="24">
        <v>1</v>
      </c>
      <c r="T514" s="24"/>
      <c r="U514" s="24"/>
      <c r="V514" s="24">
        <v>3.5</v>
      </c>
      <c r="W514" s="24"/>
      <c r="XDO514"/>
      <c r="XDP514"/>
      <c r="XDQ514"/>
      <c r="XDR514"/>
      <c r="XDS514"/>
    </row>
    <row r="515" s="21" customFormat="1" spans="1:16347">
      <c r="A515" s="24" t="s">
        <v>58</v>
      </c>
      <c r="B515" s="25" t="s">
        <v>59</v>
      </c>
      <c r="C515" s="24" t="s">
        <v>60</v>
      </c>
      <c r="D515" s="24" t="s">
        <v>2419</v>
      </c>
      <c r="E515" s="24" t="s">
        <v>2420</v>
      </c>
      <c r="F515" s="24" t="s">
        <v>2421</v>
      </c>
      <c r="G515" s="24" t="s">
        <v>2422</v>
      </c>
      <c r="H515" s="24"/>
      <c r="I515" s="25">
        <v>3.6</v>
      </c>
      <c r="J515" s="24" t="s">
        <v>65</v>
      </c>
      <c r="K515" s="24" t="s">
        <v>2423</v>
      </c>
      <c r="L515" s="24" t="s">
        <v>67</v>
      </c>
      <c r="M515" s="24" t="s">
        <v>744</v>
      </c>
      <c r="N515" s="24" t="s">
        <v>744</v>
      </c>
      <c r="O515" s="25">
        <v>1</v>
      </c>
      <c r="P515" s="24"/>
      <c r="Q515" s="24"/>
      <c r="R515" s="24"/>
      <c r="S515" s="24"/>
      <c r="T515" s="24"/>
      <c r="U515" s="24"/>
      <c r="V515" s="24">
        <v>2.6</v>
      </c>
      <c r="W515" s="24"/>
      <c r="XDO515"/>
      <c r="XDP515"/>
      <c r="XDQ515"/>
      <c r="XDR515"/>
      <c r="XDS515"/>
    </row>
    <row r="516" s="21" customFormat="1" spans="1:16347">
      <c r="A516" s="24" t="s">
        <v>58</v>
      </c>
      <c r="B516" s="25" t="s">
        <v>59</v>
      </c>
      <c r="C516" s="24" t="s">
        <v>60</v>
      </c>
      <c r="D516" s="24" t="s">
        <v>2424</v>
      </c>
      <c r="E516" s="24" t="s">
        <v>2425</v>
      </c>
      <c r="F516" s="24" t="s">
        <v>2426</v>
      </c>
      <c r="G516" s="24" t="s">
        <v>2427</v>
      </c>
      <c r="H516" s="24"/>
      <c r="I516" s="25">
        <v>3.6</v>
      </c>
      <c r="J516" s="24" t="s">
        <v>65</v>
      </c>
      <c r="K516" s="24" t="s">
        <v>2428</v>
      </c>
      <c r="L516" s="24" t="s">
        <v>67</v>
      </c>
      <c r="M516" s="24" t="s">
        <v>661</v>
      </c>
      <c r="N516" s="24" t="s">
        <v>661</v>
      </c>
      <c r="O516" s="25">
        <v>0.7</v>
      </c>
      <c r="P516" s="24"/>
      <c r="Q516" s="24"/>
      <c r="R516" s="24"/>
      <c r="S516" s="24">
        <v>0.5</v>
      </c>
      <c r="T516" s="24"/>
      <c r="U516" s="24"/>
      <c r="V516" s="24">
        <v>2.4</v>
      </c>
      <c r="W516" s="24"/>
      <c r="XDO516"/>
      <c r="XDP516"/>
      <c r="XDQ516"/>
      <c r="XDR516"/>
      <c r="XDS516"/>
    </row>
    <row r="517" s="21" customFormat="1" spans="1:16347">
      <c r="A517" s="24" t="s">
        <v>58</v>
      </c>
      <c r="B517" s="25" t="s">
        <v>59</v>
      </c>
      <c r="C517" s="24" t="s">
        <v>60</v>
      </c>
      <c r="D517" s="24" t="s">
        <v>2429</v>
      </c>
      <c r="E517" s="24" t="s">
        <v>2430</v>
      </c>
      <c r="F517" s="24" t="s">
        <v>2431</v>
      </c>
      <c r="G517" s="24" t="s">
        <v>2427</v>
      </c>
      <c r="H517" s="24"/>
      <c r="I517" s="25">
        <v>3.6</v>
      </c>
      <c r="J517" s="24" t="s">
        <v>65</v>
      </c>
      <c r="K517" s="24" t="s">
        <v>2432</v>
      </c>
      <c r="L517" s="24" t="s">
        <v>67</v>
      </c>
      <c r="M517" s="24" t="s">
        <v>479</v>
      </c>
      <c r="N517" s="24" t="s">
        <v>479</v>
      </c>
      <c r="O517" s="25">
        <v>0.7</v>
      </c>
      <c r="P517" s="24"/>
      <c r="Q517" s="24"/>
      <c r="R517" s="24"/>
      <c r="S517" s="24">
        <v>0.5</v>
      </c>
      <c r="T517" s="24"/>
      <c r="U517" s="24"/>
      <c r="V517" s="24">
        <v>2.4</v>
      </c>
      <c r="W517" s="24"/>
      <c r="XDO517"/>
      <c r="XDP517"/>
      <c r="XDQ517"/>
      <c r="XDR517"/>
      <c r="XDS517"/>
    </row>
    <row r="518" s="21" customFormat="1" spans="1:16347">
      <c r="A518" s="24" t="s">
        <v>58</v>
      </c>
      <c r="B518" s="25" t="s">
        <v>59</v>
      </c>
      <c r="C518" s="24" t="s">
        <v>60</v>
      </c>
      <c r="D518" s="24" t="s">
        <v>2433</v>
      </c>
      <c r="E518" s="24" t="s">
        <v>2434</v>
      </c>
      <c r="F518" s="24" t="s">
        <v>2435</v>
      </c>
      <c r="G518" s="24" t="s">
        <v>2427</v>
      </c>
      <c r="H518" s="24"/>
      <c r="I518" s="25">
        <v>3.6</v>
      </c>
      <c r="J518" s="24" t="s">
        <v>65</v>
      </c>
      <c r="K518" s="24" t="s">
        <v>2436</v>
      </c>
      <c r="L518" s="24" t="s">
        <v>67</v>
      </c>
      <c r="M518" s="24" t="s">
        <v>661</v>
      </c>
      <c r="N518" s="24" t="s">
        <v>661</v>
      </c>
      <c r="O518" s="25">
        <v>0.7</v>
      </c>
      <c r="P518" s="24"/>
      <c r="Q518" s="24"/>
      <c r="R518" s="24"/>
      <c r="S518" s="24">
        <v>0.5</v>
      </c>
      <c r="T518" s="24"/>
      <c r="U518" s="24"/>
      <c r="V518" s="24">
        <v>2.4</v>
      </c>
      <c r="W518" s="24"/>
      <c r="XDO518"/>
      <c r="XDP518"/>
      <c r="XDQ518"/>
      <c r="XDR518"/>
      <c r="XDS518"/>
    </row>
    <row r="519" s="21" customFormat="1" spans="1:16347">
      <c r="A519" s="24" t="s">
        <v>58</v>
      </c>
      <c r="B519" s="25" t="s">
        <v>59</v>
      </c>
      <c r="C519" s="24" t="s">
        <v>60</v>
      </c>
      <c r="D519" s="24" t="s">
        <v>2437</v>
      </c>
      <c r="E519" s="24" t="s">
        <v>2438</v>
      </c>
      <c r="F519" s="24" t="s">
        <v>2439</v>
      </c>
      <c r="G519" s="24" t="s">
        <v>2440</v>
      </c>
      <c r="H519" s="24"/>
      <c r="I519" s="25">
        <v>3</v>
      </c>
      <c r="J519" s="24" t="s">
        <v>65</v>
      </c>
      <c r="K519" s="24" t="s">
        <v>2441</v>
      </c>
      <c r="L519" s="24" t="s">
        <v>67</v>
      </c>
      <c r="M519" s="24" t="s">
        <v>1261</v>
      </c>
      <c r="N519" s="24" t="s">
        <v>1261</v>
      </c>
      <c r="O519" s="25">
        <v>0.7</v>
      </c>
      <c r="P519" s="24"/>
      <c r="Q519" s="24"/>
      <c r="R519" s="24"/>
      <c r="S519" s="24"/>
      <c r="T519" s="24"/>
      <c r="U519" s="24"/>
      <c r="V519" s="24">
        <v>2.3</v>
      </c>
      <c r="W519" s="24"/>
      <c r="XDO519"/>
      <c r="XDP519"/>
      <c r="XDQ519"/>
      <c r="XDR519"/>
      <c r="XDS519"/>
    </row>
    <row r="520" s="21" customFormat="1" spans="1:16347">
      <c r="A520" s="24" t="s">
        <v>58</v>
      </c>
      <c r="B520" s="25" t="s">
        <v>59</v>
      </c>
      <c r="C520" s="24" t="s">
        <v>60</v>
      </c>
      <c r="D520" s="24" t="s">
        <v>2442</v>
      </c>
      <c r="E520" s="24" t="s">
        <v>2443</v>
      </c>
      <c r="F520" s="24" t="s">
        <v>2444</v>
      </c>
      <c r="G520" s="24" t="s">
        <v>2440</v>
      </c>
      <c r="H520" s="24"/>
      <c r="I520" s="25">
        <v>3.6</v>
      </c>
      <c r="J520" s="24" t="s">
        <v>65</v>
      </c>
      <c r="K520" s="24" t="s">
        <v>2445</v>
      </c>
      <c r="L520" s="24" t="s">
        <v>67</v>
      </c>
      <c r="M520" s="24" t="s">
        <v>463</v>
      </c>
      <c r="N520" s="24" t="s">
        <v>463</v>
      </c>
      <c r="O520" s="25">
        <v>1</v>
      </c>
      <c r="P520" s="24"/>
      <c r="Q520" s="24"/>
      <c r="R520" s="24"/>
      <c r="S520" s="24"/>
      <c r="T520" s="24"/>
      <c r="U520" s="24"/>
      <c r="V520" s="24">
        <v>2.6</v>
      </c>
      <c r="W520" s="24"/>
      <c r="XDO520"/>
      <c r="XDP520"/>
      <c r="XDQ520"/>
      <c r="XDR520"/>
      <c r="XDS520"/>
    </row>
    <row r="521" s="21" customFormat="1" spans="1:16347">
      <c r="A521" s="24" t="s">
        <v>58</v>
      </c>
      <c r="B521" s="25" t="s">
        <v>59</v>
      </c>
      <c r="C521" s="24" t="s">
        <v>60</v>
      </c>
      <c r="D521" s="24" t="s">
        <v>2446</v>
      </c>
      <c r="E521" s="24" t="s">
        <v>2447</v>
      </c>
      <c r="F521" s="24" t="s">
        <v>2448</v>
      </c>
      <c r="G521" s="24" t="s">
        <v>2449</v>
      </c>
      <c r="H521" s="24"/>
      <c r="I521" s="25">
        <v>5.9</v>
      </c>
      <c r="J521" s="24" t="s">
        <v>65</v>
      </c>
      <c r="K521" s="24" t="s">
        <v>2450</v>
      </c>
      <c r="L521" s="24" t="s">
        <v>67</v>
      </c>
      <c r="M521" s="24" t="s">
        <v>241</v>
      </c>
      <c r="N521" s="24" t="s">
        <v>241</v>
      </c>
      <c r="O521" s="25">
        <v>2.1</v>
      </c>
      <c r="P521" s="24"/>
      <c r="Q521" s="24"/>
      <c r="R521" s="24"/>
      <c r="S521" s="24">
        <v>1</v>
      </c>
      <c r="T521" s="24"/>
      <c r="U521" s="24"/>
      <c r="V521" s="24">
        <v>2.8</v>
      </c>
      <c r="W521" s="24"/>
      <c r="XDO521"/>
      <c r="XDP521"/>
      <c r="XDQ521"/>
      <c r="XDR521"/>
      <c r="XDS521"/>
    </row>
    <row r="522" s="21" customFormat="1" spans="1:16347">
      <c r="A522" s="24" t="s">
        <v>58</v>
      </c>
      <c r="B522" s="25" t="s">
        <v>59</v>
      </c>
      <c r="C522" s="24" t="s">
        <v>60</v>
      </c>
      <c r="D522" s="24" t="s">
        <v>2451</v>
      </c>
      <c r="E522" s="24" t="s">
        <v>2452</v>
      </c>
      <c r="F522" s="24" t="s">
        <v>2453</v>
      </c>
      <c r="G522" s="24" t="s">
        <v>2449</v>
      </c>
      <c r="H522" s="24"/>
      <c r="I522" s="25">
        <v>3.6</v>
      </c>
      <c r="J522" s="24" t="s">
        <v>65</v>
      </c>
      <c r="K522" s="24" t="s">
        <v>2454</v>
      </c>
      <c r="L522" s="24" t="s">
        <v>67</v>
      </c>
      <c r="M522" s="24" t="s">
        <v>463</v>
      </c>
      <c r="N522" s="24" t="s">
        <v>463</v>
      </c>
      <c r="O522" s="25">
        <v>1</v>
      </c>
      <c r="P522" s="24"/>
      <c r="Q522" s="24"/>
      <c r="R522" s="24"/>
      <c r="S522" s="24"/>
      <c r="T522" s="24"/>
      <c r="U522" s="24"/>
      <c r="V522" s="24">
        <v>2.6</v>
      </c>
      <c r="W522" s="24"/>
      <c r="XDO522"/>
      <c r="XDP522"/>
      <c r="XDQ522"/>
      <c r="XDR522"/>
      <c r="XDS522"/>
    </row>
    <row r="523" s="21" customFormat="1" spans="1:16347">
      <c r="A523" s="24" t="s">
        <v>58</v>
      </c>
      <c r="B523" s="25" t="s">
        <v>59</v>
      </c>
      <c r="C523" s="24" t="s">
        <v>60</v>
      </c>
      <c r="D523" s="24" t="s">
        <v>2455</v>
      </c>
      <c r="E523" s="24" t="s">
        <v>2456</v>
      </c>
      <c r="F523" s="24" t="s">
        <v>2457</v>
      </c>
      <c r="G523" s="24" t="s">
        <v>2458</v>
      </c>
      <c r="H523" s="24"/>
      <c r="I523" s="25">
        <v>3.1</v>
      </c>
      <c r="J523" s="24" t="s">
        <v>65</v>
      </c>
      <c r="K523" s="24" t="s">
        <v>2459</v>
      </c>
      <c r="L523" s="24" t="s">
        <v>67</v>
      </c>
      <c r="M523" s="24" t="s">
        <v>1539</v>
      </c>
      <c r="N523" s="24" t="s">
        <v>1539</v>
      </c>
      <c r="O523" s="25">
        <v>0.7</v>
      </c>
      <c r="P523" s="24"/>
      <c r="Q523" s="24"/>
      <c r="R523" s="24"/>
      <c r="S523" s="24"/>
      <c r="T523" s="24"/>
      <c r="U523" s="24"/>
      <c r="V523" s="24">
        <v>2.4</v>
      </c>
      <c r="W523" s="24"/>
      <c r="XDO523"/>
      <c r="XDP523"/>
      <c r="XDQ523"/>
      <c r="XDR523"/>
      <c r="XDS523"/>
    </row>
    <row r="524" s="21" customFormat="1" spans="1:16347">
      <c r="A524" s="24" t="s">
        <v>58</v>
      </c>
      <c r="B524" s="25" t="s">
        <v>59</v>
      </c>
      <c r="C524" s="24" t="s">
        <v>60</v>
      </c>
      <c r="D524" s="24" t="s">
        <v>2460</v>
      </c>
      <c r="E524" s="24" t="s">
        <v>2461</v>
      </c>
      <c r="F524" s="24" t="s">
        <v>2462</v>
      </c>
      <c r="G524" s="24" t="s">
        <v>2458</v>
      </c>
      <c r="H524" s="24"/>
      <c r="I524" s="25">
        <v>5.7</v>
      </c>
      <c r="J524" s="24" t="s">
        <v>65</v>
      </c>
      <c r="K524" s="24" t="s">
        <v>2463</v>
      </c>
      <c r="L524" s="24" t="s">
        <v>67</v>
      </c>
      <c r="M524" s="24" t="s">
        <v>397</v>
      </c>
      <c r="N524" s="24" t="s">
        <v>397</v>
      </c>
      <c r="O524" s="25">
        <v>2.1</v>
      </c>
      <c r="P524" s="24"/>
      <c r="Q524" s="24"/>
      <c r="R524" s="24"/>
      <c r="S524" s="24">
        <v>1</v>
      </c>
      <c r="T524" s="24"/>
      <c r="U524" s="24"/>
      <c r="V524" s="24">
        <v>2.6</v>
      </c>
      <c r="W524" s="24"/>
      <c r="XDO524"/>
      <c r="XDP524"/>
      <c r="XDQ524"/>
      <c r="XDR524"/>
      <c r="XDS524"/>
    </row>
    <row r="525" s="21" customFormat="1" spans="1:16347">
      <c r="A525" s="24" t="s">
        <v>58</v>
      </c>
      <c r="B525" s="25" t="s">
        <v>59</v>
      </c>
      <c r="C525" s="24" t="s">
        <v>60</v>
      </c>
      <c r="D525" s="24" t="s">
        <v>2464</v>
      </c>
      <c r="E525" s="24" t="s">
        <v>2465</v>
      </c>
      <c r="F525" s="24" t="s">
        <v>2466</v>
      </c>
      <c r="G525" s="24" t="s">
        <v>2467</v>
      </c>
      <c r="H525" s="24"/>
      <c r="I525" s="25">
        <v>2.5</v>
      </c>
      <c r="J525" s="24" t="s">
        <v>881</v>
      </c>
      <c r="K525" s="24" t="s">
        <v>2468</v>
      </c>
      <c r="L525" s="24" t="s">
        <v>67</v>
      </c>
      <c r="M525" s="24" t="s">
        <v>74</v>
      </c>
      <c r="N525" s="24" t="s">
        <v>74</v>
      </c>
      <c r="O525" s="25">
        <v>0.5</v>
      </c>
      <c r="P525" s="24"/>
      <c r="Q525" s="24"/>
      <c r="R525" s="24"/>
      <c r="S525" s="24">
        <v>0.2</v>
      </c>
      <c r="T525" s="24"/>
      <c r="U525" s="24"/>
      <c r="V525" s="24">
        <v>1.8</v>
      </c>
      <c r="W525" s="24"/>
      <c r="XDO525"/>
      <c r="XDP525"/>
      <c r="XDQ525"/>
      <c r="XDR525"/>
      <c r="XDS525"/>
    </row>
    <row r="526" s="21" customFormat="1" spans="1:16347">
      <c r="A526" s="24" t="s">
        <v>58</v>
      </c>
      <c r="B526" s="25" t="s">
        <v>59</v>
      </c>
      <c r="C526" s="24" t="s">
        <v>60</v>
      </c>
      <c r="D526" s="24" t="s">
        <v>2469</v>
      </c>
      <c r="E526" s="24" t="s">
        <v>2470</v>
      </c>
      <c r="F526" s="24" t="s">
        <v>2471</v>
      </c>
      <c r="G526" s="24" t="s">
        <v>2467</v>
      </c>
      <c r="H526" s="24"/>
      <c r="I526" s="25">
        <v>3.4</v>
      </c>
      <c r="J526" s="24" t="s">
        <v>65</v>
      </c>
      <c r="K526" s="24" t="s">
        <v>2472</v>
      </c>
      <c r="L526" s="24" t="s">
        <v>67</v>
      </c>
      <c r="M526" s="24" t="s">
        <v>179</v>
      </c>
      <c r="N526" s="24" t="s">
        <v>179</v>
      </c>
      <c r="O526" s="25">
        <v>0.7</v>
      </c>
      <c r="P526" s="24"/>
      <c r="Q526" s="24"/>
      <c r="R526" s="24"/>
      <c r="S526" s="24">
        <v>0.3</v>
      </c>
      <c r="T526" s="24"/>
      <c r="U526" s="24"/>
      <c r="V526" s="24">
        <v>2.4</v>
      </c>
      <c r="W526" s="24"/>
      <c r="XDO526"/>
      <c r="XDP526"/>
      <c r="XDQ526"/>
      <c r="XDR526"/>
      <c r="XDS526"/>
    </row>
    <row r="527" s="21" customFormat="1" spans="1:16347">
      <c r="A527" s="24" t="s">
        <v>58</v>
      </c>
      <c r="B527" s="25" t="s">
        <v>59</v>
      </c>
      <c r="C527" s="24" t="s">
        <v>60</v>
      </c>
      <c r="D527" s="24" t="s">
        <v>2473</v>
      </c>
      <c r="E527" s="24" t="s">
        <v>2474</v>
      </c>
      <c r="F527" s="24" t="s">
        <v>2475</v>
      </c>
      <c r="G527" s="24" t="s">
        <v>2449</v>
      </c>
      <c r="H527" s="24"/>
      <c r="I527" s="25">
        <v>2.5</v>
      </c>
      <c r="J527" s="24" t="s">
        <v>881</v>
      </c>
      <c r="K527" s="24" t="s">
        <v>2476</v>
      </c>
      <c r="L527" s="24" t="s">
        <v>67</v>
      </c>
      <c r="M527" s="24" t="s">
        <v>137</v>
      </c>
      <c r="N527" s="24" t="s">
        <v>137</v>
      </c>
      <c r="O527" s="25">
        <v>0.5</v>
      </c>
      <c r="P527" s="24"/>
      <c r="Q527" s="24"/>
      <c r="R527" s="24"/>
      <c r="S527" s="24">
        <v>0.2</v>
      </c>
      <c r="T527" s="24"/>
      <c r="U527" s="24"/>
      <c r="V527" s="24">
        <v>1.8</v>
      </c>
      <c r="W527" s="24"/>
      <c r="XDO527"/>
      <c r="XDP527"/>
      <c r="XDQ527"/>
      <c r="XDR527"/>
      <c r="XDS527"/>
    </row>
    <row r="528" s="21" customFormat="1" spans="1:16347">
      <c r="A528" s="24" t="s">
        <v>58</v>
      </c>
      <c r="B528" s="25" t="s">
        <v>59</v>
      </c>
      <c r="C528" s="24" t="s">
        <v>60</v>
      </c>
      <c r="D528" s="24" t="s">
        <v>2477</v>
      </c>
      <c r="E528" s="24" t="s">
        <v>2478</v>
      </c>
      <c r="F528" s="24" t="s">
        <v>2479</v>
      </c>
      <c r="G528" s="24" t="s">
        <v>2480</v>
      </c>
      <c r="H528" s="24"/>
      <c r="I528" s="25">
        <v>2.5</v>
      </c>
      <c r="J528" s="24" t="s">
        <v>881</v>
      </c>
      <c r="K528" s="24" t="s">
        <v>2481</v>
      </c>
      <c r="L528" s="24" t="s">
        <v>67</v>
      </c>
      <c r="M528" s="24" t="s">
        <v>946</v>
      </c>
      <c r="N528" s="24" t="s">
        <v>946</v>
      </c>
      <c r="O528" s="25">
        <v>0.5</v>
      </c>
      <c r="P528" s="24"/>
      <c r="Q528" s="24"/>
      <c r="R528" s="24"/>
      <c r="S528" s="24">
        <v>0.2</v>
      </c>
      <c r="T528" s="24"/>
      <c r="U528" s="24"/>
      <c r="V528" s="24">
        <v>1.8</v>
      </c>
      <c r="W528" s="24"/>
      <c r="XDO528"/>
      <c r="XDP528"/>
      <c r="XDQ528"/>
      <c r="XDR528"/>
      <c r="XDS528"/>
    </row>
    <row r="529" s="21" customFormat="1" spans="1:16347">
      <c r="A529" s="24" t="s">
        <v>58</v>
      </c>
      <c r="B529" s="25" t="s">
        <v>59</v>
      </c>
      <c r="C529" s="24" t="s">
        <v>60</v>
      </c>
      <c r="D529" s="24" t="s">
        <v>2482</v>
      </c>
      <c r="E529" s="24" t="s">
        <v>2483</v>
      </c>
      <c r="F529" s="24" t="s">
        <v>2484</v>
      </c>
      <c r="G529" s="24" t="s">
        <v>2485</v>
      </c>
      <c r="H529" s="24"/>
      <c r="I529" s="25">
        <v>3</v>
      </c>
      <c r="J529" s="24" t="s">
        <v>65</v>
      </c>
      <c r="K529" s="24" t="s">
        <v>2486</v>
      </c>
      <c r="L529" s="24" t="s">
        <v>67</v>
      </c>
      <c r="M529" s="24" t="s">
        <v>672</v>
      </c>
      <c r="N529" s="24" t="s">
        <v>672</v>
      </c>
      <c r="O529" s="25">
        <v>0.5</v>
      </c>
      <c r="P529" s="24"/>
      <c r="Q529" s="24"/>
      <c r="R529" s="24"/>
      <c r="S529" s="24">
        <v>0.2</v>
      </c>
      <c r="T529" s="24"/>
      <c r="U529" s="24"/>
      <c r="V529" s="24">
        <v>2.3</v>
      </c>
      <c r="W529" s="24"/>
      <c r="XDO529"/>
      <c r="XDP529"/>
      <c r="XDQ529"/>
      <c r="XDR529"/>
      <c r="XDS529"/>
    </row>
    <row r="530" s="21" customFormat="1" spans="1:16347">
      <c r="A530" s="24" t="s">
        <v>58</v>
      </c>
      <c r="B530" s="25" t="s">
        <v>59</v>
      </c>
      <c r="C530" s="24" t="s">
        <v>60</v>
      </c>
      <c r="D530" s="24" t="s">
        <v>2487</v>
      </c>
      <c r="E530" s="24" t="s">
        <v>2488</v>
      </c>
      <c r="F530" s="24" t="s">
        <v>2489</v>
      </c>
      <c r="G530" s="24" t="s">
        <v>2490</v>
      </c>
      <c r="H530" s="24"/>
      <c r="I530" s="25">
        <v>3</v>
      </c>
      <c r="J530" s="24" t="s">
        <v>881</v>
      </c>
      <c r="K530" s="24" t="s">
        <v>2491</v>
      </c>
      <c r="L530" s="24" t="s">
        <v>67</v>
      </c>
      <c r="M530" s="24" t="s">
        <v>132</v>
      </c>
      <c r="N530" s="24" t="s">
        <v>132</v>
      </c>
      <c r="O530" s="25">
        <v>1</v>
      </c>
      <c r="P530" s="24"/>
      <c r="Q530" s="24"/>
      <c r="R530" s="24"/>
      <c r="S530" s="24">
        <v>0.2</v>
      </c>
      <c r="T530" s="24"/>
      <c r="U530" s="24"/>
      <c r="V530" s="24">
        <v>1.8</v>
      </c>
      <c r="W530" s="24"/>
      <c r="XDO530"/>
      <c r="XDP530"/>
      <c r="XDQ530"/>
      <c r="XDR530"/>
      <c r="XDS530"/>
    </row>
    <row r="531" s="21" customFormat="1" spans="1:16347">
      <c r="A531" s="24" t="s">
        <v>58</v>
      </c>
      <c r="B531" s="25" t="s">
        <v>59</v>
      </c>
      <c r="C531" s="24" t="s">
        <v>60</v>
      </c>
      <c r="D531" s="24" t="s">
        <v>2492</v>
      </c>
      <c r="E531" s="24" t="s">
        <v>2493</v>
      </c>
      <c r="F531" s="24" t="s">
        <v>2494</v>
      </c>
      <c r="G531" s="24" t="s">
        <v>2490</v>
      </c>
      <c r="H531" s="24"/>
      <c r="I531" s="25">
        <v>6.5</v>
      </c>
      <c r="J531" s="24" t="s">
        <v>65</v>
      </c>
      <c r="K531" s="24" t="s">
        <v>2495</v>
      </c>
      <c r="L531" s="24" t="s">
        <v>67</v>
      </c>
      <c r="M531" s="24" t="s">
        <v>2244</v>
      </c>
      <c r="N531" s="24" t="s">
        <v>2244</v>
      </c>
      <c r="O531" s="25">
        <v>2</v>
      </c>
      <c r="P531" s="24"/>
      <c r="Q531" s="24"/>
      <c r="R531" s="24"/>
      <c r="S531" s="24">
        <v>1</v>
      </c>
      <c r="T531" s="24"/>
      <c r="U531" s="24"/>
      <c r="V531" s="24">
        <v>3.5</v>
      </c>
      <c r="W531" s="24"/>
      <c r="XDO531"/>
      <c r="XDP531"/>
      <c r="XDQ531"/>
      <c r="XDR531"/>
      <c r="XDS531"/>
    </row>
    <row r="532" s="21" customFormat="1" spans="1:16347">
      <c r="A532" s="24" t="s">
        <v>58</v>
      </c>
      <c r="B532" s="25" t="s">
        <v>59</v>
      </c>
      <c r="C532" s="24" t="s">
        <v>60</v>
      </c>
      <c r="D532" s="24" t="s">
        <v>2496</v>
      </c>
      <c r="E532" s="24" t="s">
        <v>2497</v>
      </c>
      <c r="F532" s="24" t="s">
        <v>2498</v>
      </c>
      <c r="G532" s="24" t="s">
        <v>2485</v>
      </c>
      <c r="H532" s="24"/>
      <c r="I532" s="25">
        <v>4.6</v>
      </c>
      <c r="J532" s="24" t="s">
        <v>65</v>
      </c>
      <c r="K532" s="24" t="s">
        <v>2499</v>
      </c>
      <c r="L532" s="24" t="s">
        <v>67</v>
      </c>
      <c r="M532" s="24" t="s">
        <v>876</v>
      </c>
      <c r="N532" s="24" t="s">
        <v>876</v>
      </c>
      <c r="O532" s="25">
        <v>1</v>
      </c>
      <c r="P532" s="24"/>
      <c r="Q532" s="24"/>
      <c r="R532" s="24"/>
      <c r="S532" s="24">
        <v>1</v>
      </c>
      <c r="T532" s="24"/>
      <c r="U532" s="24"/>
      <c r="V532" s="24">
        <v>2.6</v>
      </c>
      <c r="W532" s="24"/>
      <c r="XDO532"/>
      <c r="XDP532"/>
      <c r="XDQ532"/>
      <c r="XDR532"/>
      <c r="XDS532"/>
    </row>
    <row r="533" s="21" customFormat="1" spans="1:16347">
      <c r="A533" s="24" t="s">
        <v>58</v>
      </c>
      <c r="B533" s="25" t="s">
        <v>59</v>
      </c>
      <c r="C533" s="24" t="s">
        <v>60</v>
      </c>
      <c r="D533" s="24" t="s">
        <v>2500</v>
      </c>
      <c r="E533" s="24" t="s">
        <v>2501</v>
      </c>
      <c r="F533" s="24" t="s">
        <v>2502</v>
      </c>
      <c r="G533" s="24" t="s">
        <v>2503</v>
      </c>
      <c r="H533" s="24"/>
      <c r="I533" s="25">
        <v>6.5</v>
      </c>
      <c r="J533" s="24" t="s">
        <v>65</v>
      </c>
      <c r="K533" s="24" t="s">
        <v>2504</v>
      </c>
      <c r="L533" s="24" t="s">
        <v>67</v>
      </c>
      <c r="M533" s="24" t="s">
        <v>2244</v>
      </c>
      <c r="N533" s="24" t="s">
        <v>2244</v>
      </c>
      <c r="O533" s="25">
        <v>2</v>
      </c>
      <c r="P533" s="24"/>
      <c r="Q533" s="24"/>
      <c r="R533" s="24"/>
      <c r="S533" s="24">
        <v>1</v>
      </c>
      <c r="T533" s="24"/>
      <c r="U533" s="24"/>
      <c r="V533" s="24">
        <v>3.5</v>
      </c>
      <c r="W533" s="24"/>
      <c r="XDO533"/>
      <c r="XDP533"/>
      <c r="XDQ533"/>
      <c r="XDR533"/>
      <c r="XDS533"/>
    </row>
    <row r="534" s="21" customFormat="1" spans="1:16347">
      <c r="A534" s="24" t="s">
        <v>58</v>
      </c>
      <c r="B534" s="25" t="s">
        <v>59</v>
      </c>
      <c r="C534" s="24" t="s">
        <v>60</v>
      </c>
      <c r="D534" s="24" t="s">
        <v>2505</v>
      </c>
      <c r="E534" s="24" t="s">
        <v>2506</v>
      </c>
      <c r="F534" s="24" t="s">
        <v>2507</v>
      </c>
      <c r="G534" s="24" t="s">
        <v>2503</v>
      </c>
      <c r="H534" s="24"/>
      <c r="I534" s="25">
        <v>3</v>
      </c>
      <c r="J534" s="24" t="s">
        <v>65</v>
      </c>
      <c r="K534" s="24" t="s">
        <v>2508</v>
      </c>
      <c r="L534" s="24" t="s">
        <v>67</v>
      </c>
      <c r="M534" s="24" t="s">
        <v>672</v>
      </c>
      <c r="N534" s="24" t="s">
        <v>672</v>
      </c>
      <c r="O534" s="25">
        <v>0.5</v>
      </c>
      <c r="P534" s="24"/>
      <c r="Q534" s="24"/>
      <c r="R534" s="24"/>
      <c r="S534" s="24">
        <v>0.2</v>
      </c>
      <c r="T534" s="24"/>
      <c r="U534" s="24"/>
      <c r="V534" s="24">
        <v>2.3</v>
      </c>
      <c r="W534" s="24"/>
      <c r="XDO534"/>
      <c r="XDP534"/>
      <c r="XDQ534"/>
      <c r="XDR534"/>
      <c r="XDS534"/>
    </row>
    <row r="535" s="21" customFormat="1" spans="1:16347">
      <c r="A535" s="24" t="s">
        <v>58</v>
      </c>
      <c r="B535" s="25" t="s">
        <v>59</v>
      </c>
      <c r="C535" s="24" t="s">
        <v>60</v>
      </c>
      <c r="D535" s="24" t="s">
        <v>2509</v>
      </c>
      <c r="E535" s="24" t="s">
        <v>2510</v>
      </c>
      <c r="F535" s="24" t="s">
        <v>2511</v>
      </c>
      <c r="G535" s="24" t="s">
        <v>2512</v>
      </c>
      <c r="H535" s="24"/>
      <c r="I535" s="25">
        <v>3</v>
      </c>
      <c r="J535" s="24" t="s">
        <v>65</v>
      </c>
      <c r="K535" s="24" t="s">
        <v>2513</v>
      </c>
      <c r="L535" s="24" t="s">
        <v>67</v>
      </c>
      <c r="M535" s="24" t="s">
        <v>672</v>
      </c>
      <c r="N535" s="24" t="s">
        <v>672</v>
      </c>
      <c r="O535" s="25">
        <v>0.5</v>
      </c>
      <c r="P535" s="24"/>
      <c r="Q535" s="24"/>
      <c r="R535" s="24"/>
      <c r="S535" s="24">
        <v>0.2</v>
      </c>
      <c r="T535" s="24"/>
      <c r="U535" s="24"/>
      <c r="V535" s="24">
        <v>2.3</v>
      </c>
      <c r="W535" s="24"/>
      <c r="XDO535"/>
      <c r="XDP535"/>
      <c r="XDQ535"/>
      <c r="XDR535"/>
      <c r="XDS535"/>
    </row>
    <row r="536" s="21" customFormat="1" spans="1:16347">
      <c r="A536" s="24" t="s">
        <v>58</v>
      </c>
      <c r="B536" s="25" t="s">
        <v>59</v>
      </c>
      <c r="C536" s="24" t="s">
        <v>60</v>
      </c>
      <c r="D536" s="24" t="s">
        <v>2514</v>
      </c>
      <c r="E536" s="24" t="s">
        <v>2515</v>
      </c>
      <c r="F536" s="24" t="s">
        <v>2516</v>
      </c>
      <c r="G536" s="24" t="s">
        <v>2512</v>
      </c>
      <c r="H536" s="24"/>
      <c r="I536" s="25">
        <v>3.6</v>
      </c>
      <c r="J536" s="24" t="s">
        <v>65</v>
      </c>
      <c r="K536" s="24" t="s">
        <v>2517</v>
      </c>
      <c r="L536" s="24" t="s">
        <v>67</v>
      </c>
      <c r="M536" s="24" t="s">
        <v>463</v>
      </c>
      <c r="N536" s="24" t="s">
        <v>463</v>
      </c>
      <c r="O536" s="25">
        <v>1</v>
      </c>
      <c r="P536" s="24"/>
      <c r="Q536" s="24"/>
      <c r="R536" s="24"/>
      <c r="S536" s="24"/>
      <c r="T536" s="24"/>
      <c r="U536" s="24"/>
      <c r="V536" s="24">
        <v>2.6</v>
      </c>
      <c r="W536" s="24"/>
      <c r="XDO536"/>
      <c r="XDP536"/>
      <c r="XDQ536"/>
      <c r="XDR536"/>
      <c r="XDS536"/>
    </row>
    <row r="537" s="21" customFormat="1" spans="1:16347">
      <c r="A537" s="24" t="s">
        <v>58</v>
      </c>
      <c r="B537" s="25" t="s">
        <v>59</v>
      </c>
      <c r="C537" s="24" t="s">
        <v>60</v>
      </c>
      <c r="D537" s="24" t="s">
        <v>2518</v>
      </c>
      <c r="E537" s="24" t="s">
        <v>2519</v>
      </c>
      <c r="F537" s="24" t="s">
        <v>2520</v>
      </c>
      <c r="G537" s="24" t="s">
        <v>2521</v>
      </c>
      <c r="H537" s="24"/>
      <c r="I537" s="25">
        <v>3</v>
      </c>
      <c r="J537" s="24" t="s">
        <v>65</v>
      </c>
      <c r="K537" s="24" t="s">
        <v>2522</v>
      </c>
      <c r="L537" s="24" t="s">
        <v>67</v>
      </c>
      <c r="M537" s="24" t="s">
        <v>672</v>
      </c>
      <c r="N537" s="24" t="s">
        <v>672</v>
      </c>
      <c r="O537" s="25">
        <v>0.5</v>
      </c>
      <c r="P537" s="24"/>
      <c r="Q537" s="24"/>
      <c r="R537" s="24"/>
      <c r="S537" s="24">
        <v>0.2</v>
      </c>
      <c r="T537" s="24"/>
      <c r="U537" s="24"/>
      <c r="V537" s="24">
        <v>2.3</v>
      </c>
      <c r="W537" s="24"/>
      <c r="XDO537"/>
      <c r="XDP537"/>
      <c r="XDQ537"/>
      <c r="XDR537"/>
      <c r="XDS537"/>
    </row>
    <row r="538" s="21" customFormat="1" spans="1:16347">
      <c r="A538" s="24" t="s">
        <v>58</v>
      </c>
      <c r="B538" s="25" t="s">
        <v>59</v>
      </c>
      <c r="C538" s="24" t="s">
        <v>60</v>
      </c>
      <c r="D538" s="24" t="s">
        <v>2523</v>
      </c>
      <c r="E538" s="24" t="s">
        <v>2524</v>
      </c>
      <c r="F538" s="24" t="s">
        <v>2525</v>
      </c>
      <c r="G538" s="24" t="s">
        <v>2521</v>
      </c>
      <c r="H538" s="24"/>
      <c r="I538" s="25">
        <v>3.6</v>
      </c>
      <c r="J538" s="24" t="s">
        <v>65</v>
      </c>
      <c r="K538" s="24" t="s">
        <v>2526</v>
      </c>
      <c r="L538" s="24" t="s">
        <v>67</v>
      </c>
      <c r="M538" s="24" t="s">
        <v>479</v>
      </c>
      <c r="N538" s="24" t="s">
        <v>479</v>
      </c>
      <c r="O538" s="25">
        <v>0.7</v>
      </c>
      <c r="P538" s="24"/>
      <c r="Q538" s="24"/>
      <c r="R538" s="24"/>
      <c r="S538" s="24">
        <v>0.5</v>
      </c>
      <c r="T538" s="24"/>
      <c r="U538" s="24"/>
      <c r="V538" s="24">
        <v>2.4</v>
      </c>
      <c r="W538" s="24"/>
      <c r="XDO538"/>
      <c r="XDP538"/>
      <c r="XDQ538"/>
      <c r="XDR538"/>
      <c r="XDS538"/>
    </row>
    <row r="539" s="21" customFormat="1" spans="1:16347">
      <c r="A539" s="24" t="s">
        <v>58</v>
      </c>
      <c r="B539" s="25" t="s">
        <v>59</v>
      </c>
      <c r="C539" s="24" t="s">
        <v>60</v>
      </c>
      <c r="D539" s="24" t="s">
        <v>2527</v>
      </c>
      <c r="E539" s="24" t="s">
        <v>2528</v>
      </c>
      <c r="F539" s="24" t="s">
        <v>2529</v>
      </c>
      <c r="G539" s="24" t="s">
        <v>2530</v>
      </c>
      <c r="H539" s="24"/>
      <c r="I539" s="25">
        <v>4.1</v>
      </c>
      <c r="J539" s="24" t="s">
        <v>65</v>
      </c>
      <c r="K539" s="24" t="s">
        <v>2531</v>
      </c>
      <c r="L539" s="24" t="s">
        <v>67</v>
      </c>
      <c r="M539" s="24" t="s">
        <v>189</v>
      </c>
      <c r="N539" s="24" t="s">
        <v>189</v>
      </c>
      <c r="O539" s="25">
        <v>0.7</v>
      </c>
      <c r="P539" s="24"/>
      <c r="Q539" s="24"/>
      <c r="R539" s="24"/>
      <c r="S539" s="24">
        <v>1</v>
      </c>
      <c r="T539" s="24"/>
      <c r="U539" s="24"/>
      <c r="V539" s="24">
        <v>2.4</v>
      </c>
      <c r="W539" s="24"/>
      <c r="XDO539"/>
      <c r="XDP539"/>
      <c r="XDQ539"/>
      <c r="XDR539"/>
      <c r="XDS539"/>
    </row>
    <row r="540" s="21" customFormat="1" spans="1:16347">
      <c r="A540" s="24" t="s">
        <v>58</v>
      </c>
      <c r="B540" s="25" t="s">
        <v>59</v>
      </c>
      <c r="C540" s="24" t="s">
        <v>60</v>
      </c>
      <c r="D540" s="24" t="s">
        <v>2532</v>
      </c>
      <c r="E540" s="24" t="s">
        <v>2533</v>
      </c>
      <c r="F540" s="24" t="s">
        <v>2534</v>
      </c>
      <c r="G540" s="24" t="s">
        <v>2530</v>
      </c>
      <c r="H540" s="24"/>
      <c r="I540" s="25">
        <v>3</v>
      </c>
      <c r="J540" s="24" t="s">
        <v>65</v>
      </c>
      <c r="K540" s="24" t="s">
        <v>2535</v>
      </c>
      <c r="L540" s="24" t="s">
        <v>67</v>
      </c>
      <c r="M540" s="24" t="s">
        <v>672</v>
      </c>
      <c r="N540" s="24" t="s">
        <v>672</v>
      </c>
      <c r="O540" s="25">
        <v>0.5</v>
      </c>
      <c r="P540" s="24"/>
      <c r="Q540" s="24"/>
      <c r="R540" s="24"/>
      <c r="S540" s="24">
        <v>0.2</v>
      </c>
      <c r="T540" s="24"/>
      <c r="U540" s="24"/>
      <c r="V540" s="24">
        <v>2.3</v>
      </c>
      <c r="W540" s="24"/>
      <c r="XDO540"/>
      <c r="XDP540"/>
      <c r="XDQ540"/>
      <c r="XDR540"/>
      <c r="XDS540"/>
    </row>
    <row r="541" s="21" customFormat="1" spans="1:16347">
      <c r="A541" s="24" t="s">
        <v>58</v>
      </c>
      <c r="B541" s="25" t="s">
        <v>59</v>
      </c>
      <c r="C541" s="24" t="s">
        <v>60</v>
      </c>
      <c r="D541" s="24" t="s">
        <v>2536</v>
      </c>
      <c r="E541" s="24" t="s">
        <v>2537</v>
      </c>
      <c r="F541" s="24" t="s">
        <v>2538</v>
      </c>
      <c r="G541" s="24" t="s">
        <v>2539</v>
      </c>
      <c r="H541" s="24"/>
      <c r="I541" s="25">
        <v>3.1</v>
      </c>
      <c r="J541" s="24" t="s">
        <v>65</v>
      </c>
      <c r="K541" s="24" t="s">
        <v>2540</v>
      </c>
      <c r="L541" s="24" t="s">
        <v>67</v>
      </c>
      <c r="M541" s="24" t="s">
        <v>1539</v>
      </c>
      <c r="N541" s="24" t="s">
        <v>1539</v>
      </c>
      <c r="O541" s="25">
        <v>0.7</v>
      </c>
      <c r="P541" s="24"/>
      <c r="Q541" s="24"/>
      <c r="R541" s="24"/>
      <c r="S541" s="24"/>
      <c r="T541" s="24"/>
      <c r="U541" s="24"/>
      <c r="V541" s="24">
        <v>2.4</v>
      </c>
      <c r="W541" s="24"/>
      <c r="XDO541"/>
      <c r="XDP541"/>
      <c r="XDQ541"/>
      <c r="XDR541"/>
      <c r="XDS541"/>
    </row>
    <row r="542" s="21" customFormat="1" spans="1:16347">
      <c r="A542" s="24" t="s">
        <v>58</v>
      </c>
      <c r="B542" s="25" t="s">
        <v>59</v>
      </c>
      <c r="C542" s="24" t="s">
        <v>60</v>
      </c>
      <c r="D542" s="24" t="s">
        <v>2541</v>
      </c>
      <c r="E542" s="24" t="s">
        <v>2542</v>
      </c>
      <c r="F542" s="24" t="s">
        <v>2543</v>
      </c>
      <c r="G542" s="24" t="s">
        <v>2544</v>
      </c>
      <c r="H542" s="24"/>
      <c r="I542" s="25">
        <v>3.6</v>
      </c>
      <c r="J542" s="24" t="s">
        <v>65</v>
      </c>
      <c r="K542" s="24" t="s">
        <v>2545</v>
      </c>
      <c r="L542" s="24" t="s">
        <v>67</v>
      </c>
      <c r="M542" s="24" t="s">
        <v>744</v>
      </c>
      <c r="N542" s="24" t="s">
        <v>744</v>
      </c>
      <c r="O542" s="25">
        <v>1</v>
      </c>
      <c r="P542" s="24"/>
      <c r="Q542" s="24"/>
      <c r="R542" s="24"/>
      <c r="S542" s="24"/>
      <c r="T542" s="24"/>
      <c r="U542" s="24"/>
      <c r="V542" s="24">
        <v>2.6</v>
      </c>
      <c r="W542" s="24"/>
      <c r="XDO542"/>
      <c r="XDP542"/>
      <c r="XDQ542"/>
      <c r="XDR542"/>
      <c r="XDS542"/>
    </row>
    <row r="543" s="21" customFormat="1" spans="1:16347">
      <c r="A543" s="24" t="s">
        <v>58</v>
      </c>
      <c r="B543" s="25" t="s">
        <v>59</v>
      </c>
      <c r="C543" s="24" t="s">
        <v>60</v>
      </c>
      <c r="D543" s="24" t="s">
        <v>2546</v>
      </c>
      <c r="E543" s="24" t="s">
        <v>2547</v>
      </c>
      <c r="F543" s="24" t="s">
        <v>2548</v>
      </c>
      <c r="G543" s="24" t="s">
        <v>2549</v>
      </c>
      <c r="H543" s="24"/>
      <c r="I543" s="25">
        <v>3</v>
      </c>
      <c r="J543" s="24" t="s">
        <v>65</v>
      </c>
      <c r="K543" s="24" t="s">
        <v>2550</v>
      </c>
      <c r="L543" s="24" t="s">
        <v>67</v>
      </c>
      <c r="M543" s="24" t="s">
        <v>79</v>
      </c>
      <c r="N543" s="24" t="s">
        <v>79</v>
      </c>
      <c r="O543" s="25">
        <v>0.7</v>
      </c>
      <c r="P543" s="24"/>
      <c r="Q543" s="24"/>
      <c r="R543" s="24"/>
      <c r="S543" s="24"/>
      <c r="T543" s="24"/>
      <c r="U543" s="24"/>
      <c r="V543" s="24">
        <v>2.3</v>
      </c>
      <c r="W543" s="24"/>
      <c r="XDO543"/>
      <c r="XDP543"/>
      <c r="XDQ543"/>
      <c r="XDR543"/>
      <c r="XDS543"/>
    </row>
    <row r="544" s="21" customFormat="1" spans="1:16347">
      <c r="A544" s="24" t="s">
        <v>58</v>
      </c>
      <c r="B544" s="25" t="s">
        <v>59</v>
      </c>
      <c r="C544" s="24" t="s">
        <v>60</v>
      </c>
      <c r="D544" s="24" t="s">
        <v>2551</v>
      </c>
      <c r="E544" s="24" t="s">
        <v>2552</v>
      </c>
      <c r="F544" s="24" t="s">
        <v>2553</v>
      </c>
      <c r="G544" s="24" t="s">
        <v>2549</v>
      </c>
      <c r="H544" s="24"/>
      <c r="I544" s="25">
        <v>2.5</v>
      </c>
      <c r="J544" s="24" t="s">
        <v>881</v>
      </c>
      <c r="K544" s="24" t="s">
        <v>2554</v>
      </c>
      <c r="L544" s="24" t="s">
        <v>67</v>
      </c>
      <c r="M544" s="24" t="s">
        <v>137</v>
      </c>
      <c r="N544" s="24" t="s">
        <v>137</v>
      </c>
      <c r="O544" s="25">
        <v>0.5</v>
      </c>
      <c r="P544" s="24"/>
      <c r="Q544" s="24"/>
      <c r="R544" s="24"/>
      <c r="S544" s="24">
        <v>0.2</v>
      </c>
      <c r="T544" s="24"/>
      <c r="U544" s="24"/>
      <c r="V544" s="24">
        <v>1.8</v>
      </c>
      <c r="W544" s="24"/>
      <c r="XDO544"/>
      <c r="XDP544"/>
      <c r="XDQ544"/>
      <c r="XDR544"/>
      <c r="XDS544"/>
    </row>
    <row r="545" s="21" customFormat="1" spans="1:16347">
      <c r="A545" s="24" t="s">
        <v>58</v>
      </c>
      <c r="B545" s="25" t="s">
        <v>59</v>
      </c>
      <c r="C545" s="24" t="s">
        <v>60</v>
      </c>
      <c r="D545" s="24" t="s">
        <v>2555</v>
      </c>
      <c r="E545" s="24" t="s">
        <v>2556</v>
      </c>
      <c r="F545" s="24" t="s">
        <v>2557</v>
      </c>
      <c r="G545" s="24" t="s">
        <v>2558</v>
      </c>
      <c r="H545" s="24"/>
      <c r="I545" s="25">
        <v>3</v>
      </c>
      <c r="J545" s="24" t="s">
        <v>65</v>
      </c>
      <c r="K545" s="24" t="s">
        <v>2559</v>
      </c>
      <c r="L545" s="24" t="s">
        <v>67</v>
      </c>
      <c r="M545" s="24" t="s">
        <v>672</v>
      </c>
      <c r="N545" s="24" t="s">
        <v>672</v>
      </c>
      <c r="O545" s="25">
        <v>0.5</v>
      </c>
      <c r="P545" s="24"/>
      <c r="Q545" s="24"/>
      <c r="R545" s="24"/>
      <c r="S545" s="24">
        <v>0.2</v>
      </c>
      <c r="T545" s="24"/>
      <c r="U545" s="24"/>
      <c r="V545" s="24">
        <v>2.3</v>
      </c>
      <c r="W545" s="24"/>
      <c r="XDO545"/>
      <c r="XDP545"/>
      <c r="XDQ545"/>
      <c r="XDR545"/>
      <c r="XDS545"/>
    </row>
    <row r="546" s="21" customFormat="1" spans="1:16347">
      <c r="A546" s="24" t="s">
        <v>58</v>
      </c>
      <c r="B546" s="25" t="s">
        <v>59</v>
      </c>
      <c r="C546" s="24" t="s">
        <v>60</v>
      </c>
      <c r="D546" s="24" t="s">
        <v>2560</v>
      </c>
      <c r="E546" s="24" t="s">
        <v>2561</v>
      </c>
      <c r="F546" s="24" t="s">
        <v>2562</v>
      </c>
      <c r="G546" s="24" t="s">
        <v>2563</v>
      </c>
      <c r="H546" s="24"/>
      <c r="I546" s="25">
        <v>3</v>
      </c>
      <c r="J546" s="24" t="s">
        <v>65</v>
      </c>
      <c r="K546" s="24" t="s">
        <v>2564</v>
      </c>
      <c r="L546" s="24" t="s">
        <v>67</v>
      </c>
      <c r="M546" s="24" t="s">
        <v>79</v>
      </c>
      <c r="N546" s="24" t="s">
        <v>79</v>
      </c>
      <c r="O546" s="25">
        <v>0.7</v>
      </c>
      <c r="P546" s="24"/>
      <c r="Q546" s="24"/>
      <c r="R546" s="24"/>
      <c r="S546" s="24"/>
      <c r="T546" s="24"/>
      <c r="U546" s="24"/>
      <c r="V546" s="24">
        <v>2.3</v>
      </c>
      <c r="W546" s="24"/>
      <c r="XDO546"/>
      <c r="XDP546"/>
      <c r="XDQ546"/>
      <c r="XDR546"/>
      <c r="XDS546"/>
    </row>
    <row r="547" s="21" customFormat="1" spans="1:16347">
      <c r="A547" s="24" t="s">
        <v>58</v>
      </c>
      <c r="B547" s="25" t="s">
        <v>59</v>
      </c>
      <c r="C547" s="24" t="s">
        <v>60</v>
      </c>
      <c r="D547" s="24" t="s">
        <v>2565</v>
      </c>
      <c r="E547" s="24" t="s">
        <v>2566</v>
      </c>
      <c r="F547" s="24" t="s">
        <v>2567</v>
      </c>
      <c r="G547" s="24" t="s">
        <v>2563</v>
      </c>
      <c r="H547" s="24"/>
      <c r="I547" s="25">
        <v>3.6</v>
      </c>
      <c r="J547" s="24" t="s">
        <v>65</v>
      </c>
      <c r="K547" s="24" t="s">
        <v>2568</v>
      </c>
      <c r="L547" s="24" t="s">
        <v>67</v>
      </c>
      <c r="M547" s="24" t="s">
        <v>479</v>
      </c>
      <c r="N547" s="24" t="s">
        <v>479</v>
      </c>
      <c r="O547" s="25">
        <v>0.7</v>
      </c>
      <c r="P547" s="24"/>
      <c r="Q547" s="24"/>
      <c r="R547" s="24"/>
      <c r="S547" s="24">
        <v>0.5</v>
      </c>
      <c r="T547" s="24"/>
      <c r="U547" s="24"/>
      <c r="V547" s="24">
        <v>2.4</v>
      </c>
      <c r="W547" s="24"/>
      <c r="XDO547"/>
      <c r="XDP547"/>
      <c r="XDQ547"/>
      <c r="XDR547"/>
      <c r="XDS547"/>
    </row>
    <row r="548" s="21" customFormat="1" spans="1:16347">
      <c r="A548" s="24" t="s">
        <v>58</v>
      </c>
      <c r="B548" s="25" t="s">
        <v>59</v>
      </c>
      <c r="C548" s="24" t="s">
        <v>60</v>
      </c>
      <c r="D548" s="24" t="s">
        <v>2569</v>
      </c>
      <c r="E548" s="24" t="s">
        <v>2570</v>
      </c>
      <c r="F548" s="24" t="s">
        <v>2571</v>
      </c>
      <c r="G548" s="24" t="s">
        <v>2572</v>
      </c>
      <c r="H548" s="24"/>
      <c r="I548" s="25">
        <v>6.5</v>
      </c>
      <c r="J548" s="24" t="s">
        <v>65</v>
      </c>
      <c r="K548" s="24" t="s">
        <v>2573</v>
      </c>
      <c r="L548" s="24" t="s">
        <v>67</v>
      </c>
      <c r="M548" s="24" t="s">
        <v>2244</v>
      </c>
      <c r="N548" s="24" t="s">
        <v>2244</v>
      </c>
      <c r="O548" s="25">
        <v>2</v>
      </c>
      <c r="P548" s="24"/>
      <c r="Q548" s="24"/>
      <c r="R548" s="24"/>
      <c r="S548" s="24">
        <v>1</v>
      </c>
      <c r="T548" s="24"/>
      <c r="U548" s="24"/>
      <c r="V548" s="24">
        <v>3.5</v>
      </c>
      <c r="W548" s="24"/>
      <c r="XDO548"/>
      <c r="XDP548"/>
      <c r="XDQ548"/>
      <c r="XDR548"/>
      <c r="XDS548"/>
    </row>
    <row r="549" s="21" customFormat="1" spans="1:16347">
      <c r="A549" s="24" t="s">
        <v>58</v>
      </c>
      <c r="B549" s="25" t="s">
        <v>59</v>
      </c>
      <c r="C549" s="24" t="s">
        <v>60</v>
      </c>
      <c r="D549" s="24" t="s">
        <v>2574</v>
      </c>
      <c r="E549" s="24" t="s">
        <v>2575</v>
      </c>
      <c r="F549" s="24" t="s">
        <v>2576</v>
      </c>
      <c r="G549" s="24" t="s">
        <v>2577</v>
      </c>
      <c r="H549" s="24"/>
      <c r="I549" s="25">
        <v>2.8</v>
      </c>
      <c r="J549" s="24" t="s">
        <v>65</v>
      </c>
      <c r="K549" s="24" t="s">
        <v>2578</v>
      </c>
      <c r="L549" s="24" t="s">
        <v>67</v>
      </c>
      <c r="M549" s="24" t="s">
        <v>169</v>
      </c>
      <c r="N549" s="24" t="s">
        <v>169</v>
      </c>
      <c r="O549" s="25">
        <v>0.5</v>
      </c>
      <c r="P549" s="24"/>
      <c r="Q549" s="24"/>
      <c r="R549" s="24"/>
      <c r="S549" s="24"/>
      <c r="T549" s="24"/>
      <c r="U549" s="24"/>
      <c r="V549" s="24">
        <v>2.3</v>
      </c>
      <c r="W549" s="24"/>
      <c r="XDO549"/>
      <c r="XDP549"/>
      <c r="XDQ549"/>
      <c r="XDR549"/>
      <c r="XDS549"/>
    </row>
    <row r="550" s="21" customFormat="1" spans="1:16347">
      <c r="A550" s="24" t="s">
        <v>58</v>
      </c>
      <c r="B550" s="25" t="s">
        <v>59</v>
      </c>
      <c r="C550" s="24" t="s">
        <v>60</v>
      </c>
      <c r="D550" s="24" t="s">
        <v>2579</v>
      </c>
      <c r="E550" s="24" t="s">
        <v>2580</v>
      </c>
      <c r="F550" s="24" t="s">
        <v>2581</v>
      </c>
      <c r="G550" s="24" t="s">
        <v>2582</v>
      </c>
      <c r="H550" s="24"/>
      <c r="I550" s="25">
        <v>2.8</v>
      </c>
      <c r="J550" s="24" t="s">
        <v>65</v>
      </c>
      <c r="K550" s="24" t="s">
        <v>2583</v>
      </c>
      <c r="L550" s="24" t="s">
        <v>67</v>
      </c>
      <c r="M550" s="24" t="s">
        <v>672</v>
      </c>
      <c r="N550" s="24" t="s">
        <v>672</v>
      </c>
      <c r="O550" s="25">
        <v>0.5</v>
      </c>
      <c r="P550" s="24"/>
      <c r="Q550" s="24"/>
      <c r="R550" s="24"/>
      <c r="S550" s="24"/>
      <c r="T550" s="24"/>
      <c r="U550" s="24"/>
      <c r="V550" s="24">
        <v>2.3</v>
      </c>
      <c r="W550" s="24"/>
      <c r="XDO550"/>
      <c r="XDP550"/>
      <c r="XDQ550"/>
      <c r="XDR550"/>
      <c r="XDS550"/>
    </row>
    <row r="551" s="21" customFormat="1" spans="1:16347">
      <c r="A551" s="24" t="s">
        <v>58</v>
      </c>
      <c r="B551" s="25" t="s">
        <v>59</v>
      </c>
      <c r="C551" s="24" t="s">
        <v>60</v>
      </c>
      <c r="D551" s="24" t="s">
        <v>2584</v>
      </c>
      <c r="E551" s="24" t="s">
        <v>2585</v>
      </c>
      <c r="F551" s="24" t="s">
        <v>2586</v>
      </c>
      <c r="G551" s="24" t="s">
        <v>2587</v>
      </c>
      <c r="H551" s="24"/>
      <c r="I551" s="25">
        <v>3.1</v>
      </c>
      <c r="J551" s="24" t="s">
        <v>65</v>
      </c>
      <c r="K551" s="24" t="s">
        <v>2588</v>
      </c>
      <c r="L551" s="24" t="s">
        <v>67</v>
      </c>
      <c r="M551" s="24" t="s">
        <v>189</v>
      </c>
      <c r="N551" s="24" t="s">
        <v>189</v>
      </c>
      <c r="O551" s="25">
        <v>0.7</v>
      </c>
      <c r="P551" s="24"/>
      <c r="Q551" s="24"/>
      <c r="R551" s="24"/>
      <c r="S551" s="24"/>
      <c r="T551" s="24"/>
      <c r="U551" s="24"/>
      <c r="V551" s="24">
        <v>2.4</v>
      </c>
      <c r="W551" s="24"/>
      <c r="XDO551"/>
      <c r="XDP551"/>
      <c r="XDQ551"/>
      <c r="XDR551"/>
      <c r="XDS551"/>
    </row>
    <row r="552" s="21" customFormat="1" spans="1:16347">
      <c r="A552" s="24" t="s">
        <v>58</v>
      </c>
      <c r="B552" s="25" t="s">
        <v>59</v>
      </c>
      <c r="C552" s="24" t="s">
        <v>60</v>
      </c>
      <c r="D552" s="24" t="s">
        <v>2589</v>
      </c>
      <c r="E552" s="24" t="s">
        <v>2590</v>
      </c>
      <c r="F552" s="24" t="s">
        <v>2591</v>
      </c>
      <c r="G552" s="24" t="s">
        <v>2587</v>
      </c>
      <c r="H552" s="24"/>
      <c r="I552" s="25">
        <v>3.6</v>
      </c>
      <c r="J552" s="24" t="s">
        <v>65</v>
      </c>
      <c r="K552" s="24" t="s">
        <v>2592</v>
      </c>
      <c r="L552" s="24" t="s">
        <v>67</v>
      </c>
      <c r="M552" s="24" t="s">
        <v>2116</v>
      </c>
      <c r="N552" s="24" t="s">
        <v>2116</v>
      </c>
      <c r="O552" s="25">
        <v>1</v>
      </c>
      <c r="P552" s="24"/>
      <c r="Q552" s="24"/>
      <c r="R552" s="24"/>
      <c r="S552" s="24">
        <v>0.3</v>
      </c>
      <c r="T552" s="24"/>
      <c r="U552" s="24"/>
      <c r="V552" s="24">
        <v>2.3</v>
      </c>
      <c r="W552" s="24"/>
      <c r="XDO552"/>
      <c r="XDP552"/>
      <c r="XDQ552"/>
      <c r="XDR552"/>
      <c r="XDS552"/>
    </row>
    <row r="553" s="21" customFormat="1" spans="1:16347">
      <c r="A553" s="24" t="s">
        <v>58</v>
      </c>
      <c r="B553" s="25" t="s">
        <v>59</v>
      </c>
      <c r="C553" s="24" t="s">
        <v>60</v>
      </c>
      <c r="D553" s="24" t="s">
        <v>2593</v>
      </c>
      <c r="E553" s="24" t="s">
        <v>2594</v>
      </c>
      <c r="F553" s="24" t="s">
        <v>2595</v>
      </c>
      <c r="G553" s="24" t="s">
        <v>2587</v>
      </c>
      <c r="H553" s="24"/>
      <c r="I553" s="25">
        <v>6.5</v>
      </c>
      <c r="J553" s="24" t="s">
        <v>65</v>
      </c>
      <c r="K553" s="24" t="s">
        <v>2596</v>
      </c>
      <c r="L553" s="24" t="s">
        <v>67</v>
      </c>
      <c r="M553" s="24" t="s">
        <v>2597</v>
      </c>
      <c r="N553" s="24" t="s">
        <v>2597</v>
      </c>
      <c r="O553" s="25">
        <v>2</v>
      </c>
      <c r="P553" s="24"/>
      <c r="Q553" s="24"/>
      <c r="R553" s="24"/>
      <c r="S553" s="24">
        <v>1</v>
      </c>
      <c r="T553" s="24"/>
      <c r="U553" s="24"/>
      <c r="V553" s="24">
        <v>3.5</v>
      </c>
      <c r="W553" s="24"/>
      <c r="XDO553"/>
      <c r="XDP553"/>
      <c r="XDQ553"/>
      <c r="XDR553"/>
      <c r="XDS553"/>
    </row>
    <row r="554" s="21" customFormat="1" spans="1:16347">
      <c r="A554" s="24" t="s">
        <v>58</v>
      </c>
      <c r="B554" s="25" t="s">
        <v>59</v>
      </c>
      <c r="C554" s="24" t="s">
        <v>60</v>
      </c>
      <c r="D554" s="24" t="s">
        <v>2598</v>
      </c>
      <c r="E554" s="24" t="s">
        <v>2599</v>
      </c>
      <c r="F554" s="24" t="s">
        <v>2600</v>
      </c>
      <c r="G554" s="24" t="s">
        <v>2601</v>
      </c>
      <c r="H554" s="24"/>
      <c r="I554" s="25">
        <v>3.1</v>
      </c>
      <c r="J554" s="24" t="s">
        <v>65</v>
      </c>
      <c r="K554" s="24" t="s">
        <v>2602</v>
      </c>
      <c r="L554" s="24" t="s">
        <v>67</v>
      </c>
      <c r="M554" s="24" t="s">
        <v>594</v>
      </c>
      <c r="N554" s="24" t="s">
        <v>594</v>
      </c>
      <c r="O554" s="25">
        <v>0.7</v>
      </c>
      <c r="P554" s="24"/>
      <c r="Q554" s="24"/>
      <c r="R554" s="24"/>
      <c r="S554" s="24"/>
      <c r="T554" s="24"/>
      <c r="U554" s="24"/>
      <c r="V554" s="24">
        <v>2.4</v>
      </c>
      <c r="W554" s="24"/>
      <c r="XDO554"/>
      <c r="XDP554"/>
      <c r="XDQ554"/>
      <c r="XDR554"/>
      <c r="XDS554"/>
    </row>
    <row r="555" s="21" customFormat="1" spans="1:16347">
      <c r="A555" s="24" t="s">
        <v>58</v>
      </c>
      <c r="B555" s="25" t="s">
        <v>59</v>
      </c>
      <c r="C555" s="24" t="s">
        <v>60</v>
      </c>
      <c r="D555" s="24" t="s">
        <v>2603</v>
      </c>
      <c r="E555" s="24" t="s">
        <v>2604</v>
      </c>
      <c r="F555" s="24" t="s">
        <v>2605</v>
      </c>
      <c r="G555" s="24" t="s">
        <v>2601</v>
      </c>
      <c r="H555" s="24"/>
      <c r="I555" s="25">
        <v>3.1</v>
      </c>
      <c r="J555" s="24" t="s">
        <v>65</v>
      </c>
      <c r="K555" s="24" t="s">
        <v>2606</v>
      </c>
      <c r="L555" s="24" t="s">
        <v>67</v>
      </c>
      <c r="M555" s="24" t="s">
        <v>189</v>
      </c>
      <c r="N555" s="24" t="s">
        <v>189</v>
      </c>
      <c r="O555" s="25">
        <v>0.7</v>
      </c>
      <c r="P555" s="24"/>
      <c r="Q555" s="24"/>
      <c r="R555" s="24"/>
      <c r="S555" s="24"/>
      <c r="T555" s="24"/>
      <c r="U555" s="24"/>
      <c r="V555" s="24">
        <v>2.4</v>
      </c>
      <c r="W555" s="24"/>
      <c r="XDO555"/>
      <c r="XDP555"/>
      <c r="XDQ555"/>
      <c r="XDR555"/>
      <c r="XDS555"/>
    </row>
    <row r="556" s="21" customFormat="1" spans="1:16347">
      <c r="A556" s="24" t="s">
        <v>58</v>
      </c>
      <c r="B556" s="25" t="s">
        <v>59</v>
      </c>
      <c r="C556" s="24" t="s">
        <v>60</v>
      </c>
      <c r="D556" s="24" t="s">
        <v>2607</v>
      </c>
      <c r="E556" s="24" t="s">
        <v>2608</v>
      </c>
      <c r="F556" s="24" t="s">
        <v>2609</v>
      </c>
      <c r="G556" s="24" t="s">
        <v>2610</v>
      </c>
      <c r="H556" s="24"/>
      <c r="I556" s="25">
        <v>11</v>
      </c>
      <c r="J556" s="24" t="s">
        <v>65</v>
      </c>
      <c r="K556" s="24" t="s">
        <v>2611</v>
      </c>
      <c r="L556" s="24" t="s">
        <v>67</v>
      </c>
      <c r="M556" s="24" t="s">
        <v>2612</v>
      </c>
      <c r="N556" s="24" t="s">
        <v>2612</v>
      </c>
      <c r="O556" s="25">
        <v>4</v>
      </c>
      <c r="P556" s="24"/>
      <c r="Q556" s="24"/>
      <c r="R556" s="24"/>
      <c r="S556" s="24">
        <v>3.5</v>
      </c>
      <c r="T556" s="24"/>
      <c r="U556" s="24"/>
      <c r="V556" s="24">
        <v>3.5</v>
      </c>
      <c r="W556" s="24"/>
      <c r="XDO556"/>
      <c r="XDP556"/>
      <c r="XDQ556"/>
      <c r="XDR556"/>
      <c r="XDS556"/>
    </row>
    <row r="557" s="21" customFormat="1" spans="1:16347">
      <c r="A557" s="24" t="s">
        <v>58</v>
      </c>
      <c r="B557" s="25" t="s">
        <v>59</v>
      </c>
      <c r="C557" s="24" t="s">
        <v>60</v>
      </c>
      <c r="D557" s="24" t="s">
        <v>2613</v>
      </c>
      <c r="E557" s="24" t="s">
        <v>2614</v>
      </c>
      <c r="F557" s="24" t="s">
        <v>2615</v>
      </c>
      <c r="G557" s="24" t="s">
        <v>2616</v>
      </c>
      <c r="H557" s="24"/>
      <c r="I557" s="25">
        <v>2.8</v>
      </c>
      <c r="J557" s="24" t="s">
        <v>65</v>
      </c>
      <c r="K557" s="24" t="s">
        <v>2617</v>
      </c>
      <c r="L557" s="24" t="s">
        <v>67</v>
      </c>
      <c r="M557" s="24" t="s">
        <v>137</v>
      </c>
      <c r="N557" s="24" t="s">
        <v>137</v>
      </c>
      <c r="O557" s="25">
        <v>0.5</v>
      </c>
      <c r="P557" s="24"/>
      <c r="Q557" s="24"/>
      <c r="R557" s="24"/>
      <c r="S557" s="24"/>
      <c r="T557" s="24"/>
      <c r="U557" s="24"/>
      <c r="V557" s="24">
        <v>2.3</v>
      </c>
      <c r="W557" s="24"/>
      <c r="XDO557"/>
      <c r="XDP557"/>
      <c r="XDQ557"/>
      <c r="XDR557"/>
      <c r="XDS557"/>
    </row>
    <row r="558" s="21" customFormat="1" spans="1:16347">
      <c r="A558" s="24" t="s">
        <v>58</v>
      </c>
      <c r="B558" s="25" t="s">
        <v>59</v>
      </c>
      <c r="C558" s="24" t="s">
        <v>109</v>
      </c>
      <c r="D558" s="24" t="s">
        <v>2618</v>
      </c>
      <c r="E558" s="24" t="s">
        <v>111</v>
      </c>
      <c r="F558" s="24" t="s">
        <v>2619</v>
      </c>
      <c r="G558" s="24" t="s">
        <v>2619</v>
      </c>
      <c r="H558" s="24"/>
      <c r="I558" s="25">
        <v>480</v>
      </c>
      <c r="J558" s="24"/>
      <c r="K558" s="24"/>
      <c r="L558" s="24"/>
      <c r="M558" s="24" t="s">
        <v>113</v>
      </c>
      <c r="N558" s="24" t="s">
        <v>102</v>
      </c>
      <c r="O558" s="25"/>
      <c r="P558" s="24"/>
      <c r="Q558" s="24"/>
      <c r="R558" s="24"/>
      <c r="S558" s="24"/>
      <c r="T558" s="24"/>
      <c r="U558" s="24"/>
      <c r="V558" s="24"/>
      <c r="W558" s="24">
        <v>480</v>
      </c>
      <c r="XDO558"/>
      <c r="XDP558"/>
      <c r="XDQ558"/>
      <c r="XDR558"/>
      <c r="XDS558"/>
    </row>
    <row r="559" s="21" customFormat="1" spans="1:16347">
      <c r="A559" s="24" t="s">
        <v>58</v>
      </c>
      <c r="B559" s="25" t="s">
        <v>59</v>
      </c>
      <c r="C559" s="24" t="s">
        <v>109</v>
      </c>
      <c r="D559" s="24" t="s">
        <v>2620</v>
      </c>
      <c r="E559" s="24" t="s">
        <v>111</v>
      </c>
      <c r="F559" s="24" t="s">
        <v>2621</v>
      </c>
      <c r="G559" s="24" t="s">
        <v>2621</v>
      </c>
      <c r="H559" s="24"/>
      <c r="I559" s="25">
        <v>480</v>
      </c>
      <c r="J559" s="24"/>
      <c r="K559" s="24"/>
      <c r="L559" s="24"/>
      <c r="M559" s="24" t="s">
        <v>2622</v>
      </c>
      <c r="N559" s="24" t="s">
        <v>102</v>
      </c>
      <c r="O559" s="25"/>
      <c r="P559" s="24"/>
      <c r="Q559" s="24"/>
      <c r="R559" s="24"/>
      <c r="S559" s="24"/>
      <c r="T559" s="24"/>
      <c r="U559" s="24"/>
      <c r="V559" s="24"/>
      <c r="W559" s="24">
        <v>480</v>
      </c>
      <c r="XDO559"/>
      <c r="XDP559"/>
      <c r="XDQ559"/>
      <c r="XDR559"/>
      <c r="XDS559"/>
    </row>
    <row r="560" s="21" customFormat="1" spans="1:16347">
      <c r="A560" s="24" t="s">
        <v>58</v>
      </c>
      <c r="B560" s="25" t="s">
        <v>59</v>
      </c>
      <c r="C560" s="24" t="s">
        <v>60</v>
      </c>
      <c r="D560" s="24" t="s">
        <v>2623</v>
      </c>
      <c r="E560" s="24" t="s">
        <v>2624</v>
      </c>
      <c r="F560" s="24" t="s">
        <v>2625</v>
      </c>
      <c r="G560" s="24" t="s">
        <v>2626</v>
      </c>
      <c r="H560" s="24"/>
      <c r="I560" s="25">
        <v>4.8</v>
      </c>
      <c r="J560" s="24" t="s">
        <v>65</v>
      </c>
      <c r="K560" s="24" t="s">
        <v>2627</v>
      </c>
      <c r="L560" s="24" t="s">
        <v>67</v>
      </c>
      <c r="M560" s="24" t="s">
        <v>241</v>
      </c>
      <c r="N560" s="24" t="s">
        <v>241</v>
      </c>
      <c r="O560" s="25">
        <v>2</v>
      </c>
      <c r="P560" s="24"/>
      <c r="Q560" s="24"/>
      <c r="R560" s="24"/>
      <c r="S560" s="24"/>
      <c r="T560" s="24"/>
      <c r="U560" s="24"/>
      <c r="V560" s="24">
        <v>2.8</v>
      </c>
      <c r="W560" s="24"/>
      <c r="XDO560"/>
      <c r="XDP560"/>
      <c r="XDQ560"/>
      <c r="XDR560"/>
      <c r="XDS560"/>
    </row>
    <row r="561" s="21" customFormat="1" spans="1:16347">
      <c r="A561" s="24" t="s">
        <v>58</v>
      </c>
      <c r="B561" s="25" t="s">
        <v>59</v>
      </c>
      <c r="C561" s="24" t="s">
        <v>60</v>
      </c>
      <c r="D561" s="24" t="s">
        <v>2628</v>
      </c>
      <c r="E561" s="24" t="s">
        <v>2629</v>
      </c>
      <c r="F561" s="24" t="s">
        <v>2630</v>
      </c>
      <c r="G561" s="24" t="s">
        <v>2631</v>
      </c>
      <c r="H561" s="24"/>
      <c r="I561" s="25">
        <v>6.5</v>
      </c>
      <c r="J561" s="24" t="s">
        <v>65</v>
      </c>
      <c r="K561" s="24" t="s">
        <v>2632</v>
      </c>
      <c r="L561" s="24" t="s">
        <v>67</v>
      </c>
      <c r="M561" s="24" t="s">
        <v>1782</v>
      </c>
      <c r="N561" s="24" t="s">
        <v>1782</v>
      </c>
      <c r="O561" s="25">
        <v>3</v>
      </c>
      <c r="P561" s="24"/>
      <c r="Q561" s="24"/>
      <c r="R561" s="24"/>
      <c r="S561" s="24"/>
      <c r="T561" s="24"/>
      <c r="U561" s="24"/>
      <c r="V561" s="24">
        <v>3.5</v>
      </c>
      <c r="W561" s="24"/>
      <c r="XDO561"/>
      <c r="XDP561"/>
      <c r="XDQ561"/>
      <c r="XDR561"/>
      <c r="XDS561"/>
    </row>
    <row r="562" s="21" customFormat="1" spans="1:16347">
      <c r="A562" s="24" t="s">
        <v>58</v>
      </c>
      <c r="B562" s="25" t="s">
        <v>59</v>
      </c>
      <c r="C562" s="24" t="s">
        <v>60</v>
      </c>
      <c r="D562" s="24" t="s">
        <v>2633</v>
      </c>
      <c r="E562" s="24" t="s">
        <v>2634</v>
      </c>
      <c r="F562" s="24" t="s">
        <v>2635</v>
      </c>
      <c r="G562" s="24" t="s">
        <v>2631</v>
      </c>
      <c r="H562" s="24"/>
      <c r="I562" s="25">
        <v>4.1</v>
      </c>
      <c r="J562" s="24" t="s">
        <v>65</v>
      </c>
      <c r="K562" s="24" t="s">
        <v>2636</v>
      </c>
      <c r="L562" s="24" t="s">
        <v>67</v>
      </c>
      <c r="M562" s="24" t="s">
        <v>189</v>
      </c>
      <c r="N562" s="24" t="s">
        <v>189</v>
      </c>
      <c r="O562" s="25">
        <v>0.7</v>
      </c>
      <c r="P562" s="24"/>
      <c r="Q562" s="24"/>
      <c r="R562" s="24"/>
      <c r="S562" s="24">
        <v>1</v>
      </c>
      <c r="T562" s="24"/>
      <c r="U562" s="24"/>
      <c r="V562" s="24">
        <v>2.4</v>
      </c>
      <c r="W562" s="24"/>
      <c r="XDO562"/>
      <c r="XDP562"/>
      <c r="XDQ562"/>
      <c r="XDR562"/>
      <c r="XDS562"/>
    </row>
    <row r="563" s="21" customFormat="1" spans="1:16347">
      <c r="A563" s="24" t="s">
        <v>58</v>
      </c>
      <c r="B563" s="25" t="s">
        <v>59</v>
      </c>
      <c r="C563" s="24" t="s">
        <v>60</v>
      </c>
      <c r="D563" s="24" t="s">
        <v>2637</v>
      </c>
      <c r="E563" s="24" t="s">
        <v>2638</v>
      </c>
      <c r="F563" s="24" t="s">
        <v>2639</v>
      </c>
      <c r="G563" s="24" t="s">
        <v>2640</v>
      </c>
      <c r="H563" s="24"/>
      <c r="I563" s="25">
        <v>3.6</v>
      </c>
      <c r="J563" s="24" t="s">
        <v>65</v>
      </c>
      <c r="K563" s="24" t="s">
        <v>2641</v>
      </c>
      <c r="L563" s="24" t="s">
        <v>67</v>
      </c>
      <c r="M563" s="24" t="s">
        <v>594</v>
      </c>
      <c r="N563" s="24" t="s">
        <v>594</v>
      </c>
      <c r="O563" s="25">
        <v>0.7</v>
      </c>
      <c r="P563" s="24"/>
      <c r="Q563" s="24"/>
      <c r="R563" s="24"/>
      <c r="S563" s="24">
        <v>0.5</v>
      </c>
      <c r="T563" s="24"/>
      <c r="U563" s="24"/>
      <c r="V563" s="24">
        <v>2.4</v>
      </c>
      <c r="W563" s="24"/>
      <c r="XDO563"/>
      <c r="XDP563"/>
      <c r="XDQ563"/>
      <c r="XDR563"/>
      <c r="XDS563"/>
    </row>
    <row r="564" s="21" customFormat="1" spans="1:16347">
      <c r="A564" s="24" t="s">
        <v>58</v>
      </c>
      <c r="B564" s="25" t="s">
        <v>59</v>
      </c>
      <c r="C564" s="24" t="s">
        <v>60</v>
      </c>
      <c r="D564" s="24" t="s">
        <v>2642</v>
      </c>
      <c r="E564" s="24" t="s">
        <v>2643</v>
      </c>
      <c r="F564" s="24" t="s">
        <v>2644</v>
      </c>
      <c r="G564" s="24" t="s">
        <v>2645</v>
      </c>
      <c r="H564" s="24"/>
      <c r="I564" s="25">
        <v>3.3</v>
      </c>
      <c r="J564" s="24" t="s">
        <v>65</v>
      </c>
      <c r="K564" s="24" t="s">
        <v>2646</v>
      </c>
      <c r="L564" s="24" t="s">
        <v>67</v>
      </c>
      <c r="M564" s="24" t="s">
        <v>946</v>
      </c>
      <c r="N564" s="24" t="s">
        <v>946</v>
      </c>
      <c r="O564" s="25">
        <v>0.5</v>
      </c>
      <c r="P564" s="24"/>
      <c r="Q564" s="24"/>
      <c r="R564" s="24"/>
      <c r="S564" s="24">
        <v>0.5</v>
      </c>
      <c r="T564" s="24"/>
      <c r="U564" s="24"/>
      <c r="V564" s="24">
        <v>2.3</v>
      </c>
      <c r="W564" s="24"/>
      <c r="XDO564"/>
      <c r="XDP564"/>
      <c r="XDQ564"/>
      <c r="XDR564"/>
      <c r="XDS564"/>
    </row>
    <row r="565" s="21" customFormat="1" spans="1:16347">
      <c r="A565" s="24" t="s">
        <v>58</v>
      </c>
      <c r="B565" s="25" t="s">
        <v>59</v>
      </c>
      <c r="C565" s="24" t="s">
        <v>60</v>
      </c>
      <c r="D565" s="24" t="s">
        <v>2647</v>
      </c>
      <c r="E565" s="24" t="s">
        <v>2648</v>
      </c>
      <c r="F565" s="24" t="s">
        <v>2649</v>
      </c>
      <c r="G565" s="24" t="s">
        <v>2650</v>
      </c>
      <c r="H565" s="24"/>
      <c r="I565" s="25">
        <v>6.5</v>
      </c>
      <c r="J565" s="24" t="s">
        <v>65</v>
      </c>
      <c r="K565" s="24" t="s">
        <v>2651</v>
      </c>
      <c r="L565" s="24" t="s">
        <v>67</v>
      </c>
      <c r="M565" s="24" t="s">
        <v>148</v>
      </c>
      <c r="N565" s="24" t="s">
        <v>148</v>
      </c>
      <c r="O565" s="25">
        <v>3</v>
      </c>
      <c r="P565" s="24"/>
      <c r="Q565" s="24"/>
      <c r="R565" s="24"/>
      <c r="S565" s="24"/>
      <c r="T565" s="24"/>
      <c r="U565" s="24"/>
      <c r="V565" s="24">
        <v>3.5</v>
      </c>
      <c r="W565" s="24"/>
      <c r="XDO565"/>
      <c r="XDP565"/>
      <c r="XDQ565"/>
      <c r="XDR565"/>
      <c r="XDS565"/>
    </row>
    <row r="566" s="21" customFormat="1" spans="1:16347">
      <c r="A566" s="24" t="s">
        <v>58</v>
      </c>
      <c r="B566" s="25" t="s">
        <v>59</v>
      </c>
      <c r="C566" s="24" t="s">
        <v>60</v>
      </c>
      <c r="D566" s="24" t="s">
        <v>2652</v>
      </c>
      <c r="E566" s="24" t="s">
        <v>2653</v>
      </c>
      <c r="F566" s="24" t="s">
        <v>2654</v>
      </c>
      <c r="G566" s="24" t="s">
        <v>2650</v>
      </c>
      <c r="H566" s="24"/>
      <c r="I566" s="25">
        <v>3.6</v>
      </c>
      <c r="J566" s="24" t="s">
        <v>65</v>
      </c>
      <c r="K566" s="24" t="s">
        <v>2655</v>
      </c>
      <c r="L566" s="24" t="s">
        <v>67</v>
      </c>
      <c r="M566" s="24" t="s">
        <v>594</v>
      </c>
      <c r="N566" s="24" t="s">
        <v>594</v>
      </c>
      <c r="O566" s="25">
        <v>0.7</v>
      </c>
      <c r="P566" s="24"/>
      <c r="Q566" s="24"/>
      <c r="R566" s="24"/>
      <c r="S566" s="24">
        <v>0.5</v>
      </c>
      <c r="T566" s="24"/>
      <c r="U566" s="24"/>
      <c r="V566" s="24">
        <v>2.4</v>
      </c>
      <c r="W566" s="24"/>
      <c r="XDO566"/>
      <c r="XDP566"/>
      <c r="XDQ566"/>
      <c r="XDR566"/>
      <c r="XDS566"/>
    </row>
    <row r="567" s="21" customFormat="1" spans="1:16347">
      <c r="A567" s="24" t="s">
        <v>58</v>
      </c>
      <c r="B567" s="25" t="s">
        <v>59</v>
      </c>
      <c r="C567" s="24" t="s">
        <v>60</v>
      </c>
      <c r="D567" s="24" t="s">
        <v>2656</v>
      </c>
      <c r="E567" s="24" t="s">
        <v>2657</v>
      </c>
      <c r="F567" s="24" t="s">
        <v>2658</v>
      </c>
      <c r="G567" s="24" t="s">
        <v>2645</v>
      </c>
      <c r="H567" s="24"/>
      <c r="I567" s="25">
        <v>4.1</v>
      </c>
      <c r="J567" s="24" t="s">
        <v>65</v>
      </c>
      <c r="K567" s="24" t="s">
        <v>2659</v>
      </c>
      <c r="L567" s="24" t="s">
        <v>67</v>
      </c>
      <c r="M567" s="24" t="s">
        <v>189</v>
      </c>
      <c r="N567" s="24" t="s">
        <v>189</v>
      </c>
      <c r="O567" s="25">
        <v>0.7</v>
      </c>
      <c r="P567" s="24"/>
      <c r="Q567" s="24"/>
      <c r="R567" s="24"/>
      <c r="S567" s="24">
        <v>1</v>
      </c>
      <c r="T567" s="24"/>
      <c r="U567" s="24"/>
      <c r="V567" s="24">
        <v>2.4</v>
      </c>
      <c r="W567" s="24"/>
      <c r="XDO567"/>
      <c r="XDP567"/>
      <c r="XDQ567"/>
      <c r="XDR567"/>
      <c r="XDS567"/>
    </row>
    <row r="568" s="21" customFormat="1" spans="1:16347">
      <c r="A568" s="24" t="s">
        <v>58</v>
      </c>
      <c r="B568" s="25" t="s">
        <v>59</v>
      </c>
      <c r="C568" s="24" t="s">
        <v>60</v>
      </c>
      <c r="D568" s="24" t="s">
        <v>2660</v>
      </c>
      <c r="E568" s="24" t="s">
        <v>2661</v>
      </c>
      <c r="F568" s="24" t="s">
        <v>2662</v>
      </c>
      <c r="G568" s="24" t="s">
        <v>2645</v>
      </c>
      <c r="H568" s="24"/>
      <c r="I568" s="25">
        <v>3.3</v>
      </c>
      <c r="J568" s="24" t="s">
        <v>65</v>
      </c>
      <c r="K568" s="24" t="s">
        <v>2663</v>
      </c>
      <c r="L568" s="24" t="s">
        <v>67</v>
      </c>
      <c r="M568" s="24" t="s">
        <v>2664</v>
      </c>
      <c r="N568" s="24" t="s">
        <v>2664</v>
      </c>
      <c r="O568" s="25">
        <v>0.5</v>
      </c>
      <c r="P568" s="24"/>
      <c r="Q568" s="24"/>
      <c r="R568" s="24"/>
      <c r="S568" s="24">
        <v>0.5</v>
      </c>
      <c r="T568" s="24"/>
      <c r="U568" s="24"/>
      <c r="V568" s="24">
        <v>2.3</v>
      </c>
      <c r="W568" s="24"/>
      <c r="XDO568"/>
      <c r="XDP568"/>
      <c r="XDQ568"/>
      <c r="XDR568"/>
      <c r="XDS568"/>
    </row>
    <row r="569" s="21" customFormat="1" spans="1:16347">
      <c r="A569" s="24" t="s">
        <v>58</v>
      </c>
      <c r="B569" s="25" t="s">
        <v>59</v>
      </c>
      <c r="C569" s="24" t="s">
        <v>60</v>
      </c>
      <c r="D569" s="24" t="s">
        <v>2665</v>
      </c>
      <c r="E569" s="24" t="s">
        <v>2666</v>
      </c>
      <c r="F569" s="24" t="s">
        <v>2667</v>
      </c>
      <c r="G569" s="24" t="s">
        <v>2668</v>
      </c>
      <c r="H569" s="24"/>
      <c r="I569" s="25">
        <v>3.6</v>
      </c>
      <c r="J569" s="24" t="s">
        <v>65</v>
      </c>
      <c r="K569" s="24" t="s">
        <v>2669</v>
      </c>
      <c r="L569" s="24" t="s">
        <v>67</v>
      </c>
      <c r="M569" s="24" t="s">
        <v>200</v>
      </c>
      <c r="N569" s="24" t="s">
        <v>200</v>
      </c>
      <c r="O569" s="25">
        <v>0.7</v>
      </c>
      <c r="P569" s="24"/>
      <c r="Q569" s="24"/>
      <c r="R569" s="24"/>
      <c r="S569" s="24">
        <v>0.5</v>
      </c>
      <c r="T569" s="24"/>
      <c r="U569" s="24"/>
      <c r="V569" s="24">
        <v>2.4</v>
      </c>
      <c r="W569" s="24"/>
      <c r="XDO569"/>
      <c r="XDP569"/>
      <c r="XDQ569"/>
      <c r="XDR569"/>
      <c r="XDS569"/>
    </row>
    <row r="570" s="21" customFormat="1" spans="1:16347">
      <c r="A570" s="24" t="s">
        <v>58</v>
      </c>
      <c r="B570" s="25" t="s">
        <v>59</v>
      </c>
      <c r="C570" s="24" t="s">
        <v>60</v>
      </c>
      <c r="D570" s="24" t="s">
        <v>2670</v>
      </c>
      <c r="E570" s="24" t="s">
        <v>2671</v>
      </c>
      <c r="F570" s="24" t="s">
        <v>2672</v>
      </c>
      <c r="G570" s="24" t="s">
        <v>2650</v>
      </c>
      <c r="H570" s="24"/>
      <c r="I570" s="25">
        <v>6</v>
      </c>
      <c r="J570" s="24" t="s">
        <v>65</v>
      </c>
      <c r="K570" s="24" t="s">
        <v>2673</v>
      </c>
      <c r="L570" s="24" t="s">
        <v>67</v>
      </c>
      <c r="M570" s="24" t="s">
        <v>2674</v>
      </c>
      <c r="N570" s="24" t="s">
        <v>2674</v>
      </c>
      <c r="O570" s="25">
        <v>2</v>
      </c>
      <c r="P570" s="24"/>
      <c r="Q570" s="24"/>
      <c r="R570" s="24"/>
      <c r="S570" s="24">
        <v>0.5</v>
      </c>
      <c r="T570" s="24"/>
      <c r="U570" s="24"/>
      <c r="V570" s="24">
        <v>3.5</v>
      </c>
      <c r="W570" s="24"/>
      <c r="XDO570"/>
      <c r="XDP570"/>
      <c r="XDQ570"/>
      <c r="XDR570"/>
      <c r="XDS570"/>
    </row>
    <row r="571" s="21" customFormat="1" spans="1:16347">
      <c r="A571" s="24" t="s">
        <v>58</v>
      </c>
      <c r="B571" s="25" t="s">
        <v>59</v>
      </c>
      <c r="C571" s="24" t="s">
        <v>60</v>
      </c>
      <c r="D571" s="24" t="s">
        <v>2675</v>
      </c>
      <c r="E571" s="24" t="s">
        <v>2676</v>
      </c>
      <c r="F571" s="24" t="s">
        <v>2677</v>
      </c>
      <c r="G571" s="24" t="s">
        <v>2678</v>
      </c>
      <c r="H571" s="24"/>
      <c r="I571" s="25">
        <v>2.8</v>
      </c>
      <c r="J571" s="24" t="s">
        <v>65</v>
      </c>
      <c r="K571" s="24" t="s">
        <v>2679</v>
      </c>
      <c r="L571" s="24" t="s">
        <v>67</v>
      </c>
      <c r="M571" s="24" t="s">
        <v>672</v>
      </c>
      <c r="N571" s="24" t="s">
        <v>672</v>
      </c>
      <c r="O571" s="25">
        <v>0.5</v>
      </c>
      <c r="P571" s="24"/>
      <c r="Q571" s="24"/>
      <c r="R571" s="24"/>
      <c r="S571" s="24"/>
      <c r="T571" s="24"/>
      <c r="U571" s="24"/>
      <c r="V571" s="24">
        <v>2.3</v>
      </c>
      <c r="W571" s="24"/>
      <c r="XDO571"/>
      <c r="XDP571"/>
      <c r="XDQ571"/>
      <c r="XDR571"/>
      <c r="XDS571"/>
    </row>
    <row r="572" s="21" customFormat="1" spans="1:16347">
      <c r="A572" s="24" t="s">
        <v>58</v>
      </c>
      <c r="B572" s="25" t="s">
        <v>59</v>
      </c>
      <c r="C572" s="24" t="s">
        <v>60</v>
      </c>
      <c r="D572" s="24" t="s">
        <v>2680</v>
      </c>
      <c r="E572" s="24" t="s">
        <v>2681</v>
      </c>
      <c r="F572" s="24" t="s">
        <v>2682</v>
      </c>
      <c r="G572" s="24" t="s">
        <v>2678</v>
      </c>
      <c r="H572" s="24"/>
      <c r="I572" s="25">
        <v>2.8</v>
      </c>
      <c r="J572" s="24" t="s">
        <v>65</v>
      </c>
      <c r="K572" s="24" t="s">
        <v>2683</v>
      </c>
      <c r="L572" s="24" t="s">
        <v>67</v>
      </c>
      <c r="M572" s="24" t="s">
        <v>1246</v>
      </c>
      <c r="N572" s="24" t="s">
        <v>1246</v>
      </c>
      <c r="O572" s="25">
        <v>0.5</v>
      </c>
      <c r="P572" s="24"/>
      <c r="Q572" s="24"/>
      <c r="R572" s="24"/>
      <c r="S572" s="24"/>
      <c r="T572" s="24"/>
      <c r="U572" s="24"/>
      <c r="V572" s="24">
        <v>2.3</v>
      </c>
      <c r="W572" s="24"/>
      <c r="XDO572"/>
      <c r="XDP572"/>
      <c r="XDQ572"/>
      <c r="XDR572"/>
      <c r="XDS572"/>
    </row>
    <row r="573" s="21" customFormat="1" spans="1:16347">
      <c r="A573" s="24" t="s">
        <v>58</v>
      </c>
      <c r="B573" s="25" t="s">
        <v>59</v>
      </c>
      <c r="C573" s="24" t="s">
        <v>60</v>
      </c>
      <c r="D573" s="24" t="s">
        <v>2684</v>
      </c>
      <c r="E573" s="24" t="s">
        <v>2685</v>
      </c>
      <c r="F573" s="24" t="s">
        <v>2686</v>
      </c>
      <c r="G573" s="24" t="s">
        <v>2678</v>
      </c>
      <c r="H573" s="24"/>
      <c r="I573" s="25">
        <v>2.8</v>
      </c>
      <c r="J573" s="24" t="s">
        <v>65</v>
      </c>
      <c r="K573" s="24" t="s">
        <v>2687</v>
      </c>
      <c r="L573" s="24" t="s">
        <v>67</v>
      </c>
      <c r="M573" s="24" t="s">
        <v>672</v>
      </c>
      <c r="N573" s="24" t="s">
        <v>672</v>
      </c>
      <c r="O573" s="25">
        <v>0.5</v>
      </c>
      <c r="P573" s="24"/>
      <c r="Q573" s="24"/>
      <c r="R573" s="24"/>
      <c r="S573" s="24"/>
      <c r="T573" s="24"/>
      <c r="U573" s="24"/>
      <c r="V573" s="24">
        <v>2.3</v>
      </c>
      <c r="W573" s="24"/>
      <c r="XDO573"/>
      <c r="XDP573"/>
      <c r="XDQ573"/>
      <c r="XDR573"/>
      <c r="XDS573"/>
    </row>
    <row r="574" s="21" customFormat="1" spans="1:16347">
      <c r="A574" s="24" t="s">
        <v>58</v>
      </c>
      <c r="B574" s="25" t="s">
        <v>59</v>
      </c>
      <c r="C574" s="24" t="s">
        <v>60</v>
      </c>
      <c r="D574" s="24" t="s">
        <v>2688</v>
      </c>
      <c r="E574" s="24" t="s">
        <v>2689</v>
      </c>
      <c r="F574" s="24" t="s">
        <v>2690</v>
      </c>
      <c r="G574" s="24" t="s">
        <v>2678</v>
      </c>
      <c r="H574" s="24"/>
      <c r="I574" s="25">
        <v>3.1</v>
      </c>
      <c r="J574" s="24" t="s">
        <v>65</v>
      </c>
      <c r="K574" s="24" t="s">
        <v>2691</v>
      </c>
      <c r="L574" s="24" t="s">
        <v>67</v>
      </c>
      <c r="M574" s="24" t="s">
        <v>200</v>
      </c>
      <c r="N574" s="24" t="s">
        <v>200</v>
      </c>
      <c r="O574" s="25">
        <v>0.7</v>
      </c>
      <c r="P574" s="24"/>
      <c r="Q574" s="24"/>
      <c r="R574" s="24"/>
      <c r="S574" s="24"/>
      <c r="T574" s="24"/>
      <c r="U574" s="24"/>
      <c r="V574" s="24">
        <v>2.4</v>
      </c>
      <c r="W574" s="24"/>
      <c r="XDO574"/>
      <c r="XDP574"/>
      <c r="XDQ574"/>
      <c r="XDR574"/>
      <c r="XDS574"/>
    </row>
    <row r="575" s="21" customFormat="1" spans="1:16347">
      <c r="A575" s="24" t="s">
        <v>58</v>
      </c>
      <c r="B575" s="25" t="s">
        <v>59</v>
      </c>
      <c r="C575" s="24" t="s">
        <v>60</v>
      </c>
      <c r="D575" s="24" t="s">
        <v>2692</v>
      </c>
      <c r="E575" s="24" t="s">
        <v>2693</v>
      </c>
      <c r="F575" s="24" t="s">
        <v>2694</v>
      </c>
      <c r="G575" s="24" t="s">
        <v>2695</v>
      </c>
      <c r="H575" s="24"/>
      <c r="I575" s="25">
        <v>2.8</v>
      </c>
      <c r="J575" s="24" t="s">
        <v>65</v>
      </c>
      <c r="K575" s="24" t="s">
        <v>2696</v>
      </c>
      <c r="L575" s="24" t="s">
        <v>67</v>
      </c>
      <c r="M575" s="24" t="s">
        <v>137</v>
      </c>
      <c r="N575" s="24" t="s">
        <v>137</v>
      </c>
      <c r="O575" s="25">
        <v>0.5</v>
      </c>
      <c r="P575" s="24"/>
      <c r="Q575" s="24"/>
      <c r="R575" s="24"/>
      <c r="S575" s="24"/>
      <c r="T575" s="24"/>
      <c r="U575" s="24"/>
      <c r="V575" s="24">
        <v>2.3</v>
      </c>
      <c r="W575" s="24"/>
      <c r="XDO575"/>
      <c r="XDP575"/>
      <c r="XDQ575"/>
      <c r="XDR575"/>
      <c r="XDS575"/>
    </row>
    <row r="576" s="21" customFormat="1" spans="1:16347">
      <c r="A576" s="24" t="s">
        <v>58</v>
      </c>
      <c r="B576" s="25" t="s">
        <v>59</v>
      </c>
      <c r="C576" s="24" t="s">
        <v>60</v>
      </c>
      <c r="D576" s="24" t="s">
        <v>2697</v>
      </c>
      <c r="E576" s="24" t="s">
        <v>2698</v>
      </c>
      <c r="F576" s="24" t="s">
        <v>2699</v>
      </c>
      <c r="G576" s="24" t="s">
        <v>2700</v>
      </c>
      <c r="H576" s="24"/>
      <c r="I576" s="25">
        <v>4.2</v>
      </c>
      <c r="J576" s="24" t="s">
        <v>65</v>
      </c>
      <c r="K576" s="24" t="s">
        <v>2701</v>
      </c>
      <c r="L576" s="24" t="s">
        <v>67</v>
      </c>
      <c r="M576" s="24" t="s">
        <v>241</v>
      </c>
      <c r="N576" s="24" t="s">
        <v>241</v>
      </c>
      <c r="O576" s="25">
        <v>1.4</v>
      </c>
      <c r="P576" s="24"/>
      <c r="Q576" s="24"/>
      <c r="R576" s="24"/>
      <c r="S576" s="24"/>
      <c r="T576" s="24"/>
      <c r="U576" s="24"/>
      <c r="V576" s="24">
        <v>2.8</v>
      </c>
      <c r="W576" s="24"/>
      <c r="XDO576"/>
      <c r="XDP576"/>
      <c r="XDQ576"/>
      <c r="XDR576"/>
      <c r="XDS576"/>
    </row>
    <row r="577" s="21" customFormat="1" spans="1:16347">
      <c r="A577" s="24" t="s">
        <v>58</v>
      </c>
      <c r="B577" s="25" t="s">
        <v>59</v>
      </c>
      <c r="C577" s="24" t="s">
        <v>60</v>
      </c>
      <c r="D577" s="24" t="s">
        <v>2702</v>
      </c>
      <c r="E577" s="24" t="s">
        <v>2703</v>
      </c>
      <c r="F577" s="24" t="s">
        <v>2704</v>
      </c>
      <c r="G577" s="24" t="s">
        <v>2705</v>
      </c>
      <c r="H577" s="24"/>
      <c r="I577" s="25">
        <v>2.8</v>
      </c>
      <c r="J577" s="24" t="s">
        <v>65</v>
      </c>
      <c r="K577" s="24" t="s">
        <v>2706</v>
      </c>
      <c r="L577" s="24" t="s">
        <v>67</v>
      </c>
      <c r="M577" s="24" t="s">
        <v>137</v>
      </c>
      <c r="N577" s="24" t="s">
        <v>137</v>
      </c>
      <c r="O577" s="25">
        <v>0.5</v>
      </c>
      <c r="P577" s="24"/>
      <c r="Q577" s="24"/>
      <c r="R577" s="24"/>
      <c r="S577" s="24"/>
      <c r="T577" s="24"/>
      <c r="U577" s="24"/>
      <c r="V577" s="24">
        <v>2.3</v>
      </c>
      <c r="W577" s="24"/>
      <c r="XDO577"/>
      <c r="XDP577"/>
      <c r="XDQ577"/>
      <c r="XDR577"/>
      <c r="XDS577"/>
    </row>
    <row r="578" s="21" customFormat="1" spans="1:16347">
      <c r="A578" s="24" t="s">
        <v>58</v>
      </c>
      <c r="B578" s="25" t="s">
        <v>59</v>
      </c>
      <c r="C578" s="24" t="s">
        <v>60</v>
      </c>
      <c r="D578" s="24" t="s">
        <v>2707</v>
      </c>
      <c r="E578" s="24" t="s">
        <v>2708</v>
      </c>
      <c r="F578" s="24" t="s">
        <v>2709</v>
      </c>
      <c r="G578" s="24" t="s">
        <v>2710</v>
      </c>
      <c r="H578" s="24"/>
      <c r="I578" s="25">
        <v>5.8</v>
      </c>
      <c r="J578" s="24" t="s">
        <v>65</v>
      </c>
      <c r="K578" s="24" t="s">
        <v>2711</v>
      </c>
      <c r="L578" s="24" t="s">
        <v>67</v>
      </c>
      <c r="M578" s="24" t="s">
        <v>2234</v>
      </c>
      <c r="N578" s="24" t="s">
        <v>2234</v>
      </c>
      <c r="O578" s="25">
        <v>3</v>
      </c>
      <c r="P578" s="24"/>
      <c r="Q578" s="24"/>
      <c r="R578" s="24"/>
      <c r="S578" s="24"/>
      <c r="T578" s="24"/>
      <c r="U578" s="24"/>
      <c r="V578" s="24">
        <v>2.8</v>
      </c>
      <c r="W578" s="24"/>
      <c r="XDO578"/>
      <c r="XDP578"/>
      <c r="XDQ578"/>
      <c r="XDR578"/>
      <c r="XDS578"/>
    </row>
    <row r="579" s="21" customFormat="1" spans="1:16347">
      <c r="A579" s="24" t="s">
        <v>58</v>
      </c>
      <c r="B579" s="25" t="s">
        <v>59</v>
      </c>
      <c r="C579" s="24" t="s">
        <v>60</v>
      </c>
      <c r="D579" s="24" t="s">
        <v>2712</v>
      </c>
      <c r="E579" s="24" t="s">
        <v>2713</v>
      </c>
      <c r="F579" s="24" t="s">
        <v>2714</v>
      </c>
      <c r="G579" s="24" t="s">
        <v>2705</v>
      </c>
      <c r="H579" s="24"/>
      <c r="I579" s="25">
        <v>2.8</v>
      </c>
      <c r="J579" s="24" t="s">
        <v>65</v>
      </c>
      <c r="K579" s="24" t="s">
        <v>2715</v>
      </c>
      <c r="L579" s="24" t="s">
        <v>67</v>
      </c>
      <c r="M579" s="24" t="s">
        <v>137</v>
      </c>
      <c r="N579" s="24" t="s">
        <v>137</v>
      </c>
      <c r="O579" s="25">
        <v>0.5</v>
      </c>
      <c r="P579" s="24"/>
      <c r="Q579" s="24"/>
      <c r="R579" s="24"/>
      <c r="S579" s="24"/>
      <c r="T579" s="24"/>
      <c r="U579" s="24"/>
      <c r="V579" s="24">
        <v>2.3</v>
      </c>
      <c r="W579" s="24"/>
      <c r="XDO579"/>
      <c r="XDP579"/>
      <c r="XDQ579"/>
      <c r="XDR579"/>
      <c r="XDS579"/>
    </row>
    <row r="580" s="21" customFormat="1" spans="1:16347">
      <c r="A580" s="24" t="s">
        <v>58</v>
      </c>
      <c r="B580" s="25" t="s">
        <v>59</v>
      </c>
      <c r="C580" s="24" t="s">
        <v>2716</v>
      </c>
      <c r="D580" s="24" t="s">
        <v>2717</v>
      </c>
      <c r="E580" s="24" t="s">
        <v>2718</v>
      </c>
      <c r="F580" s="24" t="s">
        <v>2719</v>
      </c>
      <c r="G580" s="24" t="s">
        <v>2720</v>
      </c>
      <c r="H580" s="24"/>
      <c r="I580" s="25">
        <v>10.729</v>
      </c>
      <c r="J580" s="24"/>
      <c r="K580" s="24"/>
      <c r="L580" s="24" t="s">
        <v>2721</v>
      </c>
      <c r="M580" s="24" t="s">
        <v>102</v>
      </c>
      <c r="N580" s="24" t="s">
        <v>102</v>
      </c>
      <c r="O580" s="25"/>
      <c r="P580" s="24">
        <v>10.729</v>
      </c>
      <c r="Q580" s="24"/>
      <c r="R580" s="24"/>
      <c r="S580" s="24"/>
      <c r="T580" s="24"/>
      <c r="U580" s="24"/>
      <c r="V580" s="24"/>
      <c r="W580" s="24"/>
      <c r="XDO580"/>
      <c r="XDP580"/>
      <c r="XDQ580"/>
      <c r="XDR580"/>
      <c r="XDS580"/>
    </row>
    <row r="581" s="21" customFormat="1" spans="1:16347">
      <c r="A581" s="24" t="s">
        <v>58</v>
      </c>
      <c r="B581" s="25" t="s">
        <v>59</v>
      </c>
      <c r="C581" s="24" t="s">
        <v>60</v>
      </c>
      <c r="D581" s="35" t="s">
        <v>2722</v>
      </c>
      <c r="E581" s="24" t="s">
        <v>2723</v>
      </c>
      <c r="F581" s="24" t="s">
        <v>2724</v>
      </c>
      <c r="G581" s="24" t="s">
        <v>2705</v>
      </c>
      <c r="H581" s="24"/>
      <c r="I581" s="25">
        <v>2.8</v>
      </c>
      <c r="J581" s="24" t="s">
        <v>65</v>
      </c>
      <c r="K581" s="24" t="s">
        <v>2725</v>
      </c>
      <c r="L581" s="24" t="s">
        <v>67</v>
      </c>
      <c r="M581" s="24" t="s">
        <v>209</v>
      </c>
      <c r="N581" s="24" t="s">
        <v>209</v>
      </c>
      <c r="O581" s="25">
        <v>0.5</v>
      </c>
      <c r="P581" s="24"/>
      <c r="Q581" s="24"/>
      <c r="R581" s="24"/>
      <c r="S581" s="24"/>
      <c r="T581" s="24"/>
      <c r="U581" s="24"/>
      <c r="V581" s="24">
        <v>2.3</v>
      </c>
      <c r="W581" s="24"/>
      <c r="XDO581"/>
      <c r="XDP581"/>
      <c r="XDQ581"/>
      <c r="XDR581"/>
      <c r="XDS581"/>
    </row>
    <row r="582" s="21" customFormat="1" spans="1:16347">
      <c r="A582" s="24" t="s">
        <v>58</v>
      </c>
      <c r="B582" s="25" t="s">
        <v>59</v>
      </c>
      <c r="C582" s="24" t="s">
        <v>60</v>
      </c>
      <c r="D582" s="35" t="s">
        <v>2726</v>
      </c>
      <c r="E582" s="24" t="s">
        <v>2727</v>
      </c>
      <c r="F582" s="24" t="s">
        <v>2728</v>
      </c>
      <c r="G582" s="24" t="s">
        <v>2705</v>
      </c>
      <c r="H582" s="24"/>
      <c r="I582" s="25">
        <v>3</v>
      </c>
      <c r="J582" s="24" t="s">
        <v>65</v>
      </c>
      <c r="K582" s="24" t="s">
        <v>2729</v>
      </c>
      <c r="L582" s="24" t="s">
        <v>67</v>
      </c>
      <c r="M582" s="24" t="s">
        <v>1261</v>
      </c>
      <c r="N582" s="24" t="s">
        <v>1261</v>
      </c>
      <c r="O582" s="25">
        <v>0.7</v>
      </c>
      <c r="P582" s="24"/>
      <c r="Q582" s="24"/>
      <c r="R582" s="24"/>
      <c r="S582" s="24"/>
      <c r="T582" s="24"/>
      <c r="U582" s="24"/>
      <c r="V582" s="24">
        <v>2.3</v>
      </c>
      <c r="W582" s="24"/>
      <c r="XDO582"/>
      <c r="XDP582"/>
      <c r="XDQ582"/>
      <c r="XDR582"/>
      <c r="XDS582"/>
    </row>
    <row r="583" s="21" customFormat="1" spans="1:16347">
      <c r="A583" s="24" t="s">
        <v>58</v>
      </c>
      <c r="B583" s="25" t="s">
        <v>59</v>
      </c>
      <c r="C583" s="24" t="s">
        <v>60</v>
      </c>
      <c r="D583" s="35" t="s">
        <v>2730</v>
      </c>
      <c r="E583" s="24" t="s">
        <v>2731</v>
      </c>
      <c r="F583" s="24" t="s">
        <v>2732</v>
      </c>
      <c r="G583" s="24" t="s">
        <v>2733</v>
      </c>
      <c r="H583" s="24"/>
      <c r="I583" s="25">
        <v>3</v>
      </c>
      <c r="J583" s="24" t="s">
        <v>1188</v>
      </c>
      <c r="K583" s="24" t="s">
        <v>2734</v>
      </c>
      <c r="L583" s="24" t="s">
        <v>67</v>
      </c>
      <c r="M583" s="24" t="s">
        <v>209</v>
      </c>
      <c r="N583" s="24" t="s">
        <v>209</v>
      </c>
      <c r="O583" s="25">
        <v>0.5</v>
      </c>
      <c r="P583" s="24"/>
      <c r="Q583" s="24"/>
      <c r="R583" s="24"/>
      <c r="S583" s="24"/>
      <c r="T583" s="24"/>
      <c r="U583" s="24"/>
      <c r="V583" s="24">
        <v>2.5</v>
      </c>
      <c r="W583" s="24"/>
      <c r="XDO583"/>
      <c r="XDP583"/>
      <c r="XDQ583"/>
      <c r="XDR583"/>
      <c r="XDS583"/>
    </row>
    <row r="584" s="21" customFormat="1" spans="1:16347">
      <c r="A584" s="24" t="s">
        <v>58</v>
      </c>
      <c r="B584" s="25" t="s">
        <v>59</v>
      </c>
      <c r="C584" s="24" t="s">
        <v>60</v>
      </c>
      <c r="D584" s="35" t="s">
        <v>2735</v>
      </c>
      <c r="E584" s="24" t="s">
        <v>2736</v>
      </c>
      <c r="F584" s="24" t="s">
        <v>2737</v>
      </c>
      <c r="G584" s="24" t="s">
        <v>2738</v>
      </c>
      <c r="H584" s="24"/>
      <c r="I584" s="25">
        <v>4.8</v>
      </c>
      <c r="J584" s="24" t="s">
        <v>65</v>
      </c>
      <c r="K584" s="24" t="s">
        <v>2739</v>
      </c>
      <c r="L584" s="24" t="s">
        <v>67</v>
      </c>
      <c r="M584" s="24" t="s">
        <v>241</v>
      </c>
      <c r="N584" s="24" t="s">
        <v>241</v>
      </c>
      <c r="O584" s="25">
        <v>2</v>
      </c>
      <c r="P584" s="24"/>
      <c r="Q584" s="24"/>
      <c r="R584" s="24"/>
      <c r="S584" s="24"/>
      <c r="T584" s="24"/>
      <c r="U584" s="24"/>
      <c r="V584" s="24">
        <v>2.8</v>
      </c>
      <c r="W584" s="24"/>
      <c r="XDO584"/>
      <c r="XDP584"/>
      <c r="XDQ584"/>
      <c r="XDR584"/>
      <c r="XDS584"/>
    </row>
    <row r="585" s="21" customFormat="1" spans="1:16347">
      <c r="A585" s="24" t="s">
        <v>58</v>
      </c>
      <c r="B585" s="25" t="s">
        <v>59</v>
      </c>
      <c r="C585" s="24" t="s">
        <v>60</v>
      </c>
      <c r="D585" s="35" t="s">
        <v>2740</v>
      </c>
      <c r="E585" s="24" t="s">
        <v>2741</v>
      </c>
      <c r="F585" s="24" t="s">
        <v>2742</v>
      </c>
      <c r="G585" s="24" t="s">
        <v>2743</v>
      </c>
      <c r="H585" s="24"/>
      <c r="I585" s="25">
        <v>2.8</v>
      </c>
      <c r="J585" s="24" t="s">
        <v>65</v>
      </c>
      <c r="K585" s="24" t="s">
        <v>2744</v>
      </c>
      <c r="L585" s="24" t="s">
        <v>67</v>
      </c>
      <c r="M585" s="24" t="s">
        <v>209</v>
      </c>
      <c r="N585" s="24" t="s">
        <v>209</v>
      </c>
      <c r="O585" s="25">
        <v>0.5</v>
      </c>
      <c r="P585" s="24"/>
      <c r="Q585" s="24"/>
      <c r="R585" s="24"/>
      <c r="S585" s="24"/>
      <c r="T585" s="24"/>
      <c r="U585" s="24"/>
      <c r="V585" s="24">
        <v>2.3</v>
      </c>
      <c r="W585" s="24"/>
      <c r="XDO585"/>
      <c r="XDP585"/>
      <c r="XDQ585"/>
      <c r="XDR585"/>
      <c r="XDS585"/>
    </row>
    <row r="586" s="21" customFormat="1" spans="1:16347">
      <c r="A586" s="24" t="s">
        <v>58</v>
      </c>
      <c r="B586" s="25" t="s">
        <v>59</v>
      </c>
      <c r="C586" s="24" t="s">
        <v>2716</v>
      </c>
      <c r="D586" s="24" t="s">
        <v>2745</v>
      </c>
      <c r="E586" s="24" t="s">
        <v>2746</v>
      </c>
      <c r="F586" s="24" t="s">
        <v>2747</v>
      </c>
      <c r="G586" s="24" t="s">
        <v>2748</v>
      </c>
      <c r="H586" s="24"/>
      <c r="I586" s="25">
        <v>11.987</v>
      </c>
      <c r="J586" s="24"/>
      <c r="K586" s="24"/>
      <c r="L586" s="24" t="s">
        <v>2721</v>
      </c>
      <c r="M586" s="24" t="s">
        <v>102</v>
      </c>
      <c r="N586" s="24" t="s">
        <v>102</v>
      </c>
      <c r="O586" s="25"/>
      <c r="P586" s="24">
        <v>11.987</v>
      </c>
      <c r="Q586" s="24"/>
      <c r="R586" s="24"/>
      <c r="S586" s="24"/>
      <c r="T586" s="24"/>
      <c r="U586" s="24"/>
      <c r="V586" s="24"/>
      <c r="W586" s="24"/>
      <c r="XDO586"/>
      <c r="XDP586"/>
      <c r="XDQ586"/>
      <c r="XDR586"/>
      <c r="XDS586"/>
    </row>
    <row r="587" s="21" customFormat="1" spans="1:16347">
      <c r="A587" s="24" t="s">
        <v>58</v>
      </c>
      <c r="B587" s="25" t="s">
        <v>59</v>
      </c>
      <c r="C587" s="24" t="s">
        <v>2716</v>
      </c>
      <c r="D587" s="24" t="s">
        <v>2749</v>
      </c>
      <c r="E587" s="24" t="s">
        <v>2750</v>
      </c>
      <c r="F587" s="24" t="s">
        <v>2751</v>
      </c>
      <c r="G587" s="24" t="s">
        <v>2748</v>
      </c>
      <c r="H587" s="24"/>
      <c r="I587" s="25">
        <v>11.917</v>
      </c>
      <c r="J587" s="24"/>
      <c r="K587" s="24"/>
      <c r="L587" s="24" t="s">
        <v>2721</v>
      </c>
      <c r="M587" s="24" t="s">
        <v>102</v>
      </c>
      <c r="N587" s="24" t="s">
        <v>102</v>
      </c>
      <c r="O587" s="25"/>
      <c r="P587" s="24">
        <v>11.917</v>
      </c>
      <c r="Q587" s="24"/>
      <c r="R587" s="24"/>
      <c r="S587" s="24"/>
      <c r="T587" s="24"/>
      <c r="U587" s="24"/>
      <c r="V587" s="24"/>
      <c r="W587" s="24"/>
      <c r="XDO587"/>
      <c r="XDP587"/>
      <c r="XDQ587"/>
      <c r="XDR587"/>
      <c r="XDS587"/>
    </row>
    <row r="588" s="21" customFormat="1" spans="1:16347">
      <c r="A588" s="24" t="s">
        <v>58</v>
      </c>
      <c r="B588" s="25" t="s">
        <v>59</v>
      </c>
      <c r="C588" s="24" t="s">
        <v>2716</v>
      </c>
      <c r="D588" s="24" t="s">
        <v>2752</v>
      </c>
      <c r="E588" s="24" t="s">
        <v>2753</v>
      </c>
      <c r="F588" s="24" t="s">
        <v>2754</v>
      </c>
      <c r="G588" s="24" t="s">
        <v>2748</v>
      </c>
      <c r="H588" s="24"/>
      <c r="I588" s="25">
        <v>11.44</v>
      </c>
      <c r="J588" s="24"/>
      <c r="K588" s="24"/>
      <c r="L588" s="24" t="s">
        <v>2721</v>
      </c>
      <c r="M588" s="24" t="s">
        <v>102</v>
      </c>
      <c r="N588" s="24" t="s">
        <v>102</v>
      </c>
      <c r="O588" s="25"/>
      <c r="P588" s="24">
        <v>11.44</v>
      </c>
      <c r="Q588" s="24"/>
      <c r="R588" s="24"/>
      <c r="S588" s="24"/>
      <c r="T588" s="24"/>
      <c r="U588" s="24"/>
      <c r="V588" s="24"/>
      <c r="W588" s="24"/>
      <c r="XDO588"/>
      <c r="XDP588"/>
      <c r="XDQ588"/>
      <c r="XDR588"/>
      <c r="XDS588"/>
    </row>
    <row r="589" s="21" customFormat="1" spans="1:16347">
      <c r="A589" s="24" t="s">
        <v>58</v>
      </c>
      <c r="B589" s="25" t="s">
        <v>59</v>
      </c>
      <c r="C589" s="24" t="s">
        <v>2716</v>
      </c>
      <c r="D589" s="24" t="s">
        <v>2755</v>
      </c>
      <c r="E589" s="24" t="s">
        <v>2756</v>
      </c>
      <c r="F589" s="24" t="s">
        <v>2757</v>
      </c>
      <c r="G589" s="24" t="s">
        <v>2748</v>
      </c>
      <c r="H589" s="24"/>
      <c r="I589" s="25">
        <v>11.34</v>
      </c>
      <c r="J589" s="24"/>
      <c r="K589" s="24"/>
      <c r="L589" s="24" t="s">
        <v>2721</v>
      </c>
      <c r="M589" s="24" t="s">
        <v>102</v>
      </c>
      <c r="N589" s="24" t="s">
        <v>102</v>
      </c>
      <c r="O589" s="25"/>
      <c r="P589" s="24">
        <v>11.34</v>
      </c>
      <c r="Q589" s="24"/>
      <c r="R589" s="24"/>
      <c r="S589" s="24"/>
      <c r="T589" s="24"/>
      <c r="U589" s="24"/>
      <c r="V589" s="24"/>
      <c r="W589" s="24"/>
      <c r="XDO589"/>
      <c r="XDP589"/>
      <c r="XDQ589"/>
      <c r="XDR589"/>
      <c r="XDS589"/>
    </row>
    <row r="590" s="21" customFormat="1" spans="1:16347">
      <c r="A590" s="24" t="s">
        <v>58</v>
      </c>
      <c r="B590" s="25" t="s">
        <v>59</v>
      </c>
      <c r="C590" s="24" t="s">
        <v>2716</v>
      </c>
      <c r="D590" s="24" t="s">
        <v>2758</v>
      </c>
      <c r="E590" s="24" t="s">
        <v>2759</v>
      </c>
      <c r="F590" s="24" t="s">
        <v>2760</v>
      </c>
      <c r="G590" s="24" t="s">
        <v>2761</v>
      </c>
      <c r="H590" s="24"/>
      <c r="I590" s="25">
        <v>11.186</v>
      </c>
      <c r="J590" s="24"/>
      <c r="K590" s="24"/>
      <c r="L590" s="24" t="s">
        <v>2721</v>
      </c>
      <c r="M590" s="24" t="s">
        <v>102</v>
      </c>
      <c r="N590" s="24" t="s">
        <v>102</v>
      </c>
      <c r="O590" s="25"/>
      <c r="P590" s="24">
        <v>11.186</v>
      </c>
      <c r="Q590" s="24"/>
      <c r="R590" s="24"/>
      <c r="S590" s="24"/>
      <c r="T590" s="24"/>
      <c r="U590" s="24"/>
      <c r="V590" s="24"/>
      <c r="W590" s="24"/>
      <c r="XDO590"/>
      <c r="XDP590"/>
      <c r="XDQ590"/>
      <c r="XDR590"/>
      <c r="XDS590"/>
    </row>
    <row r="591" s="21" customFormat="1" spans="1:16347">
      <c r="A591" s="24" t="s">
        <v>58</v>
      </c>
      <c r="B591" s="25" t="s">
        <v>59</v>
      </c>
      <c r="C591" s="24" t="s">
        <v>2716</v>
      </c>
      <c r="D591" s="24" t="s">
        <v>2762</v>
      </c>
      <c r="E591" s="24" t="s">
        <v>2763</v>
      </c>
      <c r="F591" s="24" t="s">
        <v>2764</v>
      </c>
      <c r="G591" s="24" t="s">
        <v>2761</v>
      </c>
      <c r="H591" s="24"/>
      <c r="I591" s="25">
        <v>11.186</v>
      </c>
      <c r="J591" s="24"/>
      <c r="K591" s="24"/>
      <c r="L591" s="24" t="s">
        <v>2721</v>
      </c>
      <c r="M591" s="24" t="s">
        <v>102</v>
      </c>
      <c r="N591" s="24" t="s">
        <v>102</v>
      </c>
      <c r="O591" s="25"/>
      <c r="P591" s="24">
        <v>11.186</v>
      </c>
      <c r="Q591" s="24"/>
      <c r="R591" s="24"/>
      <c r="S591" s="24"/>
      <c r="T591" s="24"/>
      <c r="U591" s="24"/>
      <c r="V591" s="24"/>
      <c r="W591" s="24"/>
      <c r="XDO591"/>
      <c r="XDP591"/>
      <c r="XDQ591"/>
      <c r="XDR591"/>
      <c r="XDS591"/>
    </row>
    <row r="592" s="21" customFormat="1" spans="1:16347">
      <c r="A592" s="24" t="s">
        <v>58</v>
      </c>
      <c r="B592" s="25" t="s">
        <v>59</v>
      </c>
      <c r="C592" s="24" t="s">
        <v>2716</v>
      </c>
      <c r="D592" s="24" t="s">
        <v>2765</v>
      </c>
      <c r="E592" s="24" t="s">
        <v>2766</v>
      </c>
      <c r="F592" s="24" t="s">
        <v>2767</v>
      </c>
      <c r="G592" s="24" t="s">
        <v>2761</v>
      </c>
      <c r="H592" s="24"/>
      <c r="I592" s="25">
        <v>11.224</v>
      </c>
      <c r="J592" s="24"/>
      <c r="K592" s="24"/>
      <c r="L592" s="24" t="s">
        <v>2721</v>
      </c>
      <c r="M592" s="24" t="s">
        <v>102</v>
      </c>
      <c r="N592" s="24" t="s">
        <v>102</v>
      </c>
      <c r="O592" s="25"/>
      <c r="P592" s="24">
        <v>11.224</v>
      </c>
      <c r="Q592" s="24"/>
      <c r="R592" s="24"/>
      <c r="S592" s="24"/>
      <c r="T592" s="24"/>
      <c r="U592" s="24"/>
      <c r="V592" s="24"/>
      <c r="W592" s="24"/>
      <c r="XDO592"/>
      <c r="XDP592"/>
      <c r="XDQ592"/>
      <c r="XDR592"/>
      <c r="XDS592"/>
    </row>
    <row r="593" s="21" customFormat="1" spans="1:16347">
      <c r="A593" s="24" t="s">
        <v>58</v>
      </c>
      <c r="B593" s="25" t="s">
        <v>59</v>
      </c>
      <c r="C593" s="24" t="s">
        <v>2716</v>
      </c>
      <c r="D593" s="24" t="s">
        <v>2768</v>
      </c>
      <c r="E593" s="24" t="s">
        <v>2769</v>
      </c>
      <c r="F593" s="24" t="s">
        <v>2770</v>
      </c>
      <c r="G593" s="24" t="s">
        <v>2720</v>
      </c>
      <c r="H593" s="24"/>
      <c r="I593" s="25">
        <v>10.865</v>
      </c>
      <c r="J593" s="24"/>
      <c r="K593" s="24"/>
      <c r="L593" s="24" t="s">
        <v>2721</v>
      </c>
      <c r="M593" s="24" t="s">
        <v>102</v>
      </c>
      <c r="N593" s="24" t="s">
        <v>102</v>
      </c>
      <c r="O593" s="25"/>
      <c r="P593" s="24">
        <v>10.865</v>
      </c>
      <c r="Q593" s="24"/>
      <c r="R593" s="24"/>
      <c r="S593" s="24"/>
      <c r="T593" s="24"/>
      <c r="U593" s="24"/>
      <c r="V593" s="24"/>
      <c r="W593" s="24"/>
      <c r="XDO593"/>
      <c r="XDP593"/>
      <c r="XDQ593"/>
      <c r="XDR593"/>
      <c r="XDS593"/>
    </row>
    <row r="594" s="21" customFormat="1" spans="1:16347">
      <c r="A594" s="24" t="s">
        <v>58</v>
      </c>
      <c r="B594" s="25" t="s">
        <v>59</v>
      </c>
      <c r="C594" s="24" t="s">
        <v>2716</v>
      </c>
      <c r="D594" s="24" t="s">
        <v>2771</v>
      </c>
      <c r="E594" s="24" t="s">
        <v>2772</v>
      </c>
      <c r="F594" s="24" t="s">
        <v>2773</v>
      </c>
      <c r="G594" s="24" t="s">
        <v>2720</v>
      </c>
      <c r="H594" s="24"/>
      <c r="I594" s="25">
        <v>10.729</v>
      </c>
      <c r="J594" s="24"/>
      <c r="K594" s="24"/>
      <c r="L594" s="24" t="s">
        <v>2721</v>
      </c>
      <c r="M594" s="24" t="s">
        <v>102</v>
      </c>
      <c r="N594" s="24" t="s">
        <v>102</v>
      </c>
      <c r="O594" s="25"/>
      <c r="P594" s="24">
        <v>10.729</v>
      </c>
      <c r="Q594" s="24"/>
      <c r="R594" s="24"/>
      <c r="S594" s="24"/>
      <c r="T594" s="24"/>
      <c r="U594" s="24"/>
      <c r="V594" s="24"/>
      <c r="W594" s="24"/>
      <c r="XDO594"/>
      <c r="XDP594"/>
      <c r="XDQ594"/>
      <c r="XDR594"/>
      <c r="XDS594"/>
    </row>
    <row r="595" s="21" customFormat="1" spans="1:16347">
      <c r="A595" s="24" t="s">
        <v>58</v>
      </c>
      <c r="B595" s="25" t="s">
        <v>59</v>
      </c>
      <c r="C595" s="24" t="s">
        <v>60</v>
      </c>
      <c r="D595" s="35" t="s">
        <v>2774</v>
      </c>
      <c r="E595" s="24" t="s">
        <v>2775</v>
      </c>
      <c r="F595" s="24" t="s">
        <v>2776</v>
      </c>
      <c r="G595" s="24" t="s">
        <v>2743</v>
      </c>
      <c r="H595" s="24"/>
      <c r="I595" s="25">
        <v>3.1</v>
      </c>
      <c r="J595" s="24" t="s">
        <v>65</v>
      </c>
      <c r="K595" s="24" t="s">
        <v>2777</v>
      </c>
      <c r="L595" s="24" t="s">
        <v>67</v>
      </c>
      <c r="M595" s="24" t="s">
        <v>189</v>
      </c>
      <c r="N595" s="24" t="s">
        <v>189</v>
      </c>
      <c r="O595" s="25">
        <v>0.7</v>
      </c>
      <c r="P595" s="24"/>
      <c r="Q595" s="24"/>
      <c r="R595" s="24"/>
      <c r="S595" s="24"/>
      <c r="T595" s="24"/>
      <c r="U595" s="24"/>
      <c r="V595" s="24">
        <v>2.4</v>
      </c>
      <c r="W595" s="24"/>
      <c r="XDO595"/>
      <c r="XDP595"/>
      <c r="XDQ595"/>
      <c r="XDR595"/>
      <c r="XDS595"/>
    </row>
    <row r="596" s="21" customFormat="1" spans="1:16347">
      <c r="A596" s="24" t="s">
        <v>58</v>
      </c>
      <c r="B596" s="25" t="s">
        <v>59</v>
      </c>
      <c r="C596" s="24" t="s">
        <v>60</v>
      </c>
      <c r="D596" s="35" t="s">
        <v>2778</v>
      </c>
      <c r="E596" s="24" t="s">
        <v>2779</v>
      </c>
      <c r="F596" s="24" t="s">
        <v>2780</v>
      </c>
      <c r="G596" s="24" t="s">
        <v>2743</v>
      </c>
      <c r="H596" s="24"/>
      <c r="I596" s="25">
        <v>3.1</v>
      </c>
      <c r="J596" s="24" t="s">
        <v>65</v>
      </c>
      <c r="K596" s="24" t="s">
        <v>2781</v>
      </c>
      <c r="L596" s="24" t="s">
        <v>67</v>
      </c>
      <c r="M596" s="24" t="s">
        <v>189</v>
      </c>
      <c r="N596" s="24" t="s">
        <v>189</v>
      </c>
      <c r="O596" s="25">
        <v>0.7</v>
      </c>
      <c r="P596" s="24"/>
      <c r="Q596" s="24"/>
      <c r="R596" s="24"/>
      <c r="S596" s="24"/>
      <c r="T596" s="24"/>
      <c r="U596" s="24"/>
      <c r="V596" s="24">
        <v>2.4</v>
      </c>
      <c r="W596" s="24"/>
      <c r="XDO596"/>
      <c r="XDP596"/>
      <c r="XDQ596"/>
      <c r="XDR596"/>
      <c r="XDS596"/>
    </row>
    <row r="597" s="21" customFormat="1" spans="1:16347">
      <c r="A597" s="24" t="s">
        <v>58</v>
      </c>
      <c r="B597" s="25" t="s">
        <v>59</v>
      </c>
      <c r="C597" s="24" t="s">
        <v>60</v>
      </c>
      <c r="D597" s="35" t="s">
        <v>2782</v>
      </c>
      <c r="E597" s="24" t="s">
        <v>2783</v>
      </c>
      <c r="F597" s="24" t="s">
        <v>2784</v>
      </c>
      <c r="G597" s="24" t="s">
        <v>2743</v>
      </c>
      <c r="H597" s="24"/>
      <c r="I597" s="25">
        <v>3</v>
      </c>
      <c r="J597" s="24" t="s">
        <v>65</v>
      </c>
      <c r="K597" s="24" t="s">
        <v>2785</v>
      </c>
      <c r="L597" s="24" t="s">
        <v>67</v>
      </c>
      <c r="M597" s="24" t="s">
        <v>79</v>
      </c>
      <c r="N597" s="24" t="s">
        <v>79</v>
      </c>
      <c r="O597" s="25">
        <v>0.7</v>
      </c>
      <c r="P597" s="24"/>
      <c r="Q597" s="24"/>
      <c r="R597" s="24"/>
      <c r="S597" s="24"/>
      <c r="T597" s="24"/>
      <c r="U597" s="24"/>
      <c r="V597" s="24">
        <v>2.3</v>
      </c>
      <c r="W597" s="24"/>
      <c r="XDO597"/>
      <c r="XDP597"/>
      <c r="XDQ597"/>
      <c r="XDR597"/>
      <c r="XDS597"/>
    </row>
    <row r="598" s="21" customFormat="1" spans="1:16347">
      <c r="A598" s="24" t="s">
        <v>58</v>
      </c>
      <c r="B598" s="25" t="s">
        <v>59</v>
      </c>
      <c r="C598" s="24" t="s">
        <v>60</v>
      </c>
      <c r="D598" s="35" t="s">
        <v>2786</v>
      </c>
      <c r="E598" s="24" t="s">
        <v>2787</v>
      </c>
      <c r="F598" s="24" t="s">
        <v>2788</v>
      </c>
      <c r="G598" s="24" t="s">
        <v>2738</v>
      </c>
      <c r="H598" s="24"/>
      <c r="I598" s="25">
        <v>3.1</v>
      </c>
      <c r="J598" s="24" t="s">
        <v>65</v>
      </c>
      <c r="K598" s="24" t="s">
        <v>2789</v>
      </c>
      <c r="L598" s="24" t="s">
        <v>67</v>
      </c>
      <c r="M598" s="24" t="s">
        <v>479</v>
      </c>
      <c r="N598" s="24" t="s">
        <v>479</v>
      </c>
      <c r="O598" s="25">
        <v>0.7</v>
      </c>
      <c r="P598" s="24"/>
      <c r="Q598" s="24"/>
      <c r="R598" s="24"/>
      <c r="S598" s="24"/>
      <c r="T598" s="24"/>
      <c r="U598" s="24"/>
      <c r="V598" s="24">
        <v>2.4</v>
      </c>
      <c r="W598" s="24"/>
      <c r="XDO598"/>
      <c r="XDP598"/>
      <c r="XDQ598"/>
      <c r="XDR598"/>
      <c r="XDS598"/>
    </row>
    <row r="599" s="21" customFormat="1" spans="1:16347">
      <c r="A599" s="24" t="s">
        <v>58</v>
      </c>
      <c r="B599" s="25" t="s">
        <v>59</v>
      </c>
      <c r="C599" s="24" t="s">
        <v>60</v>
      </c>
      <c r="D599" s="35" t="s">
        <v>2790</v>
      </c>
      <c r="E599" s="24" t="s">
        <v>2791</v>
      </c>
      <c r="F599" s="24" t="s">
        <v>2792</v>
      </c>
      <c r="G599" s="24" t="s">
        <v>2793</v>
      </c>
      <c r="H599" s="24"/>
      <c r="I599" s="25">
        <v>3.1</v>
      </c>
      <c r="J599" s="24" t="s">
        <v>65</v>
      </c>
      <c r="K599" s="24" t="s">
        <v>2794</v>
      </c>
      <c r="L599" s="24" t="s">
        <v>67</v>
      </c>
      <c r="M599" s="24" t="s">
        <v>382</v>
      </c>
      <c r="N599" s="24" t="s">
        <v>382</v>
      </c>
      <c r="O599" s="25">
        <v>0.7</v>
      </c>
      <c r="P599" s="24"/>
      <c r="Q599" s="24"/>
      <c r="R599" s="24"/>
      <c r="S599" s="24"/>
      <c r="T599" s="24"/>
      <c r="U599" s="24"/>
      <c r="V599" s="24">
        <v>2.4</v>
      </c>
      <c r="W599" s="24"/>
      <c r="XDO599"/>
      <c r="XDP599"/>
      <c r="XDQ599"/>
      <c r="XDR599"/>
      <c r="XDS599"/>
    </row>
    <row r="600" s="21" customFormat="1" spans="1:16347">
      <c r="A600" s="24" t="s">
        <v>58</v>
      </c>
      <c r="B600" s="25" t="s">
        <v>59</v>
      </c>
      <c r="C600" s="24" t="s">
        <v>60</v>
      </c>
      <c r="D600" s="35" t="s">
        <v>2795</v>
      </c>
      <c r="E600" s="24" t="s">
        <v>2796</v>
      </c>
      <c r="F600" s="24" t="s">
        <v>2797</v>
      </c>
      <c r="G600" s="24" t="s">
        <v>2710</v>
      </c>
      <c r="H600" s="24"/>
      <c r="I600" s="25">
        <v>2.45</v>
      </c>
      <c r="J600" s="24" t="s">
        <v>881</v>
      </c>
      <c r="K600" s="24" t="s">
        <v>2798</v>
      </c>
      <c r="L600" s="24" t="s">
        <v>67</v>
      </c>
      <c r="M600" s="24" t="s">
        <v>1246</v>
      </c>
      <c r="N600" s="24" t="s">
        <v>1246</v>
      </c>
      <c r="O600" s="25">
        <v>0.5</v>
      </c>
      <c r="P600" s="24"/>
      <c r="Q600" s="24"/>
      <c r="R600" s="24"/>
      <c r="S600" s="24"/>
      <c r="T600" s="24"/>
      <c r="U600" s="24"/>
      <c r="V600" s="24">
        <v>1.95</v>
      </c>
      <c r="W600" s="24"/>
      <c r="XDO600"/>
      <c r="XDP600"/>
      <c r="XDQ600"/>
      <c r="XDR600"/>
      <c r="XDS600"/>
    </row>
    <row r="601" s="21" customFormat="1" spans="1:16347">
      <c r="A601" s="24" t="s">
        <v>58</v>
      </c>
      <c r="B601" s="25" t="s">
        <v>59</v>
      </c>
      <c r="C601" s="24" t="s">
        <v>60</v>
      </c>
      <c r="D601" s="35" t="s">
        <v>2799</v>
      </c>
      <c r="E601" s="24" t="s">
        <v>2800</v>
      </c>
      <c r="F601" s="24" t="s">
        <v>2801</v>
      </c>
      <c r="G601" s="24" t="s">
        <v>2802</v>
      </c>
      <c r="H601" s="24"/>
      <c r="I601" s="25">
        <v>3.1</v>
      </c>
      <c r="J601" s="24" t="s">
        <v>65</v>
      </c>
      <c r="K601" s="24" t="s">
        <v>2803</v>
      </c>
      <c r="L601" s="24" t="s">
        <v>67</v>
      </c>
      <c r="M601" s="24" t="s">
        <v>1087</v>
      </c>
      <c r="N601" s="24" t="s">
        <v>1087</v>
      </c>
      <c r="O601" s="25">
        <v>0.7</v>
      </c>
      <c r="P601" s="24"/>
      <c r="Q601" s="24"/>
      <c r="R601" s="24"/>
      <c r="S601" s="24"/>
      <c r="T601" s="24"/>
      <c r="U601" s="24"/>
      <c r="V601" s="24">
        <v>2.4</v>
      </c>
      <c r="W601" s="24"/>
      <c r="XDO601"/>
      <c r="XDP601"/>
      <c r="XDQ601"/>
      <c r="XDR601"/>
      <c r="XDS601"/>
    </row>
    <row r="602" s="21" customFormat="1" spans="1:16347">
      <c r="A602" s="24" t="s">
        <v>58</v>
      </c>
      <c r="B602" s="25" t="s">
        <v>59</v>
      </c>
      <c r="C602" s="24" t="s">
        <v>60</v>
      </c>
      <c r="D602" s="35" t="s">
        <v>2804</v>
      </c>
      <c r="E602" s="24" t="s">
        <v>2805</v>
      </c>
      <c r="F602" s="24" t="s">
        <v>2806</v>
      </c>
      <c r="G602" s="24" t="s">
        <v>2802</v>
      </c>
      <c r="H602" s="24"/>
      <c r="I602" s="25">
        <v>2.3</v>
      </c>
      <c r="J602" s="24" t="s">
        <v>881</v>
      </c>
      <c r="K602" s="24" t="s">
        <v>2807</v>
      </c>
      <c r="L602" s="24" t="s">
        <v>67</v>
      </c>
      <c r="M602" s="24" t="s">
        <v>137</v>
      </c>
      <c r="N602" s="24" t="s">
        <v>137</v>
      </c>
      <c r="O602" s="25">
        <v>0.5</v>
      </c>
      <c r="P602" s="24"/>
      <c r="Q602" s="24"/>
      <c r="R602" s="24"/>
      <c r="S602" s="24"/>
      <c r="T602" s="24"/>
      <c r="U602" s="24"/>
      <c r="V602" s="24">
        <v>1.8</v>
      </c>
      <c r="W602" s="24"/>
      <c r="XDO602"/>
      <c r="XDP602"/>
      <c r="XDQ602"/>
      <c r="XDR602"/>
      <c r="XDS602"/>
    </row>
    <row r="603" s="21" customFormat="1" spans="1:16347">
      <c r="A603" s="24" t="s">
        <v>58</v>
      </c>
      <c r="B603" s="25" t="s">
        <v>59</v>
      </c>
      <c r="C603" s="24" t="s">
        <v>60</v>
      </c>
      <c r="D603" s="35" t="s">
        <v>2808</v>
      </c>
      <c r="E603" s="24" t="s">
        <v>2809</v>
      </c>
      <c r="F603" s="24" t="s">
        <v>2810</v>
      </c>
      <c r="G603" s="24" t="s">
        <v>2802</v>
      </c>
      <c r="H603" s="24"/>
      <c r="I603" s="25">
        <v>3.1</v>
      </c>
      <c r="J603" s="24" t="s">
        <v>65</v>
      </c>
      <c r="K603" s="24" t="s">
        <v>2811</v>
      </c>
      <c r="L603" s="24" t="s">
        <v>67</v>
      </c>
      <c r="M603" s="24" t="s">
        <v>200</v>
      </c>
      <c r="N603" s="24" t="s">
        <v>200</v>
      </c>
      <c r="O603" s="25">
        <v>0.7</v>
      </c>
      <c r="P603" s="24"/>
      <c r="Q603" s="24"/>
      <c r="R603" s="24"/>
      <c r="S603" s="24"/>
      <c r="T603" s="24"/>
      <c r="U603" s="24"/>
      <c r="V603" s="24">
        <v>2.4</v>
      </c>
      <c r="W603" s="24"/>
      <c r="XDO603"/>
      <c r="XDP603"/>
      <c r="XDQ603"/>
      <c r="XDR603"/>
      <c r="XDS603"/>
    </row>
    <row r="604" s="21" customFormat="1" spans="1:16347">
      <c r="A604" s="24" t="s">
        <v>58</v>
      </c>
      <c r="B604" s="25" t="s">
        <v>59</v>
      </c>
      <c r="C604" s="24" t="s">
        <v>60</v>
      </c>
      <c r="D604" s="35" t="s">
        <v>2812</v>
      </c>
      <c r="E604" s="24" t="s">
        <v>2813</v>
      </c>
      <c r="F604" s="24" t="s">
        <v>2814</v>
      </c>
      <c r="G604" s="24" t="s">
        <v>2802</v>
      </c>
      <c r="H604" s="24"/>
      <c r="I604" s="25">
        <v>3</v>
      </c>
      <c r="J604" s="24" t="s">
        <v>65</v>
      </c>
      <c r="K604" s="24" t="s">
        <v>2815</v>
      </c>
      <c r="L604" s="24" t="s">
        <v>67</v>
      </c>
      <c r="M604" s="24" t="s">
        <v>79</v>
      </c>
      <c r="N604" s="24" t="s">
        <v>79</v>
      </c>
      <c r="O604" s="25">
        <v>0.7</v>
      </c>
      <c r="P604" s="24"/>
      <c r="Q604" s="24"/>
      <c r="R604" s="24"/>
      <c r="S604" s="24"/>
      <c r="T604" s="24"/>
      <c r="U604" s="24"/>
      <c r="V604" s="24">
        <v>2.3</v>
      </c>
      <c r="W604" s="24"/>
      <c r="XDO604"/>
      <c r="XDP604"/>
      <c r="XDQ604"/>
      <c r="XDR604"/>
      <c r="XDS604"/>
    </row>
    <row r="605" s="21" customFormat="1" spans="1:16347">
      <c r="A605" s="24" t="s">
        <v>58</v>
      </c>
      <c r="B605" s="25" t="s">
        <v>59</v>
      </c>
      <c r="C605" s="24" t="s">
        <v>60</v>
      </c>
      <c r="D605" s="35" t="s">
        <v>2816</v>
      </c>
      <c r="E605" s="24" t="s">
        <v>2817</v>
      </c>
      <c r="F605" s="24" t="s">
        <v>2818</v>
      </c>
      <c r="G605" s="24" t="s">
        <v>2793</v>
      </c>
      <c r="H605" s="24"/>
      <c r="I605" s="25">
        <v>2.8</v>
      </c>
      <c r="J605" s="24" t="s">
        <v>65</v>
      </c>
      <c r="K605" s="24" t="s">
        <v>2819</v>
      </c>
      <c r="L605" s="24" t="s">
        <v>67</v>
      </c>
      <c r="M605" s="24" t="s">
        <v>672</v>
      </c>
      <c r="N605" s="24" t="s">
        <v>672</v>
      </c>
      <c r="O605" s="25">
        <v>0.5</v>
      </c>
      <c r="P605" s="24"/>
      <c r="Q605" s="24"/>
      <c r="R605" s="24"/>
      <c r="S605" s="24"/>
      <c r="T605" s="24"/>
      <c r="U605" s="24"/>
      <c r="V605" s="24">
        <v>2.3</v>
      </c>
      <c r="W605" s="24"/>
      <c r="XDO605"/>
      <c r="XDP605"/>
      <c r="XDQ605"/>
      <c r="XDR605"/>
      <c r="XDS605"/>
    </row>
    <row r="606" s="21" customFormat="1" spans="1:16347">
      <c r="A606" s="24" t="s">
        <v>58</v>
      </c>
      <c r="B606" s="25" t="s">
        <v>59</v>
      </c>
      <c r="C606" s="24" t="s">
        <v>60</v>
      </c>
      <c r="D606" s="35" t="s">
        <v>2820</v>
      </c>
      <c r="E606" s="24" t="s">
        <v>2821</v>
      </c>
      <c r="F606" s="24" t="s">
        <v>2822</v>
      </c>
      <c r="G606" s="24" t="s">
        <v>2823</v>
      </c>
      <c r="H606" s="24"/>
      <c r="I606" s="25">
        <v>2.8</v>
      </c>
      <c r="J606" s="24" t="s">
        <v>65</v>
      </c>
      <c r="K606" s="24" t="s">
        <v>2824</v>
      </c>
      <c r="L606" s="24" t="s">
        <v>67</v>
      </c>
      <c r="M606" s="24" t="s">
        <v>672</v>
      </c>
      <c r="N606" s="24" t="s">
        <v>672</v>
      </c>
      <c r="O606" s="25">
        <v>0.5</v>
      </c>
      <c r="P606" s="24"/>
      <c r="Q606" s="24"/>
      <c r="R606" s="24"/>
      <c r="S606" s="24"/>
      <c r="T606" s="24"/>
      <c r="U606" s="24"/>
      <c r="V606" s="24">
        <v>2.3</v>
      </c>
      <c r="W606" s="24"/>
      <c r="XDO606"/>
      <c r="XDP606"/>
      <c r="XDQ606"/>
      <c r="XDR606"/>
      <c r="XDS606"/>
    </row>
    <row r="607" s="21" customFormat="1" spans="1:16347">
      <c r="A607" s="24" t="s">
        <v>58</v>
      </c>
      <c r="B607" s="25" t="s">
        <v>59</v>
      </c>
      <c r="C607" s="24" t="s">
        <v>60</v>
      </c>
      <c r="D607" s="35" t="s">
        <v>2825</v>
      </c>
      <c r="E607" s="24" t="s">
        <v>2826</v>
      </c>
      <c r="F607" s="24" t="s">
        <v>2827</v>
      </c>
      <c r="G607" s="24" t="s">
        <v>2823</v>
      </c>
      <c r="H607" s="24"/>
      <c r="I607" s="25">
        <v>3.1</v>
      </c>
      <c r="J607" s="24" t="s">
        <v>65</v>
      </c>
      <c r="K607" s="24" t="s">
        <v>2828</v>
      </c>
      <c r="L607" s="24" t="s">
        <v>67</v>
      </c>
      <c r="M607" s="24" t="s">
        <v>189</v>
      </c>
      <c r="N607" s="24" t="s">
        <v>189</v>
      </c>
      <c r="O607" s="25">
        <v>0.7</v>
      </c>
      <c r="P607" s="24"/>
      <c r="Q607" s="24"/>
      <c r="R607" s="24"/>
      <c r="S607" s="24"/>
      <c r="T607" s="24"/>
      <c r="U607" s="24"/>
      <c r="V607" s="24">
        <v>2.4</v>
      </c>
      <c r="W607" s="24"/>
      <c r="XDO607"/>
      <c r="XDP607"/>
      <c r="XDQ607"/>
      <c r="XDR607"/>
      <c r="XDS607"/>
    </row>
    <row r="608" s="21" customFormat="1" spans="1:16347">
      <c r="A608" s="24" t="s">
        <v>58</v>
      </c>
      <c r="B608" s="25" t="s">
        <v>59</v>
      </c>
      <c r="C608" s="24" t="s">
        <v>60</v>
      </c>
      <c r="D608" s="35" t="s">
        <v>2829</v>
      </c>
      <c r="E608" s="24" t="s">
        <v>2830</v>
      </c>
      <c r="F608" s="24" t="s">
        <v>2831</v>
      </c>
      <c r="G608" s="24" t="s">
        <v>2823</v>
      </c>
      <c r="H608" s="24"/>
      <c r="I608" s="25">
        <v>2.8</v>
      </c>
      <c r="J608" s="24" t="s">
        <v>65</v>
      </c>
      <c r="K608" s="24" t="s">
        <v>2832</v>
      </c>
      <c r="L608" s="24" t="s">
        <v>67</v>
      </c>
      <c r="M608" s="24" t="s">
        <v>672</v>
      </c>
      <c r="N608" s="24" t="s">
        <v>672</v>
      </c>
      <c r="O608" s="25">
        <v>0.5</v>
      </c>
      <c r="P608" s="24"/>
      <c r="Q608" s="24"/>
      <c r="R608" s="24"/>
      <c r="S608" s="24"/>
      <c r="T608" s="24"/>
      <c r="U608" s="24"/>
      <c r="V608" s="24">
        <v>2.3</v>
      </c>
      <c r="W608" s="24"/>
      <c r="XDO608"/>
      <c r="XDP608"/>
      <c r="XDQ608"/>
      <c r="XDR608"/>
      <c r="XDS608"/>
    </row>
    <row r="609" s="21" customFormat="1" spans="1:16347">
      <c r="A609" s="24" t="s">
        <v>58</v>
      </c>
      <c r="B609" s="25" t="s">
        <v>59</v>
      </c>
      <c r="C609" s="24" t="s">
        <v>60</v>
      </c>
      <c r="D609" s="35" t="s">
        <v>2833</v>
      </c>
      <c r="E609" s="24" t="s">
        <v>2834</v>
      </c>
      <c r="F609" s="24" t="s">
        <v>2835</v>
      </c>
      <c r="G609" s="24" t="s">
        <v>2836</v>
      </c>
      <c r="H609" s="24"/>
      <c r="I609" s="25">
        <v>4</v>
      </c>
      <c r="J609" s="24" t="s">
        <v>65</v>
      </c>
      <c r="K609" s="24" t="s">
        <v>2837</v>
      </c>
      <c r="L609" s="24" t="s">
        <v>67</v>
      </c>
      <c r="M609" s="24" t="s">
        <v>2838</v>
      </c>
      <c r="N609" s="24" t="s">
        <v>2838</v>
      </c>
      <c r="O609" s="25">
        <v>1.4</v>
      </c>
      <c r="P609" s="24"/>
      <c r="Q609" s="24"/>
      <c r="R609" s="24"/>
      <c r="S609" s="24"/>
      <c r="T609" s="24"/>
      <c r="U609" s="24"/>
      <c r="V609" s="24">
        <v>2.6</v>
      </c>
      <c r="W609" s="24"/>
      <c r="XDO609"/>
      <c r="XDP609"/>
      <c r="XDQ609"/>
      <c r="XDR609"/>
      <c r="XDS609"/>
    </row>
    <row r="610" s="21" customFormat="1" spans="1:16347">
      <c r="A610" s="24" t="s">
        <v>58</v>
      </c>
      <c r="B610" s="25" t="s">
        <v>59</v>
      </c>
      <c r="C610" s="24" t="s">
        <v>60</v>
      </c>
      <c r="D610" s="35" t="s">
        <v>2839</v>
      </c>
      <c r="E610" s="24" t="s">
        <v>2840</v>
      </c>
      <c r="F610" s="24" t="s">
        <v>2841</v>
      </c>
      <c r="G610" s="24" t="s">
        <v>2823</v>
      </c>
      <c r="H610" s="24"/>
      <c r="I610" s="25">
        <v>2.3</v>
      </c>
      <c r="J610" s="24" t="s">
        <v>881</v>
      </c>
      <c r="K610" s="24" t="s">
        <v>2842</v>
      </c>
      <c r="L610" s="24" t="s">
        <v>67</v>
      </c>
      <c r="M610" s="24" t="s">
        <v>137</v>
      </c>
      <c r="N610" s="24" t="s">
        <v>137</v>
      </c>
      <c r="O610" s="25">
        <v>0.5</v>
      </c>
      <c r="P610" s="24"/>
      <c r="Q610" s="24"/>
      <c r="R610" s="24"/>
      <c r="S610" s="24"/>
      <c r="T610" s="24"/>
      <c r="U610" s="24"/>
      <c r="V610" s="24">
        <v>1.8</v>
      </c>
      <c r="W610" s="24"/>
      <c r="XDO610"/>
      <c r="XDP610"/>
      <c r="XDQ610"/>
      <c r="XDR610"/>
      <c r="XDS610"/>
    </row>
    <row r="611" s="21" customFormat="1" spans="1:16347">
      <c r="A611" s="24" t="s">
        <v>58</v>
      </c>
      <c r="B611" s="25" t="s">
        <v>59</v>
      </c>
      <c r="C611" s="24" t="s">
        <v>60</v>
      </c>
      <c r="D611" s="35" t="s">
        <v>2843</v>
      </c>
      <c r="E611" s="24" t="s">
        <v>2844</v>
      </c>
      <c r="F611" s="24" t="s">
        <v>2845</v>
      </c>
      <c r="G611" s="24" t="s">
        <v>2823</v>
      </c>
      <c r="H611" s="24"/>
      <c r="I611" s="25">
        <v>2.8</v>
      </c>
      <c r="J611" s="24" t="s">
        <v>65</v>
      </c>
      <c r="K611" s="24" t="s">
        <v>2846</v>
      </c>
      <c r="L611" s="24" t="s">
        <v>67</v>
      </c>
      <c r="M611" s="24" t="s">
        <v>672</v>
      </c>
      <c r="N611" s="24" t="s">
        <v>672</v>
      </c>
      <c r="O611" s="25">
        <v>0.5</v>
      </c>
      <c r="P611" s="24"/>
      <c r="Q611" s="24"/>
      <c r="R611" s="24"/>
      <c r="S611" s="24"/>
      <c r="T611" s="24"/>
      <c r="U611" s="24"/>
      <c r="V611" s="24">
        <v>2.3</v>
      </c>
      <c r="W611" s="24"/>
      <c r="XDO611"/>
      <c r="XDP611"/>
      <c r="XDQ611"/>
      <c r="XDR611"/>
      <c r="XDS611"/>
    </row>
    <row r="612" s="21" customFormat="1" spans="1:16347">
      <c r="A612" s="24" t="s">
        <v>58</v>
      </c>
      <c r="B612" s="25" t="s">
        <v>59</v>
      </c>
      <c r="C612" s="24" t="s">
        <v>60</v>
      </c>
      <c r="D612" s="35" t="s">
        <v>2847</v>
      </c>
      <c r="E612" s="24" t="s">
        <v>2848</v>
      </c>
      <c r="F612" s="24" t="s">
        <v>2849</v>
      </c>
      <c r="G612" s="24" t="s">
        <v>2850</v>
      </c>
      <c r="H612" s="24"/>
      <c r="I612" s="25">
        <v>2.8</v>
      </c>
      <c r="J612" s="24" t="s">
        <v>65</v>
      </c>
      <c r="K612" s="24" t="s">
        <v>2851</v>
      </c>
      <c r="L612" s="24" t="s">
        <v>67</v>
      </c>
      <c r="M612" s="24" t="s">
        <v>672</v>
      </c>
      <c r="N612" s="24" t="s">
        <v>672</v>
      </c>
      <c r="O612" s="25">
        <v>0.5</v>
      </c>
      <c r="P612" s="24"/>
      <c r="Q612" s="24"/>
      <c r="R612" s="24"/>
      <c r="S612" s="24"/>
      <c r="T612" s="24"/>
      <c r="U612" s="24"/>
      <c r="V612" s="24">
        <v>2.3</v>
      </c>
      <c r="W612" s="24"/>
      <c r="XDO612"/>
      <c r="XDP612"/>
      <c r="XDQ612"/>
      <c r="XDR612"/>
      <c r="XDS612"/>
    </row>
    <row r="613" s="21" customFormat="1" spans="1:16347">
      <c r="A613" s="24" t="s">
        <v>58</v>
      </c>
      <c r="B613" s="25" t="s">
        <v>59</v>
      </c>
      <c r="C613" s="24" t="s">
        <v>60</v>
      </c>
      <c r="D613" s="35" t="s">
        <v>2852</v>
      </c>
      <c r="E613" s="24" t="s">
        <v>2853</v>
      </c>
      <c r="F613" s="24" t="s">
        <v>2854</v>
      </c>
      <c r="G613" s="24" t="s">
        <v>2855</v>
      </c>
      <c r="H613" s="24"/>
      <c r="I613" s="25">
        <v>3.1</v>
      </c>
      <c r="J613" s="24" t="s">
        <v>65</v>
      </c>
      <c r="K613" s="24" t="s">
        <v>2856</v>
      </c>
      <c r="L613" s="24" t="s">
        <v>67</v>
      </c>
      <c r="M613" s="24" t="s">
        <v>189</v>
      </c>
      <c r="N613" s="24" t="s">
        <v>189</v>
      </c>
      <c r="O613" s="25">
        <v>0.7</v>
      </c>
      <c r="P613" s="24"/>
      <c r="Q613" s="24"/>
      <c r="R613" s="24"/>
      <c r="S613" s="24"/>
      <c r="T613" s="24"/>
      <c r="U613" s="24"/>
      <c r="V613" s="24">
        <v>2.4</v>
      </c>
      <c r="W613" s="24"/>
      <c r="XDO613"/>
      <c r="XDP613"/>
      <c r="XDQ613"/>
      <c r="XDR613"/>
      <c r="XDS613"/>
    </row>
    <row r="614" s="21" customFormat="1" spans="1:16347">
      <c r="A614" s="24" t="s">
        <v>58</v>
      </c>
      <c r="B614" s="25" t="s">
        <v>59</v>
      </c>
      <c r="C614" s="24" t="s">
        <v>60</v>
      </c>
      <c r="D614" s="35" t="s">
        <v>2857</v>
      </c>
      <c r="E614" s="24" t="s">
        <v>2858</v>
      </c>
      <c r="F614" s="24" t="s">
        <v>2859</v>
      </c>
      <c r="G614" s="24" t="s">
        <v>2855</v>
      </c>
      <c r="H614" s="24"/>
      <c r="I614" s="25">
        <v>3.1</v>
      </c>
      <c r="J614" s="24" t="s">
        <v>65</v>
      </c>
      <c r="K614" s="24" t="s">
        <v>2860</v>
      </c>
      <c r="L614" s="24" t="s">
        <v>67</v>
      </c>
      <c r="M614" s="24" t="s">
        <v>200</v>
      </c>
      <c r="N614" s="24" t="s">
        <v>200</v>
      </c>
      <c r="O614" s="25">
        <v>0.7</v>
      </c>
      <c r="P614" s="24"/>
      <c r="Q614" s="24"/>
      <c r="R614" s="24"/>
      <c r="S614" s="24"/>
      <c r="T614" s="24"/>
      <c r="U614" s="24"/>
      <c r="V614" s="24">
        <v>2.4</v>
      </c>
      <c r="W614" s="24"/>
      <c r="XDO614"/>
      <c r="XDP614"/>
      <c r="XDQ614"/>
      <c r="XDR614"/>
      <c r="XDS614"/>
    </row>
    <row r="615" s="21" customFormat="1" spans="1:16347">
      <c r="A615" s="24" t="s">
        <v>58</v>
      </c>
      <c r="B615" s="25" t="s">
        <v>59</v>
      </c>
      <c r="C615" s="24" t="s">
        <v>60</v>
      </c>
      <c r="D615" s="35" t="s">
        <v>2861</v>
      </c>
      <c r="E615" s="24" t="s">
        <v>2862</v>
      </c>
      <c r="F615" s="24" t="s">
        <v>2863</v>
      </c>
      <c r="G615" s="24" t="s">
        <v>2864</v>
      </c>
      <c r="H615" s="24"/>
      <c r="I615" s="25">
        <v>2.3</v>
      </c>
      <c r="J615" s="24" t="s">
        <v>881</v>
      </c>
      <c r="K615" s="24" t="s">
        <v>2865</v>
      </c>
      <c r="L615" s="24" t="s">
        <v>67</v>
      </c>
      <c r="M615" s="24" t="s">
        <v>74</v>
      </c>
      <c r="N615" s="24" t="s">
        <v>74</v>
      </c>
      <c r="O615" s="25">
        <v>0.5</v>
      </c>
      <c r="P615" s="24"/>
      <c r="Q615" s="24"/>
      <c r="R615" s="24"/>
      <c r="S615" s="24"/>
      <c r="T615" s="24"/>
      <c r="U615" s="24"/>
      <c r="V615" s="24">
        <v>1.8</v>
      </c>
      <c r="W615" s="24"/>
      <c r="XDO615"/>
      <c r="XDP615"/>
      <c r="XDQ615"/>
      <c r="XDR615"/>
      <c r="XDS615"/>
    </row>
    <row r="616" s="21" customFormat="1" spans="1:16347">
      <c r="A616" s="24" t="s">
        <v>58</v>
      </c>
      <c r="B616" s="25" t="s">
        <v>59</v>
      </c>
      <c r="C616" s="24" t="s">
        <v>60</v>
      </c>
      <c r="D616" s="35" t="s">
        <v>2866</v>
      </c>
      <c r="E616" s="24" t="s">
        <v>2867</v>
      </c>
      <c r="F616" s="24" t="s">
        <v>2868</v>
      </c>
      <c r="G616" s="24" t="s">
        <v>2864</v>
      </c>
      <c r="H616" s="24"/>
      <c r="I616" s="25">
        <v>3.1</v>
      </c>
      <c r="J616" s="24" t="s">
        <v>65</v>
      </c>
      <c r="K616" s="24" t="s">
        <v>2869</v>
      </c>
      <c r="L616" s="24" t="s">
        <v>67</v>
      </c>
      <c r="M616" s="24" t="s">
        <v>200</v>
      </c>
      <c r="N616" s="24" t="s">
        <v>200</v>
      </c>
      <c r="O616" s="25">
        <v>0.7</v>
      </c>
      <c r="P616" s="24"/>
      <c r="Q616" s="24"/>
      <c r="R616" s="24"/>
      <c r="S616" s="24"/>
      <c r="T616" s="24"/>
      <c r="U616" s="24"/>
      <c r="V616" s="24">
        <v>2.4</v>
      </c>
      <c r="W616" s="24"/>
      <c r="XDO616"/>
      <c r="XDP616"/>
      <c r="XDQ616"/>
      <c r="XDR616"/>
      <c r="XDS616"/>
    </row>
    <row r="617" s="21" customFormat="1" spans="1:16347">
      <c r="A617" s="24" t="s">
        <v>58</v>
      </c>
      <c r="B617" s="25" t="s">
        <v>59</v>
      </c>
      <c r="C617" s="24" t="s">
        <v>60</v>
      </c>
      <c r="D617" s="35" t="s">
        <v>2870</v>
      </c>
      <c r="E617" s="24" t="s">
        <v>2871</v>
      </c>
      <c r="F617" s="24" t="s">
        <v>2872</v>
      </c>
      <c r="G617" s="24" t="s">
        <v>2864</v>
      </c>
      <c r="H617" s="24"/>
      <c r="I617" s="25">
        <v>2.8</v>
      </c>
      <c r="J617" s="24" t="s">
        <v>65</v>
      </c>
      <c r="K617" s="24" t="s">
        <v>2873</v>
      </c>
      <c r="L617" s="24" t="s">
        <v>1493</v>
      </c>
      <c r="M617" s="24" t="s">
        <v>672</v>
      </c>
      <c r="N617" s="24" t="s">
        <v>672</v>
      </c>
      <c r="O617" s="25">
        <v>0.5</v>
      </c>
      <c r="P617" s="24"/>
      <c r="Q617" s="24"/>
      <c r="R617" s="24"/>
      <c r="S617" s="24"/>
      <c r="T617" s="24"/>
      <c r="U617" s="24"/>
      <c r="V617" s="24">
        <v>2.3</v>
      </c>
      <c r="W617" s="24"/>
      <c r="XDO617"/>
      <c r="XDP617"/>
      <c r="XDQ617"/>
      <c r="XDR617"/>
      <c r="XDS617"/>
    </row>
    <row r="618" s="21" customFormat="1" spans="1:16347">
      <c r="A618" s="24" t="s">
        <v>58</v>
      </c>
      <c r="B618" s="25" t="s">
        <v>59</v>
      </c>
      <c r="C618" s="24" t="s">
        <v>60</v>
      </c>
      <c r="D618" s="35" t="s">
        <v>2874</v>
      </c>
      <c r="E618" s="24" t="s">
        <v>2875</v>
      </c>
      <c r="F618" s="24" t="s">
        <v>2876</v>
      </c>
      <c r="G618" s="24" t="s">
        <v>2864</v>
      </c>
      <c r="H618" s="24"/>
      <c r="I618" s="25">
        <v>2.3</v>
      </c>
      <c r="J618" s="24" t="s">
        <v>881</v>
      </c>
      <c r="K618" s="24" t="s">
        <v>2877</v>
      </c>
      <c r="L618" s="24" t="s">
        <v>67</v>
      </c>
      <c r="M618" s="24" t="s">
        <v>137</v>
      </c>
      <c r="N618" s="24" t="s">
        <v>137</v>
      </c>
      <c r="O618" s="25">
        <v>0.5</v>
      </c>
      <c r="P618" s="24"/>
      <c r="Q618" s="24"/>
      <c r="R618" s="24"/>
      <c r="S618" s="24"/>
      <c r="T618" s="24"/>
      <c r="U618" s="24"/>
      <c r="V618" s="24">
        <v>1.8</v>
      </c>
      <c r="W618" s="24"/>
      <c r="XDO618"/>
      <c r="XDP618"/>
      <c r="XDQ618"/>
      <c r="XDR618"/>
      <c r="XDS618"/>
    </row>
    <row r="619" s="21" customFormat="1" spans="1:16347">
      <c r="A619" s="24" t="s">
        <v>58</v>
      </c>
      <c r="B619" s="25" t="s">
        <v>59</v>
      </c>
      <c r="C619" s="24" t="s">
        <v>60</v>
      </c>
      <c r="D619" s="35" t="s">
        <v>2878</v>
      </c>
      <c r="E619" s="24" t="s">
        <v>2879</v>
      </c>
      <c r="F619" s="24" t="s">
        <v>2880</v>
      </c>
      <c r="G619" s="24" t="s">
        <v>2881</v>
      </c>
      <c r="H619" s="24"/>
      <c r="I619" s="25">
        <v>3.6</v>
      </c>
      <c r="J619" s="24" t="s">
        <v>65</v>
      </c>
      <c r="K619" s="24" t="s">
        <v>2882</v>
      </c>
      <c r="L619" s="24" t="s">
        <v>67</v>
      </c>
      <c r="M619" s="24" t="s">
        <v>876</v>
      </c>
      <c r="N619" s="24" t="s">
        <v>876</v>
      </c>
      <c r="O619" s="25">
        <v>1</v>
      </c>
      <c r="P619" s="24"/>
      <c r="Q619" s="24"/>
      <c r="R619" s="24"/>
      <c r="S619" s="24"/>
      <c r="T619" s="24"/>
      <c r="U619" s="24"/>
      <c r="V619" s="24">
        <v>2.6</v>
      </c>
      <c r="W619" s="24"/>
      <c r="XDO619"/>
      <c r="XDP619"/>
      <c r="XDQ619"/>
      <c r="XDR619"/>
      <c r="XDS619"/>
    </row>
    <row r="620" s="21" customFormat="1" spans="1:16347">
      <c r="A620" s="24" t="s">
        <v>58</v>
      </c>
      <c r="B620" s="25" t="s">
        <v>59</v>
      </c>
      <c r="C620" s="24" t="s">
        <v>60</v>
      </c>
      <c r="D620" s="35" t="s">
        <v>2883</v>
      </c>
      <c r="E620" s="24" t="s">
        <v>2884</v>
      </c>
      <c r="F620" s="24" t="s">
        <v>2885</v>
      </c>
      <c r="G620" s="24" t="s">
        <v>2886</v>
      </c>
      <c r="H620" s="24"/>
      <c r="I620" s="25">
        <v>4</v>
      </c>
      <c r="J620" s="24" t="s">
        <v>65</v>
      </c>
      <c r="K620" s="24" t="s">
        <v>2887</v>
      </c>
      <c r="L620" s="24" t="s">
        <v>67</v>
      </c>
      <c r="M620" s="24" t="s">
        <v>652</v>
      </c>
      <c r="N620" s="24" t="s">
        <v>652</v>
      </c>
      <c r="O620" s="25">
        <v>1.4</v>
      </c>
      <c r="P620" s="24"/>
      <c r="Q620" s="24"/>
      <c r="R620" s="24"/>
      <c r="S620" s="24"/>
      <c r="T620" s="24"/>
      <c r="U620" s="24"/>
      <c r="V620" s="24">
        <v>2.6</v>
      </c>
      <c r="W620" s="24"/>
      <c r="XDO620"/>
      <c r="XDP620"/>
      <c r="XDQ620"/>
      <c r="XDR620"/>
      <c r="XDS620"/>
    </row>
    <row r="621" s="21" customFormat="1" spans="1:16347">
      <c r="A621" s="24" t="s">
        <v>58</v>
      </c>
      <c r="B621" s="25" t="s">
        <v>59</v>
      </c>
      <c r="C621" s="24" t="s">
        <v>60</v>
      </c>
      <c r="D621" s="35" t="s">
        <v>2888</v>
      </c>
      <c r="E621" s="24" t="s">
        <v>2889</v>
      </c>
      <c r="F621" s="24" t="s">
        <v>2890</v>
      </c>
      <c r="G621" s="24" t="s">
        <v>2881</v>
      </c>
      <c r="H621" s="24"/>
      <c r="I621" s="25">
        <v>3</v>
      </c>
      <c r="J621" s="24" t="s">
        <v>65</v>
      </c>
      <c r="K621" s="24" t="s">
        <v>2891</v>
      </c>
      <c r="L621" s="24" t="s">
        <v>67</v>
      </c>
      <c r="M621" s="24" t="s">
        <v>79</v>
      </c>
      <c r="N621" s="24" t="s">
        <v>79</v>
      </c>
      <c r="O621" s="25">
        <v>0.7</v>
      </c>
      <c r="P621" s="24"/>
      <c r="Q621" s="24"/>
      <c r="R621" s="24"/>
      <c r="S621" s="24"/>
      <c r="T621" s="24"/>
      <c r="U621" s="24"/>
      <c r="V621" s="24">
        <v>2.3</v>
      </c>
      <c r="W621" s="24"/>
      <c r="XDO621"/>
      <c r="XDP621"/>
      <c r="XDQ621"/>
      <c r="XDR621"/>
      <c r="XDS621"/>
    </row>
    <row r="622" s="21" customFormat="1" spans="1:16347">
      <c r="A622" s="24" t="s">
        <v>58</v>
      </c>
      <c r="B622" s="25" t="s">
        <v>59</v>
      </c>
      <c r="C622" s="24" t="s">
        <v>60</v>
      </c>
      <c r="D622" s="35" t="s">
        <v>2892</v>
      </c>
      <c r="E622" s="24" t="s">
        <v>2893</v>
      </c>
      <c r="F622" s="24" t="s">
        <v>2890</v>
      </c>
      <c r="G622" s="24" t="s">
        <v>2894</v>
      </c>
      <c r="H622" s="24"/>
      <c r="I622" s="25">
        <v>3.1</v>
      </c>
      <c r="J622" s="24" t="s">
        <v>65</v>
      </c>
      <c r="K622" s="24" t="s">
        <v>2895</v>
      </c>
      <c r="L622" s="24" t="s">
        <v>67</v>
      </c>
      <c r="M622" s="24" t="s">
        <v>189</v>
      </c>
      <c r="N622" s="24" t="s">
        <v>189</v>
      </c>
      <c r="O622" s="25">
        <v>0.7</v>
      </c>
      <c r="P622" s="24"/>
      <c r="Q622" s="24"/>
      <c r="R622" s="24"/>
      <c r="S622" s="24"/>
      <c r="T622" s="24"/>
      <c r="U622" s="24"/>
      <c r="V622" s="24">
        <v>2.4</v>
      </c>
      <c r="W622" s="24"/>
      <c r="XDO622"/>
      <c r="XDP622"/>
      <c r="XDQ622"/>
      <c r="XDR622"/>
      <c r="XDS622"/>
    </row>
    <row r="623" s="21" customFormat="1" spans="1:16347">
      <c r="A623" s="24" t="s">
        <v>58</v>
      </c>
      <c r="B623" s="25" t="s">
        <v>59</v>
      </c>
      <c r="C623" s="24" t="s">
        <v>60</v>
      </c>
      <c r="D623" s="35" t="s">
        <v>2896</v>
      </c>
      <c r="E623" s="24" t="s">
        <v>2897</v>
      </c>
      <c r="F623" s="24" t="s">
        <v>2898</v>
      </c>
      <c r="G623" s="24" t="s">
        <v>2894</v>
      </c>
      <c r="H623" s="24"/>
      <c r="I623" s="25">
        <v>3.1</v>
      </c>
      <c r="J623" s="24" t="s">
        <v>65</v>
      </c>
      <c r="K623" s="24" t="s">
        <v>2899</v>
      </c>
      <c r="L623" s="24" t="s">
        <v>67</v>
      </c>
      <c r="M623" s="24" t="s">
        <v>382</v>
      </c>
      <c r="N623" s="24" t="s">
        <v>382</v>
      </c>
      <c r="O623" s="25">
        <v>0.7</v>
      </c>
      <c r="P623" s="24"/>
      <c r="Q623" s="24"/>
      <c r="R623" s="24"/>
      <c r="S623" s="24"/>
      <c r="T623" s="24"/>
      <c r="U623" s="24"/>
      <c r="V623" s="24">
        <v>2.4</v>
      </c>
      <c r="W623" s="24"/>
      <c r="XDO623"/>
      <c r="XDP623"/>
      <c r="XDQ623"/>
      <c r="XDR623"/>
      <c r="XDS623"/>
    </row>
    <row r="624" s="21" customFormat="1" spans="1:16347">
      <c r="A624" s="24" t="s">
        <v>58</v>
      </c>
      <c r="B624" s="25" t="s">
        <v>59</v>
      </c>
      <c r="C624" s="24" t="s">
        <v>60</v>
      </c>
      <c r="D624" s="35" t="s">
        <v>2900</v>
      </c>
      <c r="E624" s="24" t="s">
        <v>2901</v>
      </c>
      <c r="F624" s="24" t="s">
        <v>2902</v>
      </c>
      <c r="G624" s="24" t="s">
        <v>2894</v>
      </c>
      <c r="H624" s="24"/>
      <c r="I624" s="25">
        <v>2.3</v>
      </c>
      <c r="J624" s="24" t="s">
        <v>881</v>
      </c>
      <c r="K624" s="24" t="s">
        <v>2903</v>
      </c>
      <c r="L624" s="24" t="s">
        <v>67</v>
      </c>
      <c r="M624" s="24" t="s">
        <v>137</v>
      </c>
      <c r="N624" s="24" t="s">
        <v>137</v>
      </c>
      <c r="O624" s="25">
        <v>0.5</v>
      </c>
      <c r="P624" s="24"/>
      <c r="Q624" s="24"/>
      <c r="R624" s="24"/>
      <c r="S624" s="24"/>
      <c r="T624" s="24"/>
      <c r="U624" s="24"/>
      <c r="V624" s="24">
        <v>1.8</v>
      </c>
      <c r="W624" s="24"/>
      <c r="XDO624"/>
      <c r="XDP624"/>
      <c r="XDQ624"/>
      <c r="XDR624"/>
      <c r="XDS624"/>
    </row>
    <row r="625" s="21" customFormat="1" spans="1:16347">
      <c r="A625" s="24" t="s">
        <v>58</v>
      </c>
      <c r="B625" s="25" t="s">
        <v>59</v>
      </c>
      <c r="C625" s="24" t="s">
        <v>60</v>
      </c>
      <c r="D625" s="35" t="s">
        <v>2904</v>
      </c>
      <c r="E625" s="24" t="s">
        <v>2905</v>
      </c>
      <c r="F625" s="24" t="s">
        <v>2906</v>
      </c>
      <c r="G625" s="24" t="s">
        <v>2907</v>
      </c>
      <c r="H625" s="24"/>
      <c r="I625" s="25">
        <v>3</v>
      </c>
      <c r="J625" s="24" t="s">
        <v>65</v>
      </c>
      <c r="K625" s="24" t="s">
        <v>2908</v>
      </c>
      <c r="L625" s="24" t="s">
        <v>67</v>
      </c>
      <c r="M625" s="24" t="s">
        <v>79</v>
      </c>
      <c r="N625" s="24" t="s">
        <v>79</v>
      </c>
      <c r="O625" s="25">
        <v>0.7</v>
      </c>
      <c r="P625" s="24"/>
      <c r="Q625" s="24"/>
      <c r="R625" s="24"/>
      <c r="S625" s="24"/>
      <c r="T625" s="24"/>
      <c r="U625" s="24"/>
      <c r="V625" s="24">
        <v>2.3</v>
      </c>
      <c r="W625" s="24"/>
      <c r="XDO625"/>
      <c r="XDP625"/>
      <c r="XDQ625"/>
      <c r="XDR625"/>
      <c r="XDS625"/>
    </row>
    <row r="626" s="21" customFormat="1" spans="1:16347">
      <c r="A626" s="24" t="s">
        <v>58</v>
      </c>
      <c r="B626" s="25" t="s">
        <v>59</v>
      </c>
      <c r="C626" s="24" t="s">
        <v>60</v>
      </c>
      <c r="D626" s="35" t="s">
        <v>2909</v>
      </c>
      <c r="E626" s="24" t="s">
        <v>2910</v>
      </c>
      <c r="F626" s="24" t="s">
        <v>2911</v>
      </c>
      <c r="G626" s="24" t="s">
        <v>2912</v>
      </c>
      <c r="H626" s="24"/>
      <c r="I626" s="25">
        <v>3.1</v>
      </c>
      <c r="J626" s="24" t="s">
        <v>65</v>
      </c>
      <c r="K626" s="24" t="s">
        <v>2913</v>
      </c>
      <c r="L626" s="24" t="s">
        <v>67</v>
      </c>
      <c r="M626" s="24" t="s">
        <v>661</v>
      </c>
      <c r="N626" s="24" t="s">
        <v>661</v>
      </c>
      <c r="O626" s="25">
        <v>0.7</v>
      </c>
      <c r="P626" s="24"/>
      <c r="Q626" s="24"/>
      <c r="R626" s="24"/>
      <c r="S626" s="24"/>
      <c r="T626" s="24"/>
      <c r="U626" s="24"/>
      <c r="V626" s="24">
        <v>2.4</v>
      </c>
      <c r="W626" s="24"/>
      <c r="XDO626"/>
      <c r="XDP626"/>
      <c r="XDQ626"/>
      <c r="XDR626"/>
      <c r="XDS626"/>
    </row>
    <row r="627" s="21" customFormat="1" spans="1:16347">
      <c r="A627" s="24" t="s">
        <v>58</v>
      </c>
      <c r="B627" s="25" t="s">
        <v>59</v>
      </c>
      <c r="C627" s="24" t="s">
        <v>60</v>
      </c>
      <c r="D627" s="35" t="s">
        <v>2914</v>
      </c>
      <c r="E627" s="24" t="s">
        <v>2915</v>
      </c>
      <c r="F627" s="24" t="s">
        <v>2916</v>
      </c>
      <c r="G627" s="24" t="s">
        <v>2907</v>
      </c>
      <c r="H627" s="24"/>
      <c r="I627" s="25">
        <v>3.6</v>
      </c>
      <c r="J627" s="24" t="s">
        <v>65</v>
      </c>
      <c r="K627" s="24" t="s">
        <v>2917</v>
      </c>
      <c r="L627" s="24" t="s">
        <v>67</v>
      </c>
      <c r="M627" s="24" t="s">
        <v>744</v>
      </c>
      <c r="N627" s="24" t="s">
        <v>744</v>
      </c>
      <c r="O627" s="25">
        <v>1</v>
      </c>
      <c r="P627" s="24"/>
      <c r="Q627" s="24"/>
      <c r="R627" s="24"/>
      <c r="S627" s="24"/>
      <c r="T627" s="24"/>
      <c r="U627" s="24"/>
      <c r="V627" s="24">
        <v>2.6</v>
      </c>
      <c r="W627" s="24"/>
      <c r="XDO627"/>
      <c r="XDP627"/>
      <c r="XDQ627"/>
      <c r="XDR627"/>
      <c r="XDS627"/>
    </row>
    <row r="628" s="21" customFormat="1" spans="1:16347">
      <c r="A628" s="24" t="s">
        <v>58</v>
      </c>
      <c r="B628" s="25" t="s">
        <v>59</v>
      </c>
      <c r="C628" s="24" t="s">
        <v>60</v>
      </c>
      <c r="D628" s="35" t="s">
        <v>2918</v>
      </c>
      <c r="E628" s="24" t="s">
        <v>2919</v>
      </c>
      <c r="F628" s="24" t="s">
        <v>2920</v>
      </c>
      <c r="G628" s="24" t="s">
        <v>2907</v>
      </c>
      <c r="H628" s="24"/>
      <c r="I628" s="25">
        <v>2.8</v>
      </c>
      <c r="J628" s="24" t="s">
        <v>65</v>
      </c>
      <c r="K628" s="24" t="s">
        <v>2921</v>
      </c>
      <c r="L628" s="24" t="s">
        <v>67</v>
      </c>
      <c r="M628" s="24" t="s">
        <v>137</v>
      </c>
      <c r="N628" s="24" t="s">
        <v>137</v>
      </c>
      <c r="O628" s="25">
        <v>0.5</v>
      </c>
      <c r="P628" s="24"/>
      <c r="Q628" s="24"/>
      <c r="R628" s="24"/>
      <c r="S628" s="24"/>
      <c r="T628" s="24"/>
      <c r="U628" s="24"/>
      <c r="V628" s="24">
        <v>2.3</v>
      </c>
      <c r="W628" s="24"/>
      <c r="XDO628"/>
      <c r="XDP628"/>
      <c r="XDQ628"/>
      <c r="XDR628"/>
      <c r="XDS628"/>
    </row>
    <row r="629" s="21" customFormat="1" spans="1:16347">
      <c r="A629" s="24" t="s">
        <v>58</v>
      </c>
      <c r="B629" s="25" t="s">
        <v>59</v>
      </c>
      <c r="C629" s="24" t="s">
        <v>60</v>
      </c>
      <c r="D629" s="35" t="s">
        <v>2922</v>
      </c>
      <c r="E629" s="24" t="s">
        <v>2923</v>
      </c>
      <c r="F629" s="24" t="s">
        <v>2924</v>
      </c>
      <c r="G629" s="24" t="s">
        <v>2925</v>
      </c>
      <c r="H629" s="24"/>
      <c r="I629" s="25">
        <v>4.8</v>
      </c>
      <c r="J629" s="24" t="s">
        <v>65</v>
      </c>
      <c r="K629" s="24" t="s">
        <v>2926</v>
      </c>
      <c r="L629" s="24" t="s">
        <v>67</v>
      </c>
      <c r="M629" s="24" t="s">
        <v>519</v>
      </c>
      <c r="N629" s="24" t="s">
        <v>519</v>
      </c>
      <c r="O629" s="25">
        <v>2</v>
      </c>
      <c r="P629" s="24"/>
      <c r="Q629" s="24"/>
      <c r="R629" s="24"/>
      <c r="S629" s="24"/>
      <c r="T629" s="24"/>
      <c r="U629" s="24"/>
      <c r="V629" s="24">
        <v>2.8</v>
      </c>
      <c r="W629" s="24"/>
      <c r="XDO629"/>
      <c r="XDP629"/>
      <c r="XDQ629"/>
      <c r="XDR629"/>
      <c r="XDS629"/>
    </row>
    <row r="630" s="21" customFormat="1" spans="1:16347">
      <c r="A630" s="24" t="s">
        <v>58</v>
      </c>
      <c r="B630" s="25" t="s">
        <v>59</v>
      </c>
      <c r="C630" s="24" t="s">
        <v>60</v>
      </c>
      <c r="D630" s="35" t="s">
        <v>2927</v>
      </c>
      <c r="E630" s="24" t="s">
        <v>2928</v>
      </c>
      <c r="F630" s="24" t="s">
        <v>2929</v>
      </c>
      <c r="G630" s="24" t="s">
        <v>2930</v>
      </c>
      <c r="H630" s="24"/>
      <c r="I630" s="25">
        <v>2.8</v>
      </c>
      <c r="J630" s="24" t="s">
        <v>65</v>
      </c>
      <c r="K630" s="24" t="s">
        <v>2931</v>
      </c>
      <c r="L630" s="24" t="s">
        <v>67</v>
      </c>
      <c r="M630" s="24" t="s">
        <v>137</v>
      </c>
      <c r="N630" s="24" t="s">
        <v>137</v>
      </c>
      <c r="O630" s="25">
        <v>0.5</v>
      </c>
      <c r="P630" s="24"/>
      <c r="Q630" s="24"/>
      <c r="R630" s="24"/>
      <c r="S630" s="24"/>
      <c r="T630" s="24"/>
      <c r="U630" s="24"/>
      <c r="V630" s="24">
        <v>2.3</v>
      </c>
      <c r="W630" s="24"/>
      <c r="XDO630"/>
      <c r="XDP630"/>
      <c r="XDQ630"/>
      <c r="XDR630"/>
      <c r="XDS630"/>
    </row>
    <row r="631" s="21" customFormat="1" spans="1:16347">
      <c r="A631" s="24" t="s">
        <v>58</v>
      </c>
      <c r="B631" s="25" t="s">
        <v>59</v>
      </c>
      <c r="C631" s="24" t="s">
        <v>60</v>
      </c>
      <c r="D631" s="35" t="s">
        <v>2932</v>
      </c>
      <c r="E631" s="24" t="s">
        <v>2933</v>
      </c>
      <c r="F631" s="24" t="s">
        <v>2934</v>
      </c>
      <c r="G631" s="24" t="s">
        <v>2930</v>
      </c>
      <c r="H631" s="24"/>
      <c r="I631" s="25">
        <v>2.8</v>
      </c>
      <c r="J631" s="24" t="s">
        <v>65</v>
      </c>
      <c r="K631" s="24" t="s">
        <v>2935</v>
      </c>
      <c r="L631" s="24" t="s">
        <v>67</v>
      </c>
      <c r="M631" s="24" t="s">
        <v>137</v>
      </c>
      <c r="N631" s="24" t="s">
        <v>137</v>
      </c>
      <c r="O631" s="25">
        <v>0.5</v>
      </c>
      <c r="P631" s="24"/>
      <c r="Q631" s="24"/>
      <c r="R631" s="24"/>
      <c r="S631" s="24"/>
      <c r="T631" s="24"/>
      <c r="U631" s="24"/>
      <c r="V631" s="24">
        <v>2.3</v>
      </c>
      <c r="W631" s="24"/>
      <c r="XDO631"/>
      <c r="XDP631"/>
      <c r="XDQ631"/>
      <c r="XDR631"/>
      <c r="XDS631"/>
    </row>
    <row r="632" s="21" customFormat="1" spans="1:16347">
      <c r="A632" s="24" t="s">
        <v>58</v>
      </c>
      <c r="B632" s="25" t="s">
        <v>59</v>
      </c>
      <c r="C632" s="24" t="s">
        <v>60</v>
      </c>
      <c r="D632" s="35" t="s">
        <v>2936</v>
      </c>
      <c r="E632" s="24" t="s">
        <v>2937</v>
      </c>
      <c r="F632" s="24" t="s">
        <v>2938</v>
      </c>
      <c r="G632" s="24" t="s">
        <v>2939</v>
      </c>
      <c r="H632" s="24"/>
      <c r="I632" s="25">
        <v>3</v>
      </c>
      <c r="J632" s="24" t="s">
        <v>65</v>
      </c>
      <c r="K632" s="24" t="s">
        <v>2940</v>
      </c>
      <c r="L632" s="24" t="s">
        <v>67</v>
      </c>
      <c r="M632" s="24" t="s">
        <v>79</v>
      </c>
      <c r="N632" s="24" t="s">
        <v>79</v>
      </c>
      <c r="O632" s="25">
        <v>0.7</v>
      </c>
      <c r="P632" s="24"/>
      <c r="Q632" s="24"/>
      <c r="R632" s="24"/>
      <c r="S632" s="24"/>
      <c r="T632" s="24"/>
      <c r="U632" s="24"/>
      <c r="V632" s="24">
        <v>2.3</v>
      </c>
      <c r="W632" s="24"/>
      <c r="XDO632"/>
      <c r="XDP632"/>
      <c r="XDQ632"/>
      <c r="XDR632"/>
      <c r="XDS632"/>
    </row>
    <row r="633" s="21" customFormat="1" spans="1:16347">
      <c r="A633" s="24" t="s">
        <v>58</v>
      </c>
      <c r="B633" s="25" t="s">
        <v>59</v>
      </c>
      <c r="C633" s="24" t="s">
        <v>60</v>
      </c>
      <c r="D633" s="35" t="s">
        <v>2941</v>
      </c>
      <c r="E633" s="24" t="s">
        <v>2942</v>
      </c>
      <c r="F633" s="24" t="s">
        <v>2943</v>
      </c>
      <c r="G633" s="24" t="s">
        <v>2925</v>
      </c>
      <c r="H633" s="24"/>
      <c r="I633" s="25">
        <v>3.4</v>
      </c>
      <c r="J633" s="24" t="s">
        <v>65</v>
      </c>
      <c r="K633" s="24" t="s">
        <v>2944</v>
      </c>
      <c r="L633" s="24" t="s">
        <v>67</v>
      </c>
      <c r="M633" s="24" t="s">
        <v>724</v>
      </c>
      <c r="N633" s="24" t="s">
        <v>724</v>
      </c>
      <c r="O633" s="25">
        <v>1</v>
      </c>
      <c r="P633" s="24"/>
      <c r="Q633" s="24"/>
      <c r="R633" s="24"/>
      <c r="S633" s="24"/>
      <c r="T633" s="24"/>
      <c r="U633" s="24"/>
      <c r="V633" s="24">
        <v>2.4</v>
      </c>
      <c r="W633" s="24"/>
      <c r="XDO633"/>
      <c r="XDP633"/>
      <c r="XDQ633"/>
      <c r="XDR633"/>
      <c r="XDS633"/>
    </row>
    <row r="634" s="21" customFormat="1" spans="1:16347">
      <c r="A634" s="24" t="s">
        <v>58</v>
      </c>
      <c r="B634" s="25" t="s">
        <v>59</v>
      </c>
      <c r="C634" s="24" t="s">
        <v>60</v>
      </c>
      <c r="D634" s="35" t="s">
        <v>2945</v>
      </c>
      <c r="E634" s="24" t="s">
        <v>2946</v>
      </c>
      <c r="F634" s="24" t="s">
        <v>2947</v>
      </c>
      <c r="G634" s="24" t="s">
        <v>2930</v>
      </c>
      <c r="H634" s="24"/>
      <c r="I634" s="25">
        <v>2.8</v>
      </c>
      <c r="J634" s="24" t="s">
        <v>65</v>
      </c>
      <c r="K634" s="24" t="s">
        <v>2948</v>
      </c>
      <c r="L634" s="24" t="s">
        <v>67</v>
      </c>
      <c r="M634" s="24" t="s">
        <v>137</v>
      </c>
      <c r="N634" s="24" t="s">
        <v>137</v>
      </c>
      <c r="O634" s="25">
        <v>0.5</v>
      </c>
      <c r="P634" s="24"/>
      <c r="Q634" s="24"/>
      <c r="R634" s="24"/>
      <c r="S634" s="24"/>
      <c r="T634" s="24"/>
      <c r="U634" s="24"/>
      <c r="V634" s="24">
        <v>2.3</v>
      </c>
      <c r="W634" s="24"/>
      <c r="XDO634"/>
      <c r="XDP634"/>
      <c r="XDQ634"/>
      <c r="XDR634"/>
      <c r="XDS634"/>
    </row>
    <row r="635" s="21" customFormat="1" spans="1:16347">
      <c r="A635" s="24" t="s">
        <v>58</v>
      </c>
      <c r="B635" s="25" t="s">
        <v>59</v>
      </c>
      <c r="C635" s="24" t="s">
        <v>60</v>
      </c>
      <c r="D635" s="35" t="s">
        <v>2949</v>
      </c>
      <c r="E635" s="24" t="s">
        <v>2950</v>
      </c>
      <c r="F635" s="24" t="s">
        <v>2951</v>
      </c>
      <c r="G635" s="24" t="s">
        <v>2939</v>
      </c>
      <c r="H635" s="24"/>
      <c r="I635" s="25">
        <v>2.8</v>
      </c>
      <c r="J635" s="24" t="s">
        <v>65</v>
      </c>
      <c r="K635" s="24" t="s">
        <v>2952</v>
      </c>
      <c r="L635" s="24" t="s">
        <v>67</v>
      </c>
      <c r="M635" s="24" t="s">
        <v>137</v>
      </c>
      <c r="N635" s="24" t="s">
        <v>137</v>
      </c>
      <c r="O635" s="25">
        <v>0.5</v>
      </c>
      <c r="P635" s="24"/>
      <c r="Q635" s="24"/>
      <c r="R635" s="24"/>
      <c r="S635" s="24"/>
      <c r="T635" s="24"/>
      <c r="U635" s="24"/>
      <c r="V635" s="24">
        <v>2.3</v>
      </c>
      <c r="W635" s="24"/>
      <c r="XDO635"/>
      <c r="XDP635"/>
      <c r="XDQ635"/>
      <c r="XDR635"/>
      <c r="XDS635"/>
    </row>
    <row r="636" s="21" customFormat="1" spans="1:16347">
      <c r="A636" s="24" t="s">
        <v>58</v>
      </c>
      <c r="B636" s="25" t="s">
        <v>59</v>
      </c>
      <c r="C636" s="24" t="s">
        <v>60</v>
      </c>
      <c r="D636" s="35" t="s">
        <v>2953</v>
      </c>
      <c r="E636" s="24" t="s">
        <v>2954</v>
      </c>
      <c r="F636" s="24" t="s">
        <v>2955</v>
      </c>
      <c r="G636" s="24" t="s">
        <v>2956</v>
      </c>
      <c r="H636" s="24"/>
      <c r="I636" s="25">
        <v>3.1</v>
      </c>
      <c r="J636" s="24" t="s">
        <v>65</v>
      </c>
      <c r="K636" s="24" t="s">
        <v>2957</v>
      </c>
      <c r="L636" s="24" t="s">
        <v>67</v>
      </c>
      <c r="M636" s="24" t="s">
        <v>382</v>
      </c>
      <c r="N636" s="24" t="s">
        <v>382</v>
      </c>
      <c r="O636" s="25">
        <v>0.7</v>
      </c>
      <c r="P636" s="24"/>
      <c r="Q636" s="24"/>
      <c r="R636" s="24"/>
      <c r="S636" s="24"/>
      <c r="T636" s="24"/>
      <c r="U636" s="24"/>
      <c r="V636" s="24">
        <v>2.4</v>
      </c>
      <c r="W636" s="24"/>
      <c r="XDO636"/>
      <c r="XDP636"/>
      <c r="XDQ636"/>
      <c r="XDR636"/>
      <c r="XDS636"/>
    </row>
    <row r="637" s="21" customFormat="1" spans="1:16347">
      <c r="A637" s="24" t="s">
        <v>58</v>
      </c>
      <c r="B637" s="25" t="s">
        <v>59</v>
      </c>
      <c r="C637" s="24" t="s">
        <v>60</v>
      </c>
      <c r="D637" s="35" t="s">
        <v>2958</v>
      </c>
      <c r="E637" s="24" t="s">
        <v>2959</v>
      </c>
      <c r="F637" s="24" t="s">
        <v>2960</v>
      </c>
      <c r="G637" s="24" t="s">
        <v>2961</v>
      </c>
      <c r="H637" s="24"/>
      <c r="I637" s="25">
        <v>4.8</v>
      </c>
      <c r="J637" s="24" t="s">
        <v>65</v>
      </c>
      <c r="K637" s="24" t="s">
        <v>2962</v>
      </c>
      <c r="L637" s="24" t="s">
        <v>67</v>
      </c>
      <c r="M637" s="24" t="s">
        <v>519</v>
      </c>
      <c r="N637" s="24" t="s">
        <v>519</v>
      </c>
      <c r="O637" s="25">
        <v>2</v>
      </c>
      <c r="P637" s="24"/>
      <c r="Q637" s="24"/>
      <c r="R637" s="24"/>
      <c r="S637" s="24"/>
      <c r="T637" s="24"/>
      <c r="U637" s="24"/>
      <c r="V637" s="24">
        <v>2.8</v>
      </c>
      <c r="W637" s="24"/>
      <c r="XDO637"/>
      <c r="XDP637"/>
      <c r="XDQ637"/>
      <c r="XDR637"/>
      <c r="XDS637"/>
    </row>
    <row r="638" s="21" customFormat="1" spans="1:16347">
      <c r="A638" s="24" t="s">
        <v>58</v>
      </c>
      <c r="B638" s="25" t="s">
        <v>59</v>
      </c>
      <c r="C638" s="24" t="s">
        <v>60</v>
      </c>
      <c r="D638" s="35" t="s">
        <v>2963</v>
      </c>
      <c r="E638" s="24" t="s">
        <v>2964</v>
      </c>
      <c r="F638" s="24" t="s">
        <v>2965</v>
      </c>
      <c r="G638" s="24" t="s">
        <v>2912</v>
      </c>
      <c r="H638" s="24"/>
      <c r="I638" s="25">
        <v>2.8</v>
      </c>
      <c r="J638" s="24" t="s">
        <v>65</v>
      </c>
      <c r="K638" s="24" t="s">
        <v>2966</v>
      </c>
      <c r="L638" s="24" t="s">
        <v>67</v>
      </c>
      <c r="M638" s="24" t="s">
        <v>137</v>
      </c>
      <c r="N638" s="24" t="s">
        <v>137</v>
      </c>
      <c r="O638" s="25">
        <v>0.5</v>
      </c>
      <c r="P638" s="24"/>
      <c r="Q638" s="24"/>
      <c r="R638" s="24"/>
      <c r="S638" s="24"/>
      <c r="T638" s="24"/>
      <c r="U638" s="24"/>
      <c r="V638" s="24">
        <v>2.3</v>
      </c>
      <c r="W638" s="24"/>
      <c r="XDO638"/>
      <c r="XDP638"/>
      <c r="XDQ638"/>
      <c r="XDR638"/>
      <c r="XDS638"/>
    </row>
    <row r="639" s="21" customFormat="1" spans="1:16347">
      <c r="A639" s="24" t="s">
        <v>58</v>
      </c>
      <c r="B639" s="25" t="s">
        <v>59</v>
      </c>
      <c r="C639" s="24" t="s">
        <v>60</v>
      </c>
      <c r="D639" s="35" t="s">
        <v>2967</v>
      </c>
      <c r="E639" s="24" t="s">
        <v>2968</v>
      </c>
      <c r="F639" s="24" t="s">
        <v>2969</v>
      </c>
      <c r="G639" s="24" t="s">
        <v>2956</v>
      </c>
      <c r="H639" s="24"/>
      <c r="I639" s="25">
        <v>2.8</v>
      </c>
      <c r="J639" s="24" t="s">
        <v>65</v>
      </c>
      <c r="K639" s="24" t="s">
        <v>2970</v>
      </c>
      <c r="L639" s="24" t="s">
        <v>67</v>
      </c>
      <c r="M639" s="24" t="s">
        <v>672</v>
      </c>
      <c r="N639" s="24" t="s">
        <v>672</v>
      </c>
      <c r="O639" s="25">
        <v>0.5</v>
      </c>
      <c r="P639" s="24"/>
      <c r="Q639" s="24"/>
      <c r="R639" s="24"/>
      <c r="S639" s="24"/>
      <c r="T639" s="24"/>
      <c r="U639" s="24"/>
      <c r="V639" s="24">
        <v>2.3</v>
      </c>
      <c r="W639" s="24"/>
      <c r="XDO639"/>
      <c r="XDP639"/>
      <c r="XDQ639"/>
      <c r="XDR639"/>
      <c r="XDS639"/>
    </row>
    <row r="640" s="21" customFormat="1" spans="1:16347">
      <c r="A640" s="24" t="s">
        <v>58</v>
      </c>
      <c r="B640" s="25" t="s">
        <v>59</v>
      </c>
      <c r="C640" s="24" t="s">
        <v>60</v>
      </c>
      <c r="D640" s="35" t="s">
        <v>2971</v>
      </c>
      <c r="E640" s="24" t="s">
        <v>2972</v>
      </c>
      <c r="F640" s="24" t="s">
        <v>2973</v>
      </c>
      <c r="G640" s="24" t="s">
        <v>2956</v>
      </c>
      <c r="H640" s="24"/>
      <c r="I640" s="25">
        <v>3.1</v>
      </c>
      <c r="J640" s="24" t="s">
        <v>65</v>
      </c>
      <c r="K640" s="24" t="s">
        <v>2974</v>
      </c>
      <c r="L640" s="24" t="s">
        <v>67</v>
      </c>
      <c r="M640" s="24" t="s">
        <v>1377</v>
      </c>
      <c r="N640" s="24" t="s">
        <v>1377</v>
      </c>
      <c r="O640" s="25">
        <v>0.7</v>
      </c>
      <c r="P640" s="24"/>
      <c r="Q640" s="24"/>
      <c r="R640" s="24"/>
      <c r="S640" s="24"/>
      <c r="T640" s="24"/>
      <c r="U640" s="24"/>
      <c r="V640" s="24">
        <v>2.4</v>
      </c>
      <c r="W640" s="24"/>
      <c r="XDO640"/>
      <c r="XDP640"/>
      <c r="XDQ640"/>
      <c r="XDR640"/>
      <c r="XDS640"/>
    </row>
    <row r="641" s="21" customFormat="1" spans="1:16347">
      <c r="A641" s="24" t="s">
        <v>58</v>
      </c>
      <c r="B641" s="25" t="s">
        <v>59</v>
      </c>
      <c r="C641" s="24" t="s">
        <v>60</v>
      </c>
      <c r="D641" s="35" t="s">
        <v>2975</v>
      </c>
      <c r="E641" s="24" t="s">
        <v>2976</v>
      </c>
      <c r="F641" s="24" t="s">
        <v>2977</v>
      </c>
      <c r="G641" s="24" t="s">
        <v>2978</v>
      </c>
      <c r="H641" s="24"/>
      <c r="I641" s="25">
        <v>3</v>
      </c>
      <c r="J641" s="24" t="s">
        <v>65</v>
      </c>
      <c r="K641" s="24" t="s">
        <v>2979</v>
      </c>
      <c r="L641" s="24" t="s">
        <v>67</v>
      </c>
      <c r="M641" s="24" t="s">
        <v>79</v>
      </c>
      <c r="N641" s="24" t="s">
        <v>79</v>
      </c>
      <c r="O641" s="25">
        <v>0.7</v>
      </c>
      <c r="P641" s="24"/>
      <c r="Q641" s="24"/>
      <c r="R641" s="24"/>
      <c r="S641" s="24"/>
      <c r="T641" s="24"/>
      <c r="U641" s="24"/>
      <c r="V641" s="24">
        <v>2.3</v>
      </c>
      <c r="W641" s="24"/>
      <c r="XDO641"/>
      <c r="XDP641"/>
      <c r="XDQ641"/>
      <c r="XDR641"/>
      <c r="XDS641"/>
    </row>
    <row r="642" s="21" customFormat="1" spans="1:16347">
      <c r="A642" s="24" t="s">
        <v>58</v>
      </c>
      <c r="B642" s="25" t="s">
        <v>59</v>
      </c>
      <c r="C642" s="24" t="s">
        <v>60</v>
      </c>
      <c r="D642" s="35" t="s">
        <v>2980</v>
      </c>
      <c r="E642" s="24" t="s">
        <v>2981</v>
      </c>
      <c r="F642" s="24" t="s">
        <v>2982</v>
      </c>
      <c r="G642" s="24" t="s">
        <v>2983</v>
      </c>
      <c r="H642" s="24"/>
      <c r="I642" s="25">
        <v>3.1</v>
      </c>
      <c r="J642" s="24" t="s">
        <v>65</v>
      </c>
      <c r="K642" s="24" t="s">
        <v>2984</v>
      </c>
      <c r="L642" s="24" t="s">
        <v>67</v>
      </c>
      <c r="M642" s="24" t="s">
        <v>1539</v>
      </c>
      <c r="N642" s="24" t="s">
        <v>1539</v>
      </c>
      <c r="O642" s="25">
        <v>0.7</v>
      </c>
      <c r="P642" s="24"/>
      <c r="Q642" s="24"/>
      <c r="R642" s="24"/>
      <c r="S642" s="24"/>
      <c r="T642" s="24"/>
      <c r="U642" s="24"/>
      <c r="V642" s="24">
        <v>2.4</v>
      </c>
      <c r="W642" s="24"/>
      <c r="XDO642"/>
      <c r="XDP642"/>
      <c r="XDQ642"/>
      <c r="XDR642"/>
      <c r="XDS642"/>
    </row>
    <row r="643" s="21" customFormat="1" spans="1:16347">
      <c r="A643" s="24" t="s">
        <v>58</v>
      </c>
      <c r="B643" s="25" t="s">
        <v>59</v>
      </c>
      <c r="C643" s="24" t="s">
        <v>60</v>
      </c>
      <c r="D643" s="35" t="s">
        <v>2985</v>
      </c>
      <c r="E643" s="24" t="s">
        <v>2986</v>
      </c>
      <c r="F643" s="24" t="s">
        <v>2987</v>
      </c>
      <c r="G643" s="24" t="s">
        <v>2983</v>
      </c>
      <c r="H643" s="24"/>
      <c r="I643" s="25">
        <v>2.8</v>
      </c>
      <c r="J643" s="24" t="s">
        <v>65</v>
      </c>
      <c r="K643" s="24" t="s">
        <v>2988</v>
      </c>
      <c r="L643" s="24" t="s">
        <v>67</v>
      </c>
      <c r="M643" s="24" t="s">
        <v>672</v>
      </c>
      <c r="N643" s="24" t="s">
        <v>672</v>
      </c>
      <c r="O643" s="25">
        <v>0.5</v>
      </c>
      <c r="P643" s="24"/>
      <c r="Q643" s="24"/>
      <c r="R643" s="24"/>
      <c r="S643" s="24"/>
      <c r="T643" s="24"/>
      <c r="U643" s="24"/>
      <c r="V643" s="24">
        <v>2.3</v>
      </c>
      <c r="W643" s="24"/>
      <c r="XDO643"/>
      <c r="XDP643"/>
      <c r="XDQ643"/>
      <c r="XDR643"/>
      <c r="XDS643"/>
    </row>
    <row r="644" s="21" customFormat="1" spans="1:16347">
      <c r="A644" s="24" t="s">
        <v>58</v>
      </c>
      <c r="B644" s="25" t="s">
        <v>59</v>
      </c>
      <c r="C644" s="24" t="s">
        <v>60</v>
      </c>
      <c r="D644" s="35" t="s">
        <v>2989</v>
      </c>
      <c r="E644" s="24" t="s">
        <v>2990</v>
      </c>
      <c r="F644" s="24" t="s">
        <v>2991</v>
      </c>
      <c r="G644" s="24" t="s">
        <v>2983</v>
      </c>
      <c r="H644" s="24"/>
      <c r="I644" s="25">
        <v>2.8</v>
      </c>
      <c r="J644" s="24" t="s">
        <v>65</v>
      </c>
      <c r="K644" s="24" t="s">
        <v>2992</v>
      </c>
      <c r="L644" s="24" t="s">
        <v>67</v>
      </c>
      <c r="M644" s="24" t="s">
        <v>137</v>
      </c>
      <c r="N644" s="24" t="s">
        <v>137</v>
      </c>
      <c r="O644" s="25">
        <v>0.5</v>
      </c>
      <c r="P644" s="24"/>
      <c r="Q644" s="24"/>
      <c r="R644" s="24"/>
      <c r="S644" s="24"/>
      <c r="T644" s="24"/>
      <c r="U644" s="24"/>
      <c r="V644" s="24">
        <v>2.3</v>
      </c>
      <c r="W644" s="24"/>
      <c r="XDO644"/>
      <c r="XDP644"/>
      <c r="XDQ644"/>
      <c r="XDR644"/>
      <c r="XDS644"/>
    </row>
    <row r="645" s="21" customFormat="1" spans="1:16347">
      <c r="A645" s="24" t="s">
        <v>58</v>
      </c>
      <c r="B645" s="25" t="s">
        <v>59</v>
      </c>
      <c r="C645" s="24" t="s">
        <v>60</v>
      </c>
      <c r="D645" s="35" t="s">
        <v>2993</v>
      </c>
      <c r="E645" s="24" t="s">
        <v>2994</v>
      </c>
      <c r="F645" s="24" t="s">
        <v>2995</v>
      </c>
      <c r="G645" s="24" t="s">
        <v>2996</v>
      </c>
      <c r="H645" s="24"/>
      <c r="I645" s="25">
        <v>3.1</v>
      </c>
      <c r="J645" s="24" t="s">
        <v>65</v>
      </c>
      <c r="K645" s="24" t="s">
        <v>2997</v>
      </c>
      <c r="L645" s="24" t="s">
        <v>67</v>
      </c>
      <c r="M645" s="24" t="s">
        <v>1377</v>
      </c>
      <c r="N645" s="24" t="s">
        <v>1377</v>
      </c>
      <c r="O645" s="25">
        <v>0.7</v>
      </c>
      <c r="P645" s="24"/>
      <c r="Q645" s="24"/>
      <c r="R645" s="24"/>
      <c r="S645" s="24"/>
      <c r="T645" s="24"/>
      <c r="U645" s="24"/>
      <c r="V645" s="24">
        <v>2.4</v>
      </c>
      <c r="W645" s="24"/>
      <c r="XDO645"/>
      <c r="XDP645"/>
      <c r="XDQ645"/>
      <c r="XDR645"/>
      <c r="XDS645"/>
    </row>
    <row r="646" s="21" customFormat="1" spans="1:16347">
      <c r="A646" s="24" t="s">
        <v>58</v>
      </c>
      <c r="B646" s="25" t="s">
        <v>59</v>
      </c>
      <c r="C646" s="24" t="s">
        <v>60</v>
      </c>
      <c r="D646" s="35" t="s">
        <v>2998</v>
      </c>
      <c r="E646" s="24" t="s">
        <v>2999</v>
      </c>
      <c r="F646" s="24" t="s">
        <v>3000</v>
      </c>
      <c r="G646" s="24" t="s">
        <v>3001</v>
      </c>
      <c r="H646" s="24"/>
      <c r="I646" s="25">
        <v>2.8</v>
      </c>
      <c r="J646" s="24" t="s">
        <v>65</v>
      </c>
      <c r="K646" s="24" t="s">
        <v>3002</v>
      </c>
      <c r="L646" s="24" t="s">
        <v>67</v>
      </c>
      <c r="M646" s="24" t="s">
        <v>3003</v>
      </c>
      <c r="N646" s="24" t="s">
        <v>3003</v>
      </c>
      <c r="O646" s="25">
        <v>0.5</v>
      </c>
      <c r="P646" s="24"/>
      <c r="Q646" s="24"/>
      <c r="R646" s="24"/>
      <c r="S646" s="24"/>
      <c r="T646" s="24"/>
      <c r="U646" s="24"/>
      <c r="V646" s="24">
        <v>2.3</v>
      </c>
      <c r="W646" s="24"/>
      <c r="XDO646"/>
      <c r="XDP646"/>
      <c r="XDQ646"/>
      <c r="XDR646"/>
      <c r="XDS646"/>
    </row>
    <row r="647" s="21" customFormat="1" spans="1:16347">
      <c r="A647" s="24" t="s">
        <v>58</v>
      </c>
      <c r="B647" s="25" t="s">
        <v>59</v>
      </c>
      <c r="C647" s="24" t="s">
        <v>60</v>
      </c>
      <c r="D647" s="35" t="s">
        <v>3004</v>
      </c>
      <c r="E647" s="24" t="s">
        <v>3005</v>
      </c>
      <c r="F647" s="24" t="s">
        <v>3006</v>
      </c>
      <c r="G647" s="24" t="s">
        <v>3007</v>
      </c>
      <c r="H647" s="24"/>
      <c r="I647" s="25">
        <v>7.5</v>
      </c>
      <c r="J647" s="24" t="s">
        <v>65</v>
      </c>
      <c r="K647" s="24" t="s">
        <v>3008</v>
      </c>
      <c r="L647" s="24" t="s">
        <v>67</v>
      </c>
      <c r="M647" s="24" t="s">
        <v>153</v>
      </c>
      <c r="N647" s="24" t="s">
        <v>153</v>
      </c>
      <c r="O647" s="25">
        <v>4</v>
      </c>
      <c r="P647" s="24"/>
      <c r="Q647" s="24"/>
      <c r="R647" s="24"/>
      <c r="S647" s="24"/>
      <c r="T647" s="24"/>
      <c r="U647" s="24"/>
      <c r="V647" s="24">
        <v>3.5</v>
      </c>
      <c r="W647" s="24"/>
      <c r="XDO647"/>
      <c r="XDP647"/>
      <c r="XDQ647"/>
      <c r="XDR647"/>
      <c r="XDS647"/>
    </row>
    <row r="648" s="21" customFormat="1" spans="1:16347">
      <c r="A648" s="24" t="s">
        <v>58</v>
      </c>
      <c r="B648" s="25" t="s">
        <v>59</v>
      </c>
      <c r="C648" s="24" t="s">
        <v>60</v>
      </c>
      <c r="D648" s="35" t="s">
        <v>3009</v>
      </c>
      <c r="E648" s="24" t="s">
        <v>3010</v>
      </c>
      <c r="F648" s="24" t="s">
        <v>3011</v>
      </c>
      <c r="G648" s="24" t="s">
        <v>3012</v>
      </c>
      <c r="H648" s="24"/>
      <c r="I648" s="25">
        <v>4.8</v>
      </c>
      <c r="J648" s="24" t="s">
        <v>65</v>
      </c>
      <c r="K648" s="24" t="s">
        <v>3013</v>
      </c>
      <c r="L648" s="24" t="s">
        <v>67</v>
      </c>
      <c r="M648" s="24" t="s">
        <v>241</v>
      </c>
      <c r="N648" s="24" t="s">
        <v>241</v>
      </c>
      <c r="O648" s="25">
        <v>2</v>
      </c>
      <c r="P648" s="24"/>
      <c r="Q648" s="24"/>
      <c r="R648" s="24"/>
      <c r="S648" s="24"/>
      <c r="T648" s="24"/>
      <c r="U648" s="24"/>
      <c r="V648" s="24">
        <v>2.8</v>
      </c>
      <c r="W648" s="24"/>
      <c r="XDO648"/>
      <c r="XDP648"/>
      <c r="XDQ648"/>
      <c r="XDR648"/>
      <c r="XDS648"/>
    </row>
    <row r="649" s="21" customFormat="1" spans="1:16347">
      <c r="A649" s="24" t="s">
        <v>58</v>
      </c>
      <c r="B649" s="25" t="s">
        <v>59</v>
      </c>
      <c r="C649" s="24" t="s">
        <v>60</v>
      </c>
      <c r="D649" s="35" t="s">
        <v>3014</v>
      </c>
      <c r="E649" s="24" t="s">
        <v>3015</v>
      </c>
      <c r="F649" s="24" t="s">
        <v>3016</v>
      </c>
      <c r="G649" s="24" t="s">
        <v>2996</v>
      </c>
      <c r="H649" s="24"/>
      <c r="I649" s="25">
        <v>3</v>
      </c>
      <c r="J649" s="24" t="s">
        <v>1188</v>
      </c>
      <c r="K649" s="24" t="s">
        <v>3017</v>
      </c>
      <c r="L649" s="24" t="s">
        <v>67</v>
      </c>
      <c r="M649" s="24" t="s">
        <v>209</v>
      </c>
      <c r="N649" s="24" t="s">
        <v>209</v>
      </c>
      <c r="O649" s="25">
        <v>0.5</v>
      </c>
      <c r="P649" s="24"/>
      <c r="Q649" s="24"/>
      <c r="R649" s="24"/>
      <c r="S649" s="24"/>
      <c r="T649" s="24"/>
      <c r="U649" s="24"/>
      <c r="V649" s="24">
        <v>2.5</v>
      </c>
      <c r="W649" s="24"/>
      <c r="XDO649"/>
      <c r="XDP649"/>
      <c r="XDQ649"/>
      <c r="XDR649"/>
      <c r="XDS649"/>
    </row>
    <row r="650" s="21" customFormat="1" spans="1:16347">
      <c r="A650" s="24" t="s">
        <v>58</v>
      </c>
      <c r="B650" s="25" t="s">
        <v>59</v>
      </c>
      <c r="C650" s="24" t="s">
        <v>60</v>
      </c>
      <c r="D650" s="35" t="s">
        <v>3018</v>
      </c>
      <c r="E650" s="24" t="s">
        <v>3019</v>
      </c>
      <c r="F650" s="24" t="s">
        <v>3020</v>
      </c>
      <c r="G650" s="24" t="s">
        <v>2996</v>
      </c>
      <c r="H650" s="24"/>
      <c r="I650" s="25">
        <v>2.8</v>
      </c>
      <c r="J650" s="24" t="s">
        <v>65</v>
      </c>
      <c r="K650" s="24" t="s">
        <v>3021</v>
      </c>
      <c r="L650" s="24" t="s">
        <v>67</v>
      </c>
      <c r="M650" s="24" t="s">
        <v>363</v>
      </c>
      <c r="N650" s="24" t="s">
        <v>363</v>
      </c>
      <c r="O650" s="25">
        <v>0.5</v>
      </c>
      <c r="P650" s="24"/>
      <c r="Q650" s="24"/>
      <c r="R650" s="24"/>
      <c r="S650" s="24"/>
      <c r="T650" s="24"/>
      <c r="U650" s="24"/>
      <c r="V650" s="24">
        <v>2.3</v>
      </c>
      <c r="W650" s="24"/>
      <c r="XDO650"/>
      <c r="XDP650"/>
      <c r="XDQ650"/>
      <c r="XDR650"/>
      <c r="XDS650"/>
    </row>
    <row r="651" s="21" customFormat="1" spans="1:16347">
      <c r="A651" s="24" t="s">
        <v>58</v>
      </c>
      <c r="B651" s="25" t="s">
        <v>59</v>
      </c>
      <c r="C651" s="24" t="s">
        <v>60</v>
      </c>
      <c r="D651" s="35" t="s">
        <v>3022</v>
      </c>
      <c r="E651" s="24" t="s">
        <v>3023</v>
      </c>
      <c r="F651" s="24" t="s">
        <v>3024</v>
      </c>
      <c r="G651" s="24" t="s">
        <v>3012</v>
      </c>
      <c r="H651" s="24"/>
      <c r="I651" s="25">
        <v>3.1</v>
      </c>
      <c r="J651" s="24" t="s">
        <v>65</v>
      </c>
      <c r="K651" s="24" t="s">
        <v>3025</v>
      </c>
      <c r="L651" s="24" t="s">
        <v>67</v>
      </c>
      <c r="M651" s="24" t="s">
        <v>189</v>
      </c>
      <c r="N651" s="24" t="s">
        <v>189</v>
      </c>
      <c r="O651" s="25">
        <v>0.7</v>
      </c>
      <c r="P651" s="24"/>
      <c r="Q651" s="24"/>
      <c r="R651" s="24"/>
      <c r="S651" s="24"/>
      <c r="T651" s="24"/>
      <c r="U651" s="24"/>
      <c r="V651" s="24">
        <v>2.4</v>
      </c>
      <c r="W651" s="24"/>
      <c r="XDO651"/>
      <c r="XDP651"/>
      <c r="XDQ651"/>
      <c r="XDR651"/>
      <c r="XDS651"/>
    </row>
    <row r="652" s="21" customFormat="1" spans="1:16347">
      <c r="A652" s="24" t="s">
        <v>58</v>
      </c>
      <c r="B652" s="25" t="s">
        <v>59</v>
      </c>
      <c r="C652" s="24" t="s">
        <v>60</v>
      </c>
      <c r="D652" s="35" t="s">
        <v>3026</v>
      </c>
      <c r="E652" s="24" t="s">
        <v>3027</v>
      </c>
      <c r="F652" s="24" t="s">
        <v>3028</v>
      </c>
      <c r="G652" s="24" t="s">
        <v>3029</v>
      </c>
      <c r="H652" s="24"/>
      <c r="I652" s="25">
        <v>2.8</v>
      </c>
      <c r="J652" s="24" t="s">
        <v>65</v>
      </c>
      <c r="K652" s="24" t="s">
        <v>3030</v>
      </c>
      <c r="L652" s="24" t="s">
        <v>67</v>
      </c>
      <c r="M652" s="24" t="s">
        <v>946</v>
      </c>
      <c r="N652" s="24" t="s">
        <v>946</v>
      </c>
      <c r="O652" s="25">
        <v>0.5</v>
      </c>
      <c r="P652" s="24"/>
      <c r="Q652" s="24"/>
      <c r="R652" s="24"/>
      <c r="S652" s="24"/>
      <c r="T652" s="24"/>
      <c r="U652" s="24"/>
      <c r="V652" s="24">
        <v>2.3</v>
      </c>
      <c r="W652" s="24"/>
      <c r="XDO652"/>
      <c r="XDP652"/>
      <c r="XDQ652"/>
      <c r="XDR652"/>
      <c r="XDS652"/>
    </row>
    <row r="653" s="21" customFormat="1" spans="1:16347">
      <c r="A653" s="24" t="s">
        <v>58</v>
      </c>
      <c r="B653" s="25" t="s">
        <v>59</v>
      </c>
      <c r="C653" s="24" t="s">
        <v>60</v>
      </c>
      <c r="D653" s="35" t="s">
        <v>3031</v>
      </c>
      <c r="E653" s="24" t="s">
        <v>3032</v>
      </c>
      <c r="F653" s="24" t="s">
        <v>3033</v>
      </c>
      <c r="G653" s="24" t="s">
        <v>3034</v>
      </c>
      <c r="H653" s="24"/>
      <c r="I653" s="25">
        <v>2.8</v>
      </c>
      <c r="J653" s="24" t="s">
        <v>65</v>
      </c>
      <c r="K653" s="24" t="s">
        <v>3035</v>
      </c>
      <c r="L653" s="24" t="s">
        <v>67</v>
      </c>
      <c r="M653" s="24" t="s">
        <v>363</v>
      </c>
      <c r="N653" s="24" t="s">
        <v>363</v>
      </c>
      <c r="O653" s="25">
        <v>0.5</v>
      </c>
      <c r="P653" s="24"/>
      <c r="Q653" s="24"/>
      <c r="R653" s="24"/>
      <c r="S653" s="24"/>
      <c r="T653" s="24"/>
      <c r="U653" s="24"/>
      <c r="V653" s="24">
        <v>2.3</v>
      </c>
      <c r="W653" s="24"/>
      <c r="XDO653"/>
      <c r="XDP653"/>
      <c r="XDQ653"/>
      <c r="XDR653"/>
      <c r="XDS653"/>
    </row>
    <row r="654" s="21" customFormat="1" spans="1:16347">
      <c r="A654" s="24" t="s">
        <v>58</v>
      </c>
      <c r="B654" s="25" t="s">
        <v>59</v>
      </c>
      <c r="C654" s="24" t="s">
        <v>60</v>
      </c>
      <c r="D654" s="35" t="s">
        <v>3036</v>
      </c>
      <c r="E654" s="24" t="s">
        <v>3037</v>
      </c>
      <c r="F654" s="24" t="s">
        <v>3038</v>
      </c>
      <c r="G654" s="24" t="s">
        <v>3034</v>
      </c>
      <c r="H654" s="24"/>
      <c r="I654" s="25">
        <v>3.1</v>
      </c>
      <c r="J654" s="24" t="s">
        <v>65</v>
      </c>
      <c r="K654" s="24" t="s">
        <v>3039</v>
      </c>
      <c r="L654" s="24" t="s">
        <v>67</v>
      </c>
      <c r="M654" s="24" t="s">
        <v>189</v>
      </c>
      <c r="N654" s="24" t="s">
        <v>189</v>
      </c>
      <c r="O654" s="25">
        <v>0.7</v>
      </c>
      <c r="P654" s="24"/>
      <c r="Q654" s="24"/>
      <c r="R654" s="24"/>
      <c r="S654" s="24"/>
      <c r="T654" s="24"/>
      <c r="U654" s="24"/>
      <c r="V654" s="24">
        <v>2.4</v>
      </c>
      <c r="W654" s="24"/>
      <c r="XDO654"/>
      <c r="XDP654"/>
      <c r="XDQ654"/>
      <c r="XDR654"/>
      <c r="XDS654"/>
    </row>
    <row r="655" s="21" customFormat="1" spans="1:16347">
      <c r="A655" s="24" t="s">
        <v>58</v>
      </c>
      <c r="B655" s="25" t="s">
        <v>59</v>
      </c>
      <c r="C655" s="24" t="s">
        <v>60</v>
      </c>
      <c r="D655" s="35" t="s">
        <v>3040</v>
      </c>
      <c r="E655" s="24" t="s">
        <v>3041</v>
      </c>
      <c r="F655" s="24" t="s">
        <v>3042</v>
      </c>
      <c r="G655" s="24" t="s">
        <v>3043</v>
      </c>
      <c r="H655" s="24"/>
      <c r="I655" s="25">
        <v>2.8</v>
      </c>
      <c r="J655" s="24" t="s">
        <v>65</v>
      </c>
      <c r="K655" s="24" t="s">
        <v>3044</v>
      </c>
      <c r="L655" s="24" t="s">
        <v>67</v>
      </c>
      <c r="M655" s="24" t="s">
        <v>1246</v>
      </c>
      <c r="N655" s="24" t="s">
        <v>1246</v>
      </c>
      <c r="O655" s="25">
        <v>0.5</v>
      </c>
      <c r="P655" s="24"/>
      <c r="Q655" s="24"/>
      <c r="R655" s="24"/>
      <c r="S655" s="24"/>
      <c r="T655" s="24"/>
      <c r="U655" s="24"/>
      <c r="V655" s="24">
        <v>2.3</v>
      </c>
      <c r="W655" s="24"/>
      <c r="XDO655"/>
      <c r="XDP655"/>
      <c r="XDQ655"/>
      <c r="XDR655"/>
      <c r="XDS655"/>
    </row>
    <row r="656" spans="1:23">
      <c r="A656" s="24"/>
      <c r="B656" s="25"/>
      <c r="C656" s="24"/>
      <c r="D656" s="24"/>
      <c r="E656" s="24"/>
      <c r="F656" s="24"/>
      <c r="G656" s="24"/>
      <c r="H656" s="24"/>
      <c r="I656" s="25">
        <f>SUM(I2:I655)</f>
        <v>6019.40300000002</v>
      </c>
      <c r="J656" s="24"/>
      <c r="K656" s="24"/>
      <c r="L656" s="24"/>
      <c r="M656" s="24"/>
      <c r="N656" s="24"/>
      <c r="O656" s="25"/>
      <c r="P656" s="24"/>
      <c r="Q656" s="24"/>
      <c r="R656" s="24"/>
      <c r="S656" s="24"/>
      <c r="T656" s="24"/>
      <c r="U656" s="24"/>
      <c r="V656" s="24"/>
      <c r="W656" s="24"/>
    </row>
    <row r="1045723" customFormat="1" spans="15:15">
      <c r="O1045723" s="36"/>
    </row>
    <row r="1045724" customFormat="1" spans="15:15">
      <c r="O1045724" s="36"/>
    </row>
    <row r="1045725" customFormat="1" spans="15:15">
      <c r="O1045725" s="36"/>
    </row>
    <row r="1045726" customFormat="1" spans="15:15">
      <c r="O1045726" s="36"/>
    </row>
    <row r="1045727" customFormat="1" spans="15:15">
      <c r="O1045727" s="36"/>
    </row>
    <row r="1045728" customFormat="1" spans="15:15">
      <c r="O1045728" s="36"/>
    </row>
    <row r="1045729" customFormat="1" spans="15:15">
      <c r="O1045729" s="36"/>
    </row>
    <row r="1045730" customFormat="1" spans="15:15">
      <c r="O1045730" s="36"/>
    </row>
    <row r="1045731" customFormat="1" spans="15:15">
      <c r="O1045731" s="36"/>
    </row>
    <row r="1045732" customFormat="1" spans="15:15">
      <c r="O1045732" s="36"/>
    </row>
    <row r="1045733" customFormat="1" spans="15:15">
      <c r="O1045733" s="36"/>
    </row>
    <row r="1045734" customFormat="1" spans="15:15">
      <c r="O1045734" s="36"/>
    </row>
    <row r="1045735" customFormat="1" spans="15:15">
      <c r="O1045735" s="36"/>
    </row>
    <row r="1045736" customFormat="1" spans="15:15">
      <c r="O1045736" s="36"/>
    </row>
    <row r="1045737" customFormat="1" spans="15:15">
      <c r="O1045737" s="36"/>
    </row>
    <row r="1045738" customFormat="1" spans="15:15">
      <c r="O1045738" s="36"/>
    </row>
    <row r="1045739" customFormat="1" spans="15:15">
      <c r="O1045739" s="36"/>
    </row>
    <row r="1045740" customFormat="1" spans="15:15">
      <c r="O1045740" s="36"/>
    </row>
    <row r="1045741" customFormat="1" spans="15:15">
      <c r="O1045741" s="36"/>
    </row>
    <row r="1045742" customFormat="1" spans="15:15">
      <c r="O1045742" s="36"/>
    </row>
    <row r="1045743" customFormat="1" spans="15:15">
      <c r="O1045743" s="36"/>
    </row>
    <row r="1045744" customFormat="1" spans="15:15">
      <c r="O1045744" s="36"/>
    </row>
    <row r="1045745" customFormat="1" spans="15:15">
      <c r="O1045745" s="36"/>
    </row>
    <row r="1045746" customFormat="1" spans="15:15">
      <c r="O1045746" s="36"/>
    </row>
    <row r="1045747" customFormat="1" spans="15:15">
      <c r="O1045747" s="36"/>
    </row>
    <row r="1045748" customFormat="1" spans="15:15">
      <c r="O1045748" s="36"/>
    </row>
    <row r="1045749" customFormat="1" spans="15:15">
      <c r="O1045749" s="36"/>
    </row>
    <row r="1045750" customFormat="1" spans="15:15">
      <c r="O1045750" s="36"/>
    </row>
    <row r="1045751" customFormat="1" spans="15:15">
      <c r="O1045751" s="36"/>
    </row>
    <row r="1045752" customFormat="1" spans="15:15">
      <c r="O1045752" s="36"/>
    </row>
    <row r="1045753" customFormat="1" spans="15:15">
      <c r="O1045753" s="36"/>
    </row>
    <row r="1045754" customFormat="1" spans="15:15">
      <c r="O1045754" s="36"/>
    </row>
    <row r="1045755" customFormat="1" spans="15:15">
      <c r="O1045755" s="36"/>
    </row>
    <row r="1045756" customFormat="1" spans="15:15">
      <c r="O1045756" s="36"/>
    </row>
    <row r="1045757" customFormat="1" spans="15:15">
      <c r="O1045757" s="36"/>
    </row>
    <row r="1045758" customFormat="1" spans="15:15">
      <c r="O1045758" s="36"/>
    </row>
    <row r="1045759" customFormat="1" spans="15:15">
      <c r="O1045759" s="36"/>
    </row>
    <row r="1045760" customFormat="1" spans="15:15">
      <c r="O1045760" s="36"/>
    </row>
    <row r="1045761" customFormat="1" spans="15:15">
      <c r="O1045761" s="36"/>
    </row>
    <row r="1045762" customFormat="1" spans="15:15">
      <c r="O1045762" s="36"/>
    </row>
    <row r="1045763" customFormat="1" spans="15:15">
      <c r="O1045763" s="36"/>
    </row>
    <row r="1045764" customFormat="1" spans="15:15">
      <c r="O1045764" s="36"/>
    </row>
    <row r="1045765" customFormat="1" spans="15:15">
      <c r="O1045765" s="36"/>
    </row>
    <row r="1045766" customFormat="1" spans="15:15">
      <c r="O1045766" s="36"/>
    </row>
    <row r="1045767" customFormat="1" spans="15:15">
      <c r="O1045767" s="36"/>
    </row>
    <row r="1045768" customFormat="1" spans="15:15">
      <c r="O1045768" s="36"/>
    </row>
    <row r="1045769" customFormat="1" spans="15:15">
      <c r="O1045769" s="36"/>
    </row>
    <row r="1045770" customFormat="1" spans="15:15">
      <c r="O1045770" s="36"/>
    </row>
    <row r="1045771" customFormat="1" spans="15:15">
      <c r="O1045771" s="36"/>
    </row>
    <row r="1045772" customFormat="1" spans="15:15">
      <c r="O1045772" s="36"/>
    </row>
    <row r="1045773" customFormat="1" spans="15:15">
      <c r="O1045773" s="36"/>
    </row>
    <row r="1045774" customFormat="1" spans="15:15">
      <c r="O1045774" s="36"/>
    </row>
    <row r="1045775" customFormat="1" spans="15:15">
      <c r="O1045775" s="36"/>
    </row>
    <row r="1045776" customFormat="1" spans="15:15">
      <c r="O1045776" s="36"/>
    </row>
    <row r="1045777" customFormat="1" spans="15:15">
      <c r="O1045777" s="36"/>
    </row>
    <row r="1045778" customFormat="1" spans="15:15">
      <c r="O1045778" s="36"/>
    </row>
    <row r="1045779" customFormat="1" spans="15:15">
      <c r="O1045779" s="36"/>
    </row>
    <row r="1045780" customFormat="1" spans="15:15">
      <c r="O1045780" s="36"/>
    </row>
    <row r="1045781" customFormat="1" spans="15:15">
      <c r="O1045781" s="36"/>
    </row>
    <row r="1045782" customFormat="1" spans="15:15">
      <c r="O1045782" s="36"/>
    </row>
    <row r="1045783" customFormat="1" spans="15:15">
      <c r="O1045783" s="36"/>
    </row>
    <row r="1045784" customFormat="1" spans="15:15">
      <c r="O1045784" s="36"/>
    </row>
    <row r="1045785" customFormat="1" spans="15:15">
      <c r="O1045785" s="36"/>
    </row>
    <row r="1045786" customFormat="1" spans="15:15">
      <c r="O1045786" s="36"/>
    </row>
    <row r="1045787" customFormat="1" spans="15:15">
      <c r="O1045787" s="36"/>
    </row>
    <row r="1045788" customFormat="1" spans="15:15">
      <c r="O1045788" s="36"/>
    </row>
    <row r="1045789" customFormat="1" spans="15:15">
      <c r="O1045789" s="36"/>
    </row>
    <row r="1045790" customFormat="1" spans="15:15">
      <c r="O1045790" s="36"/>
    </row>
    <row r="1045791" customFormat="1" spans="15:15">
      <c r="O1045791" s="36"/>
    </row>
    <row r="1045792" customFormat="1" spans="15:15">
      <c r="O1045792" s="36"/>
    </row>
    <row r="1045793" customFormat="1" spans="15:15">
      <c r="O1045793" s="36"/>
    </row>
    <row r="1045794" customFormat="1" spans="15:15">
      <c r="O1045794" s="36"/>
    </row>
    <row r="1045795" customFormat="1" spans="15:15">
      <c r="O1045795" s="36"/>
    </row>
    <row r="1045796" customFormat="1" spans="15:15">
      <c r="O1045796" s="36"/>
    </row>
    <row r="1045797" customFormat="1" spans="15:15">
      <c r="O1045797" s="36"/>
    </row>
    <row r="1045798" customFormat="1" spans="15:15">
      <c r="O1045798" s="36"/>
    </row>
    <row r="1045799" customFormat="1" spans="15:15">
      <c r="O1045799" s="36"/>
    </row>
    <row r="1045800" customFormat="1" spans="15:15">
      <c r="O1045800" s="36"/>
    </row>
    <row r="1045801" customFormat="1" spans="15:15">
      <c r="O1045801" s="36"/>
    </row>
    <row r="1045802" customFormat="1" spans="15:15">
      <c r="O1045802" s="36"/>
    </row>
    <row r="1045803" customFormat="1" spans="15:15">
      <c r="O1045803" s="36"/>
    </row>
    <row r="1045804" customFormat="1" spans="15:15">
      <c r="O1045804" s="36"/>
    </row>
    <row r="1045805" customFormat="1" spans="15:15">
      <c r="O1045805" s="36"/>
    </row>
    <row r="1045806" customFormat="1" spans="15:15">
      <c r="O1045806" s="36"/>
    </row>
    <row r="1045807" customFormat="1" spans="15:15">
      <c r="O1045807" s="36"/>
    </row>
    <row r="1045808" customFormat="1" spans="15:15">
      <c r="O1045808" s="36"/>
    </row>
    <row r="1045809" customFormat="1" spans="15:15">
      <c r="O1045809" s="36"/>
    </row>
    <row r="1045810" customFormat="1" spans="15:15">
      <c r="O1045810" s="36"/>
    </row>
    <row r="1045811" customFormat="1" spans="15:15">
      <c r="O1045811" s="36"/>
    </row>
    <row r="1045812" customFormat="1" spans="15:15">
      <c r="O1045812" s="36"/>
    </row>
    <row r="1045813" customFormat="1" spans="15:15">
      <c r="O1045813" s="36"/>
    </row>
    <row r="1045814" customFormat="1" spans="15:15">
      <c r="O1045814" s="36"/>
    </row>
    <row r="1045815" customFormat="1" spans="15:15">
      <c r="O1045815" s="36"/>
    </row>
    <row r="1045816" customFormat="1" spans="15:15">
      <c r="O1045816" s="36"/>
    </row>
    <row r="1045817" customFormat="1" spans="15:15">
      <c r="O1045817" s="36"/>
    </row>
    <row r="1045818" customFormat="1" spans="15:15">
      <c r="O1045818" s="36"/>
    </row>
    <row r="1045819" customFormat="1" spans="15:15">
      <c r="O1045819" s="36"/>
    </row>
    <row r="1045820" customFormat="1" spans="15:15">
      <c r="O1045820" s="36"/>
    </row>
    <row r="1045821" customFormat="1" spans="15:15">
      <c r="O1045821" s="36"/>
    </row>
    <row r="1045822" customFormat="1" spans="15:15">
      <c r="O1045822" s="36"/>
    </row>
    <row r="1045823" customFormat="1" spans="15:15">
      <c r="O1045823" s="36"/>
    </row>
    <row r="1045824" customFormat="1" spans="15:15">
      <c r="O1045824" s="36"/>
    </row>
    <row r="1045825" customFormat="1" spans="15:15">
      <c r="O1045825" s="36"/>
    </row>
    <row r="1045826" customFormat="1" spans="15:15">
      <c r="O1045826" s="36"/>
    </row>
    <row r="1045827" customFormat="1" spans="15:15">
      <c r="O1045827" s="36"/>
    </row>
    <row r="1045828" customFormat="1" spans="15:15">
      <c r="O1045828" s="36"/>
    </row>
    <row r="1045829" customFormat="1" spans="15:15">
      <c r="O1045829" s="36"/>
    </row>
    <row r="1045830" customFormat="1" spans="15:15">
      <c r="O1045830" s="36"/>
    </row>
    <row r="1045831" customFormat="1" spans="15:15">
      <c r="O1045831" s="36"/>
    </row>
    <row r="1045832" customFormat="1" spans="15:15">
      <c r="O1045832" s="36"/>
    </row>
    <row r="1045833" customFormat="1" spans="15:15">
      <c r="O1045833" s="36"/>
    </row>
    <row r="1045834" customFormat="1" spans="15:15">
      <c r="O1045834" s="36"/>
    </row>
    <row r="1045835" customFormat="1" spans="15:15">
      <c r="O1045835" s="36"/>
    </row>
    <row r="1045836" customFormat="1" spans="15:15">
      <c r="O1045836" s="36"/>
    </row>
    <row r="1045837" customFormat="1" spans="15:15">
      <c r="O1045837" s="36"/>
    </row>
    <row r="1045838" customFormat="1" spans="15:15">
      <c r="O1045838" s="36"/>
    </row>
    <row r="1045839" customFormat="1" spans="15:15">
      <c r="O1045839" s="36"/>
    </row>
    <row r="1045840" customFormat="1" spans="15:15">
      <c r="O1045840" s="36"/>
    </row>
    <row r="1045841" customFormat="1" spans="15:15">
      <c r="O1045841" s="36"/>
    </row>
    <row r="1045842" customFormat="1" spans="15:15">
      <c r="O1045842" s="36"/>
    </row>
    <row r="1045843" customFormat="1" spans="15:15">
      <c r="O1045843" s="36"/>
    </row>
    <row r="1045844" customFormat="1" spans="15:15">
      <c r="O1045844" s="36"/>
    </row>
    <row r="1045845" customFormat="1" spans="15:15">
      <c r="O1045845" s="36"/>
    </row>
    <row r="1045846" customFormat="1" spans="15:15">
      <c r="O1045846" s="36"/>
    </row>
    <row r="1045847" customFormat="1" spans="15:15">
      <c r="O1045847" s="36"/>
    </row>
    <row r="1045848" customFormat="1" spans="15:15">
      <c r="O1045848" s="36"/>
    </row>
    <row r="1045849" customFormat="1" spans="15:15">
      <c r="O1045849" s="36"/>
    </row>
    <row r="1045850" customFormat="1" spans="15:15">
      <c r="O1045850" s="36"/>
    </row>
    <row r="1045851" customFormat="1" spans="15:15">
      <c r="O1045851" s="36"/>
    </row>
    <row r="1045852" customFormat="1" spans="15:15">
      <c r="O1045852" s="36"/>
    </row>
    <row r="1045853" customFormat="1" spans="15:15">
      <c r="O1045853" s="36"/>
    </row>
    <row r="1045854" customFormat="1" spans="15:15">
      <c r="O1045854" s="36"/>
    </row>
    <row r="1045855" customFormat="1" spans="15:15">
      <c r="O1045855" s="36"/>
    </row>
    <row r="1045856" customFormat="1" spans="15:15">
      <c r="O1045856" s="36"/>
    </row>
    <row r="1045857" customFormat="1" spans="15:15">
      <c r="O1045857" s="36"/>
    </row>
    <row r="1045858" customFormat="1" spans="15:15">
      <c r="O1045858" s="36"/>
    </row>
    <row r="1045859" customFormat="1" spans="15:15">
      <c r="O1045859" s="36"/>
    </row>
    <row r="1045860" customFormat="1" spans="15:15">
      <c r="O1045860" s="36"/>
    </row>
    <row r="1045861" customFormat="1" spans="15:15">
      <c r="O1045861" s="36"/>
    </row>
    <row r="1045862" customFormat="1" spans="15:15">
      <c r="O1045862" s="36"/>
    </row>
    <row r="1045863" customFormat="1" spans="15:15">
      <c r="O1045863" s="36"/>
    </row>
    <row r="1045864" customFormat="1" spans="15:15">
      <c r="O1045864" s="36"/>
    </row>
    <row r="1045865" customFormat="1" spans="15:15">
      <c r="O1045865" s="36"/>
    </row>
    <row r="1045866" customFormat="1" spans="15:15">
      <c r="O1045866" s="36"/>
    </row>
    <row r="1045867" customFormat="1" spans="15:15">
      <c r="O1045867" s="36"/>
    </row>
    <row r="1045868" customFormat="1" spans="15:15">
      <c r="O1045868" s="36"/>
    </row>
    <row r="1045869" customFormat="1" spans="15:15">
      <c r="O1045869" s="36"/>
    </row>
    <row r="1045870" customFormat="1" spans="15:15">
      <c r="O1045870" s="36"/>
    </row>
    <row r="1045871" customFormat="1" spans="15:15">
      <c r="O1045871" s="36"/>
    </row>
    <row r="1045872" customFormat="1" spans="15:15">
      <c r="O1045872" s="36"/>
    </row>
    <row r="1045873" customFormat="1" spans="15:15">
      <c r="O1045873" s="36"/>
    </row>
    <row r="1045874" customFormat="1" spans="15:15">
      <c r="O1045874" s="36"/>
    </row>
    <row r="1045875" customFormat="1" spans="15:15">
      <c r="O1045875" s="36"/>
    </row>
    <row r="1045876" customFormat="1" spans="15:15">
      <c r="O1045876" s="36"/>
    </row>
    <row r="1045877" customFormat="1" spans="15:15">
      <c r="O1045877" s="36"/>
    </row>
    <row r="1045878" customFormat="1" spans="15:15">
      <c r="O1045878" s="36"/>
    </row>
    <row r="1045879" customFormat="1" spans="15:15">
      <c r="O1045879" s="36"/>
    </row>
    <row r="1045880" customFormat="1" spans="15:15">
      <c r="O1045880" s="36"/>
    </row>
    <row r="1045881" customFormat="1" spans="15:15">
      <c r="O1045881" s="36"/>
    </row>
    <row r="1045882" customFormat="1" spans="15:15">
      <c r="O1045882" s="36"/>
    </row>
    <row r="1045883" customFormat="1" spans="15:15">
      <c r="O1045883" s="36"/>
    </row>
    <row r="1045884" customFormat="1" spans="15:15">
      <c r="O1045884" s="36"/>
    </row>
    <row r="1045885" customFormat="1" spans="15:15">
      <c r="O1045885" s="36"/>
    </row>
    <row r="1045886" customFormat="1" spans="15:15">
      <c r="O1045886" s="36"/>
    </row>
    <row r="1045887" customFormat="1" spans="15:15">
      <c r="O1045887" s="36"/>
    </row>
    <row r="1045888" customFormat="1" spans="15:15">
      <c r="O1045888" s="36"/>
    </row>
    <row r="1045889" customFormat="1" spans="15:15">
      <c r="O1045889" s="36"/>
    </row>
    <row r="1045890" customFormat="1" spans="15:15">
      <c r="O1045890" s="36"/>
    </row>
    <row r="1045891" customFormat="1" spans="15:15">
      <c r="O1045891" s="36"/>
    </row>
    <row r="1045892" customFormat="1" spans="15:15">
      <c r="O1045892" s="36"/>
    </row>
    <row r="1045893" customFormat="1" spans="15:15">
      <c r="O1045893" s="36"/>
    </row>
    <row r="1045894" customFormat="1" spans="15:15">
      <c r="O1045894" s="36"/>
    </row>
    <row r="1045895" customFormat="1" spans="15:15">
      <c r="O1045895" s="36"/>
    </row>
    <row r="1045896" customFormat="1" spans="15:15">
      <c r="O1045896" s="36"/>
    </row>
    <row r="1045897" customFormat="1" spans="15:15">
      <c r="O1045897" s="36"/>
    </row>
    <row r="1045898" customFormat="1" spans="15:15">
      <c r="O1045898" s="36"/>
    </row>
    <row r="1045899" customFormat="1" spans="15:15">
      <c r="O1045899" s="36"/>
    </row>
    <row r="1045900" customFormat="1" spans="15:15">
      <c r="O1045900" s="36"/>
    </row>
    <row r="1045901" customFormat="1" spans="15:15">
      <c r="O1045901" s="36"/>
    </row>
    <row r="1045902" customFormat="1" spans="15:15">
      <c r="O1045902" s="36"/>
    </row>
    <row r="1045903" customFormat="1" spans="15:15">
      <c r="O1045903" s="36"/>
    </row>
    <row r="1045904" customFormat="1" spans="15:15">
      <c r="O1045904" s="36"/>
    </row>
    <row r="1045905" customFormat="1" spans="15:15">
      <c r="O1045905" s="36"/>
    </row>
    <row r="1045906" customFormat="1" spans="15:15">
      <c r="O1045906" s="36"/>
    </row>
    <row r="1045907" customFormat="1" spans="15:15">
      <c r="O1045907" s="36"/>
    </row>
    <row r="1045908" customFormat="1" spans="15:15">
      <c r="O1045908" s="36"/>
    </row>
    <row r="1045909" customFormat="1" spans="15:15">
      <c r="O1045909" s="36"/>
    </row>
    <row r="1045910" customFormat="1" spans="15:15">
      <c r="O1045910" s="36"/>
    </row>
    <row r="1045911" customFormat="1" spans="15:15">
      <c r="O1045911" s="36"/>
    </row>
    <row r="1045912" customFormat="1" spans="15:15">
      <c r="O1045912" s="36"/>
    </row>
    <row r="1045913" customFormat="1" spans="15:15">
      <c r="O1045913" s="36"/>
    </row>
    <row r="1045914" customFormat="1" spans="15:15">
      <c r="O1045914" s="36"/>
    </row>
    <row r="1045915" customFormat="1" spans="15:15">
      <c r="O1045915" s="36"/>
    </row>
    <row r="1045916" customFormat="1" spans="15:15">
      <c r="O1045916" s="36"/>
    </row>
    <row r="1045917" customFormat="1" spans="15:15">
      <c r="O1045917" s="36"/>
    </row>
    <row r="1045918" customFormat="1" spans="15:15">
      <c r="O1045918" s="36"/>
    </row>
    <row r="1045919" customFormat="1" spans="15:15">
      <c r="O1045919" s="36"/>
    </row>
    <row r="1045920" customFormat="1" spans="15:15">
      <c r="O1045920" s="36"/>
    </row>
    <row r="1045921" customFormat="1" spans="15:15">
      <c r="O1045921" s="36"/>
    </row>
    <row r="1045922" customFormat="1" spans="15:15">
      <c r="O1045922" s="36"/>
    </row>
    <row r="1045923" customFormat="1" spans="15:15">
      <c r="O1045923" s="36"/>
    </row>
    <row r="1045924" customFormat="1" spans="15:15">
      <c r="O1045924" s="36"/>
    </row>
    <row r="1045925" customFormat="1" spans="15:15">
      <c r="O1045925" s="36"/>
    </row>
    <row r="1045926" customFormat="1" spans="15:15">
      <c r="O1045926" s="36"/>
    </row>
    <row r="1045927" customFormat="1" spans="15:15">
      <c r="O1045927" s="36"/>
    </row>
    <row r="1045928" customFormat="1" spans="15:15">
      <c r="O1045928" s="36"/>
    </row>
    <row r="1045929" customFormat="1" spans="15:15">
      <c r="O1045929" s="36"/>
    </row>
    <row r="1045930" customFormat="1" spans="15:15">
      <c r="O1045930" s="36"/>
    </row>
    <row r="1045931" customFormat="1" spans="15:15">
      <c r="O1045931" s="36"/>
    </row>
    <row r="1045932" customFormat="1" spans="15:15">
      <c r="O1045932" s="36"/>
    </row>
    <row r="1045933" customFormat="1" spans="15:15">
      <c r="O1045933" s="36"/>
    </row>
    <row r="1045934" customFormat="1" spans="15:15">
      <c r="O1045934" s="36"/>
    </row>
    <row r="1045935" customFormat="1" spans="15:15">
      <c r="O1045935" s="36"/>
    </row>
    <row r="1045936" customFormat="1" spans="15:15">
      <c r="O1045936" s="36"/>
    </row>
    <row r="1045937" customFormat="1" spans="15:15">
      <c r="O1045937" s="36"/>
    </row>
    <row r="1045938" customFormat="1" spans="15:15">
      <c r="O1045938" s="36"/>
    </row>
    <row r="1045939" customFormat="1" spans="15:15">
      <c r="O1045939" s="36"/>
    </row>
    <row r="1045940" customFormat="1" spans="15:15">
      <c r="O1045940" s="36"/>
    </row>
    <row r="1045941" customFormat="1" spans="15:15">
      <c r="O1045941" s="36"/>
    </row>
    <row r="1045942" customFormat="1" spans="15:15">
      <c r="O1045942" s="36"/>
    </row>
    <row r="1045943" customFormat="1" spans="15:15">
      <c r="O1045943" s="36"/>
    </row>
    <row r="1045944" customFormat="1" spans="15:15">
      <c r="O1045944" s="36"/>
    </row>
    <row r="1045945" customFormat="1" spans="15:15">
      <c r="O1045945" s="36"/>
    </row>
    <row r="1045946" customFormat="1" spans="15:15">
      <c r="O1045946" s="36"/>
    </row>
    <row r="1045947" customFormat="1" spans="15:15">
      <c r="O1045947" s="36"/>
    </row>
    <row r="1045948" customFormat="1" spans="15:15">
      <c r="O1045948" s="36"/>
    </row>
    <row r="1045949" customFormat="1" spans="15:15">
      <c r="O1045949" s="36"/>
    </row>
    <row r="1045950" customFormat="1" spans="15:15">
      <c r="O1045950" s="36"/>
    </row>
    <row r="1045951" customFormat="1" spans="15:15">
      <c r="O1045951" s="36"/>
    </row>
    <row r="1045952" customFormat="1" spans="15:15">
      <c r="O1045952" s="36"/>
    </row>
    <row r="1045953" customFormat="1" spans="15:15">
      <c r="O1045953" s="36"/>
    </row>
    <row r="1045954" customFormat="1" spans="15:15">
      <c r="O1045954" s="36"/>
    </row>
    <row r="1045955" customFormat="1" spans="15:15">
      <c r="O1045955" s="36"/>
    </row>
    <row r="1045956" customFormat="1" spans="15:15">
      <c r="O1045956" s="36"/>
    </row>
    <row r="1045957" customFormat="1" spans="15:15">
      <c r="O1045957" s="36"/>
    </row>
    <row r="1045958" customFormat="1" spans="15:15">
      <c r="O1045958" s="36"/>
    </row>
    <row r="1045959" customFormat="1" spans="15:15">
      <c r="O1045959" s="36"/>
    </row>
    <row r="1045960" customFormat="1" spans="15:15">
      <c r="O1045960" s="36"/>
    </row>
    <row r="1045961" customFormat="1" spans="15:15">
      <c r="O1045961" s="36"/>
    </row>
    <row r="1045962" customFormat="1" spans="15:15">
      <c r="O1045962" s="36"/>
    </row>
    <row r="1045963" customFormat="1" spans="15:15">
      <c r="O1045963" s="36"/>
    </row>
    <row r="1045964" customFormat="1" spans="15:15">
      <c r="O1045964" s="36"/>
    </row>
    <row r="1045965" customFormat="1" spans="15:15">
      <c r="O1045965" s="36"/>
    </row>
    <row r="1045966" customFormat="1" spans="15:15">
      <c r="O1045966" s="36"/>
    </row>
    <row r="1045967" customFormat="1" spans="15:15">
      <c r="O1045967" s="36"/>
    </row>
    <row r="1045968" customFormat="1" spans="15:15">
      <c r="O1045968" s="36"/>
    </row>
    <row r="1045969" customFormat="1" spans="15:15">
      <c r="O1045969" s="36"/>
    </row>
    <row r="1045970" customFormat="1" spans="15:15">
      <c r="O1045970" s="36"/>
    </row>
    <row r="1045971" customFormat="1" spans="15:15">
      <c r="O1045971" s="36"/>
    </row>
    <row r="1045972" customFormat="1" spans="15:15">
      <c r="O1045972" s="36"/>
    </row>
    <row r="1045973" customFormat="1" spans="15:15">
      <c r="O1045973" s="36"/>
    </row>
    <row r="1045974" customFormat="1" spans="15:15">
      <c r="O1045974" s="36"/>
    </row>
    <row r="1045975" customFormat="1" spans="15:15">
      <c r="O1045975" s="36"/>
    </row>
    <row r="1045976" customFormat="1" spans="15:15">
      <c r="O1045976" s="36"/>
    </row>
    <row r="1045977" customFormat="1" spans="15:15">
      <c r="O1045977" s="36"/>
    </row>
    <row r="1045978" customFormat="1" spans="15:15">
      <c r="O1045978" s="36"/>
    </row>
    <row r="1045979" customFormat="1" spans="15:15">
      <c r="O1045979" s="36"/>
    </row>
    <row r="1045980" customFormat="1" spans="15:15">
      <c r="O1045980" s="36"/>
    </row>
    <row r="1045981" customFormat="1" spans="15:15">
      <c r="O1045981" s="36"/>
    </row>
    <row r="1045982" customFormat="1" spans="15:15">
      <c r="O1045982" s="36"/>
    </row>
    <row r="1045983" customFormat="1" spans="15:15">
      <c r="O1045983" s="36"/>
    </row>
    <row r="1045984" customFormat="1" spans="15:15">
      <c r="O1045984" s="36"/>
    </row>
    <row r="1045985" customFormat="1" spans="15:15">
      <c r="O1045985" s="36"/>
    </row>
    <row r="1045986" customFormat="1" spans="15:15">
      <c r="O1045986" s="36"/>
    </row>
    <row r="1045987" customFormat="1" spans="15:15">
      <c r="O1045987" s="36"/>
    </row>
    <row r="1045988" customFormat="1" spans="15:15">
      <c r="O1045988" s="36"/>
    </row>
    <row r="1045989" customFormat="1" spans="15:15">
      <c r="O1045989" s="36"/>
    </row>
    <row r="1045990" customFormat="1" spans="15:15">
      <c r="O1045990" s="36"/>
    </row>
    <row r="1045991" customFormat="1" spans="15:15">
      <c r="O1045991" s="36"/>
    </row>
    <row r="1045992" customFormat="1" spans="15:15">
      <c r="O1045992" s="36"/>
    </row>
    <row r="1045993" customFormat="1" spans="15:15">
      <c r="O1045993" s="36"/>
    </row>
    <row r="1045994" customFormat="1" spans="15:15">
      <c r="O1045994" s="36"/>
    </row>
    <row r="1045995" customFormat="1" spans="15:15">
      <c r="O1045995" s="36"/>
    </row>
    <row r="1045996" customFormat="1" spans="15:15">
      <c r="O1045996" s="36"/>
    </row>
    <row r="1045997" customFormat="1" spans="15:15">
      <c r="O1045997" s="36"/>
    </row>
    <row r="1045998" customFormat="1" spans="15:15">
      <c r="O1045998" s="36"/>
    </row>
    <row r="1045999" customFormat="1" spans="15:15">
      <c r="O1045999" s="36"/>
    </row>
    <row r="1046000" customFormat="1" spans="15:15">
      <c r="O1046000" s="36"/>
    </row>
    <row r="1046001" customFormat="1" spans="15:15">
      <c r="O1046001" s="36"/>
    </row>
    <row r="1046002" customFormat="1" spans="15:15">
      <c r="O1046002" s="36"/>
    </row>
    <row r="1046003" customFormat="1" spans="15:15">
      <c r="O1046003" s="36"/>
    </row>
    <row r="1046004" customFormat="1" spans="15:15">
      <c r="O1046004" s="36"/>
    </row>
    <row r="1046005" customFormat="1" spans="15:15">
      <c r="O1046005" s="36"/>
    </row>
    <row r="1046006" customFormat="1" spans="15:15">
      <c r="O1046006" s="36"/>
    </row>
    <row r="1046007" customFormat="1" spans="15:15">
      <c r="O1046007" s="36"/>
    </row>
    <row r="1046008" customFormat="1" spans="15:15">
      <c r="O1046008" s="36"/>
    </row>
    <row r="1046009" customFormat="1" spans="15:15">
      <c r="O1046009" s="36"/>
    </row>
    <row r="1046010" customFormat="1" spans="15:15">
      <c r="O1046010" s="36"/>
    </row>
    <row r="1046011" customFormat="1" spans="15:15">
      <c r="O1046011" s="36"/>
    </row>
    <row r="1046012" customFormat="1" spans="15:15">
      <c r="O1046012" s="36"/>
    </row>
    <row r="1046013" customFormat="1" spans="15:15">
      <c r="O1046013" s="36"/>
    </row>
    <row r="1046014" customFormat="1" spans="15:15">
      <c r="O1046014" s="36"/>
    </row>
    <row r="1046015" customFormat="1" spans="15:15">
      <c r="O1046015" s="36"/>
    </row>
    <row r="1046016" customFormat="1" spans="15:15">
      <c r="O1046016" s="36"/>
    </row>
    <row r="1046017" customFormat="1" spans="15:15">
      <c r="O1046017" s="36"/>
    </row>
    <row r="1046018" customFormat="1" spans="15:15">
      <c r="O1046018" s="36"/>
    </row>
    <row r="1046019" customFormat="1" spans="15:15">
      <c r="O1046019" s="36"/>
    </row>
    <row r="1046020" customFormat="1" spans="15:15">
      <c r="O1046020" s="36"/>
    </row>
    <row r="1046021" customFormat="1" spans="15:15">
      <c r="O1046021" s="36"/>
    </row>
    <row r="1046022" customFormat="1" spans="15:15">
      <c r="O1046022" s="36"/>
    </row>
    <row r="1046023" customFormat="1" spans="15:15">
      <c r="O1046023" s="36"/>
    </row>
    <row r="1046024" customFormat="1" spans="15:15">
      <c r="O1046024" s="36"/>
    </row>
    <row r="1046025" customFormat="1" spans="15:15">
      <c r="O1046025" s="36"/>
    </row>
    <row r="1046026" customFormat="1" spans="15:15">
      <c r="O1046026" s="36"/>
    </row>
    <row r="1046027" customFormat="1" spans="15:15">
      <c r="O1046027" s="36"/>
    </row>
    <row r="1046028" customFormat="1" spans="15:15">
      <c r="O1046028" s="36"/>
    </row>
    <row r="1046029" customFormat="1" spans="15:15">
      <c r="O1046029" s="36"/>
    </row>
    <row r="1046030" customFormat="1" spans="15:15">
      <c r="O1046030" s="36"/>
    </row>
    <row r="1046031" customFormat="1" spans="15:15">
      <c r="O1046031" s="36"/>
    </row>
    <row r="1046032" customFormat="1" spans="15:15">
      <c r="O1046032" s="36"/>
    </row>
    <row r="1046033" customFormat="1" spans="15:15">
      <c r="O1046033" s="36"/>
    </row>
    <row r="1046034" customFormat="1" spans="15:15">
      <c r="O1046034" s="36"/>
    </row>
    <row r="1046035" customFormat="1" spans="15:15">
      <c r="O1046035" s="36"/>
    </row>
    <row r="1046036" customFormat="1" spans="15:15">
      <c r="O1046036" s="36"/>
    </row>
    <row r="1046037" customFormat="1" spans="15:15">
      <c r="O1046037" s="36"/>
    </row>
    <row r="1046038" customFormat="1" spans="15:15">
      <c r="O1046038" s="36"/>
    </row>
    <row r="1046039" customFormat="1" spans="15:15">
      <c r="O1046039" s="36"/>
    </row>
    <row r="1046040" customFormat="1" spans="15:15">
      <c r="O1046040" s="36"/>
    </row>
    <row r="1046041" customFormat="1" spans="15:15">
      <c r="O1046041" s="36"/>
    </row>
    <row r="1046042" customFormat="1" spans="15:15">
      <c r="O1046042" s="36"/>
    </row>
    <row r="1046043" customFormat="1" spans="15:15">
      <c r="O1046043" s="36"/>
    </row>
    <row r="1046044" customFormat="1" spans="15:15">
      <c r="O1046044" s="36"/>
    </row>
    <row r="1046045" customFormat="1" spans="15:15">
      <c r="O1046045" s="36"/>
    </row>
    <row r="1046046" customFormat="1" spans="15:15">
      <c r="O1046046" s="36"/>
    </row>
    <row r="1046047" customFormat="1" spans="15:15">
      <c r="O1046047" s="36"/>
    </row>
    <row r="1046048" customFormat="1" spans="15:15">
      <c r="O1046048" s="36"/>
    </row>
    <row r="1046049" customFormat="1" spans="15:15">
      <c r="O1046049" s="36"/>
    </row>
    <row r="1046050" customFormat="1" spans="15:15">
      <c r="O1046050" s="36"/>
    </row>
    <row r="1046051" customFormat="1" spans="15:15">
      <c r="O1046051" s="36"/>
    </row>
    <row r="1046052" customFormat="1" spans="15:15">
      <c r="O1046052" s="36"/>
    </row>
    <row r="1046053" customFormat="1" spans="15:15">
      <c r="O1046053" s="36"/>
    </row>
    <row r="1046054" customFormat="1" spans="15:15">
      <c r="O1046054" s="36"/>
    </row>
    <row r="1046055" customFormat="1" spans="15:15">
      <c r="O1046055" s="36"/>
    </row>
    <row r="1046056" customFormat="1" spans="15:15">
      <c r="O1046056" s="36"/>
    </row>
    <row r="1046057" customFormat="1" spans="15:15">
      <c r="O1046057" s="36"/>
    </row>
    <row r="1046058" customFormat="1" spans="15:15">
      <c r="O1046058" s="36"/>
    </row>
    <row r="1046059" customFormat="1" spans="15:15">
      <c r="O1046059" s="36"/>
    </row>
    <row r="1046060" customFormat="1" spans="15:15">
      <c r="O1046060" s="36"/>
    </row>
    <row r="1046061" customFormat="1" spans="15:15">
      <c r="O1046061" s="36"/>
    </row>
    <row r="1046062" customFormat="1" spans="15:15">
      <c r="O1046062" s="36"/>
    </row>
    <row r="1046063" customFormat="1" spans="15:15">
      <c r="O1046063" s="36"/>
    </row>
    <row r="1046064" customFormat="1" spans="15:15">
      <c r="O1046064" s="36"/>
    </row>
    <row r="1046065" customFormat="1" spans="15:15">
      <c r="O1046065" s="36"/>
    </row>
    <row r="1046066" customFormat="1" spans="15:15">
      <c r="O1046066" s="36"/>
    </row>
    <row r="1046067" customFormat="1" spans="15:15">
      <c r="O1046067" s="36"/>
    </row>
    <row r="1046068" customFormat="1" spans="15:15">
      <c r="O1046068" s="36"/>
    </row>
    <row r="1046069" customFormat="1" spans="15:15">
      <c r="O1046069" s="36"/>
    </row>
    <row r="1046070" customFormat="1" spans="15:15">
      <c r="O1046070" s="36"/>
    </row>
    <row r="1046071" customFormat="1" spans="15:15">
      <c r="O1046071" s="36"/>
    </row>
    <row r="1046072" customFormat="1" spans="15:15">
      <c r="O1046072" s="36"/>
    </row>
    <row r="1046073" customFormat="1" spans="15:15">
      <c r="O1046073" s="36"/>
    </row>
    <row r="1046074" customFormat="1" spans="15:15">
      <c r="O1046074" s="36"/>
    </row>
    <row r="1046075" customFormat="1" spans="15:15">
      <c r="O1046075" s="36"/>
    </row>
    <row r="1046076" customFormat="1" spans="15:15">
      <c r="O1046076" s="36"/>
    </row>
    <row r="1046077" customFormat="1" spans="15:15">
      <c r="O1046077" s="36"/>
    </row>
    <row r="1046078" customFormat="1" spans="15:15">
      <c r="O1046078" s="36"/>
    </row>
    <row r="1046079" customFormat="1" spans="15:15">
      <c r="O1046079" s="36"/>
    </row>
    <row r="1046080" customFormat="1" spans="15:15">
      <c r="O1046080" s="36"/>
    </row>
    <row r="1046081" customFormat="1" spans="15:15">
      <c r="O1046081" s="36"/>
    </row>
    <row r="1046082" customFormat="1" spans="15:15">
      <c r="O1046082" s="36"/>
    </row>
    <row r="1046083" customFormat="1" spans="15:15">
      <c r="O1046083" s="36"/>
    </row>
    <row r="1046084" customFormat="1" spans="15:15">
      <c r="O1046084" s="36"/>
    </row>
    <row r="1046085" customFormat="1" spans="15:15">
      <c r="O1046085" s="36"/>
    </row>
    <row r="1046086" customFormat="1" spans="15:15">
      <c r="O1046086" s="36"/>
    </row>
    <row r="1046087" customFormat="1" spans="15:15">
      <c r="O1046087" s="36"/>
    </row>
    <row r="1046088" customFormat="1" spans="15:15">
      <c r="O1046088" s="36"/>
    </row>
    <row r="1046089" customFormat="1" spans="15:15">
      <c r="O1046089" s="36"/>
    </row>
    <row r="1046090" customFormat="1" spans="15:15">
      <c r="O1046090" s="36"/>
    </row>
    <row r="1046091" customFormat="1" spans="15:15">
      <c r="O1046091" s="36"/>
    </row>
    <row r="1046092" customFormat="1" spans="15:15">
      <c r="O1046092" s="36"/>
    </row>
    <row r="1046093" customFormat="1" spans="15:15">
      <c r="O1046093" s="36"/>
    </row>
    <row r="1046094" customFormat="1" spans="15:15">
      <c r="O1046094" s="36"/>
    </row>
    <row r="1046095" customFormat="1" spans="15:15">
      <c r="O1046095" s="36"/>
    </row>
    <row r="1046096" customFormat="1" spans="15:15">
      <c r="O1046096" s="36"/>
    </row>
    <row r="1046097" customFormat="1" spans="15:15">
      <c r="O1046097" s="36"/>
    </row>
    <row r="1046098" customFormat="1" spans="15:15">
      <c r="O1046098" s="36"/>
    </row>
    <row r="1046099" customFormat="1" spans="15:15">
      <c r="O1046099" s="36"/>
    </row>
    <row r="1046100" customFormat="1" spans="15:15">
      <c r="O1046100" s="36"/>
    </row>
    <row r="1046101" customFormat="1" spans="15:15">
      <c r="O1046101" s="36"/>
    </row>
    <row r="1046102" customFormat="1" spans="15:15">
      <c r="O1046102" s="36"/>
    </row>
    <row r="1046103" customFormat="1" spans="15:15">
      <c r="O1046103" s="36"/>
    </row>
    <row r="1046104" customFormat="1" spans="15:15">
      <c r="O1046104" s="36"/>
    </row>
    <row r="1046105" customFormat="1" spans="15:15">
      <c r="O1046105" s="36"/>
    </row>
    <row r="1046106" customFormat="1" spans="15:15">
      <c r="O1046106" s="36"/>
    </row>
    <row r="1046107" customFormat="1" spans="15:15">
      <c r="O1046107" s="36"/>
    </row>
    <row r="1046108" customFormat="1" spans="15:15">
      <c r="O1046108" s="36"/>
    </row>
    <row r="1046109" customFormat="1" spans="15:15">
      <c r="O1046109" s="36"/>
    </row>
    <row r="1046110" customFormat="1" spans="15:15">
      <c r="O1046110" s="36"/>
    </row>
    <row r="1046111" customFormat="1" spans="15:15">
      <c r="O1046111" s="36"/>
    </row>
    <row r="1046112" customFormat="1" spans="15:15">
      <c r="O1046112" s="36"/>
    </row>
    <row r="1046113" customFormat="1" spans="15:15">
      <c r="O1046113" s="36"/>
    </row>
    <row r="1046114" customFormat="1" spans="15:15">
      <c r="O1046114" s="36"/>
    </row>
    <row r="1046115" customFormat="1" spans="15:15">
      <c r="O1046115" s="36"/>
    </row>
    <row r="1046116" customFormat="1" spans="15:15">
      <c r="O1046116" s="36"/>
    </row>
    <row r="1046117" customFormat="1" spans="15:15">
      <c r="O1046117" s="36"/>
    </row>
    <row r="1046118" customFormat="1" spans="15:15">
      <c r="O1046118" s="36"/>
    </row>
    <row r="1046119" customFormat="1" spans="15:15">
      <c r="O1046119" s="36"/>
    </row>
    <row r="1046120" customFormat="1" spans="15:15">
      <c r="O1046120" s="36"/>
    </row>
    <row r="1046121" customFormat="1" spans="15:15">
      <c r="O1046121" s="36"/>
    </row>
    <row r="1046122" customFormat="1" spans="15:15">
      <c r="O1046122" s="36"/>
    </row>
    <row r="1046123" customFormat="1" spans="15:15">
      <c r="O1046123" s="36"/>
    </row>
    <row r="1046124" customFormat="1" spans="15:15">
      <c r="O1046124" s="36"/>
    </row>
    <row r="1046125" customFormat="1" spans="15:15">
      <c r="O1046125" s="36"/>
    </row>
    <row r="1046126" customFormat="1" spans="15:15">
      <c r="O1046126" s="36"/>
    </row>
    <row r="1046127" customFormat="1" spans="15:15">
      <c r="O1046127" s="36"/>
    </row>
    <row r="1046128" customFormat="1" spans="15:15">
      <c r="O1046128" s="36"/>
    </row>
    <row r="1046129" customFormat="1" spans="15:15">
      <c r="O1046129" s="36"/>
    </row>
    <row r="1046130" customFormat="1" spans="15:15">
      <c r="O1046130" s="36"/>
    </row>
    <row r="1046131" customFormat="1" spans="15:15">
      <c r="O1046131" s="36"/>
    </row>
    <row r="1046132" customFormat="1" spans="15:15">
      <c r="O1046132" s="36"/>
    </row>
    <row r="1046133" customFormat="1" spans="15:15">
      <c r="O1046133" s="36"/>
    </row>
    <row r="1046134" customFormat="1" spans="15:15">
      <c r="O1046134" s="36"/>
    </row>
    <row r="1046135" customFormat="1" spans="15:15">
      <c r="O1046135" s="36"/>
    </row>
    <row r="1046136" customFormat="1" spans="15:15">
      <c r="O1046136" s="36"/>
    </row>
    <row r="1046137" customFormat="1" spans="15:15">
      <c r="O1046137" s="36"/>
    </row>
    <row r="1046138" customFormat="1" spans="15:15">
      <c r="O1046138" s="36"/>
    </row>
    <row r="1046139" customFormat="1" spans="15:15">
      <c r="O1046139" s="36"/>
    </row>
    <row r="1046140" customFormat="1" spans="15:15">
      <c r="O1046140" s="36"/>
    </row>
    <row r="1046141" customFormat="1" spans="15:15">
      <c r="O1046141" s="36"/>
    </row>
    <row r="1046142" customFormat="1" spans="15:15">
      <c r="O1046142" s="36"/>
    </row>
    <row r="1046143" customFormat="1" spans="15:15">
      <c r="O1046143" s="36"/>
    </row>
    <row r="1046144" customFormat="1" spans="15:15">
      <c r="O1046144" s="36"/>
    </row>
    <row r="1046145" customFormat="1" spans="15:15">
      <c r="O1046145" s="36"/>
    </row>
    <row r="1046146" customFormat="1" spans="15:15">
      <c r="O1046146" s="36"/>
    </row>
    <row r="1046147" customFormat="1" spans="15:15">
      <c r="O1046147" s="36"/>
    </row>
    <row r="1046148" customFormat="1" spans="15:15">
      <c r="O1046148" s="36"/>
    </row>
    <row r="1046149" customFormat="1" spans="15:15">
      <c r="O1046149" s="36"/>
    </row>
    <row r="1046150" customFormat="1" spans="15:15">
      <c r="O1046150" s="36"/>
    </row>
    <row r="1046151" customFormat="1" spans="15:15">
      <c r="O1046151" s="36"/>
    </row>
    <row r="1046152" customFormat="1" spans="15:15">
      <c r="O1046152" s="36"/>
    </row>
    <row r="1046153" customFormat="1" spans="15:15">
      <c r="O1046153" s="36"/>
    </row>
    <row r="1046154" customFormat="1" spans="15:15">
      <c r="O1046154" s="36"/>
    </row>
    <row r="1046155" customFormat="1" spans="15:15">
      <c r="O1046155" s="36"/>
    </row>
    <row r="1046156" customFormat="1" spans="15:15">
      <c r="O1046156" s="36"/>
    </row>
    <row r="1046157" customFormat="1" spans="15:15">
      <c r="O1046157" s="36"/>
    </row>
    <row r="1046158" customFormat="1" spans="15:15">
      <c r="O1046158" s="36"/>
    </row>
    <row r="1046159" customFormat="1" spans="15:15">
      <c r="O1046159" s="36"/>
    </row>
    <row r="1046160" customFormat="1" spans="15:15">
      <c r="O1046160" s="36"/>
    </row>
    <row r="1046161" customFormat="1" spans="15:15">
      <c r="O1046161" s="36"/>
    </row>
    <row r="1046162" customFormat="1" spans="15:15">
      <c r="O1046162" s="36"/>
    </row>
    <row r="1046163" customFormat="1" spans="15:15">
      <c r="O1046163" s="36"/>
    </row>
    <row r="1046164" customFormat="1" spans="15:15">
      <c r="O1046164" s="36"/>
    </row>
    <row r="1046165" customFormat="1" spans="15:15">
      <c r="O1046165" s="36"/>
    </row>
    <row r="1046166" customFormat="1" spans="15:15">
      <c r="O1046166" s="36"/>
    </row>
    <row r="1046167" customFormat="1" spans="15:15">
      <c r="O1046167" s="36"/>
    </row>
    <row r="1046168" customFormat="1" spans="15:15">
      <c r="O1046168" s="36"/>
    </row>
    <row r="1046169" customFormat="1" spans="15:15">
      <c r="O1046169" s="36"/>
    </row>
    <row r="1046170" customFormat="1" spans="15:15">
      <c r="O1046170" s="36"/>
    </row>
    <row r="1046171" customFormat="1" spans="15:15">
      <c r="O1046171" s="36"/>
    </row>
    <row r="1046172" customFormat="1" spans="15:15">
      <c r="O1046172" s="36"/>
    </row>
    <row r="1046173" customFormat="1" spans="15:15">
      <c r="O1046173" s="36"/>
    </row>
    <row r="1046174" customFormat="1" spans="15:15">
      <c r="O1046174" s="36"/>
    </row>
    <row r="1046175" customFormat="1" spans="15:15">
      <c r="O1046175" s="36"/>
    </row>
    <row r="1046176" customFormat="1" spans="15:15">
      <c r="O1046176" s="36"/>
    </row>
    <row r="1046177" customFormat="1" spans="15:15">
      <c r="O1046177" s="36"/>
    </row>
    <row r="1046178" customFormat="1" spans="15:15">
      <c r="O1046178" s="36"/>
    </row>
    <row r="1046179" customFormat="1" spans="15:15">
      <c r="O1046179" s="36"/>
    </row>
    <row r="1046180" customFormat="1" spans="15:15">
      <c r="O1046180" s="36"/>
    </row>
    <row r="1046181" customFormat="1" spans="15:15">
      <c r="O1046181" s="36"/>
    </row>
    <row r="1046182" customFormat="1" spans="15:15">
      <c r="O1046182" s="36"/>
    </row>
    <row r="1046183" customFormat="1" spans="15:15">
      <c r="O1046183" s="36"/>
    </row>
    <row r="1046184" customFormat="1" spans="15:15">
      <c r="O1046184" s="36"/>
    </row>
    <row r="1046185" customFormat="1" spans="15:15">
      <c r="O1046185" s="36"/>
    </row>
    <row r="1046186" customFormat="1" spans="15:15">
      <c r="O1046186" s="36"/>
    </row>
    <row r="1046187" customFormat="1" spans="15:15">
      <c r="O1046187" s="36"/>
    </row>
    <row r="1046188" customFormat="1" spans="15:15">
      <c r="O1046188" s="36"/>
    </row>
    <row r="1046189" customFormat="1" spans="15:15">
      <c r="O1046189" s="36"/>
    </row>
    <row r="1046190" customFormat="1" spans="15:15">
      <c r="O1046190" s="36"/>
    </row>
    <row r="1046191" customFormat="1" spans="15:15">
      <c r="O1046191" s="36"/>
    </row>
    <row r="1046192" customFormat="1" spans="15:15">
      <c r="O1046192" s="36"/>
    </row>
    <row r="1046193" customFormat="1" spans="15:15">
      <c r="O1046193" s="36"/>
    </row>
    <row r="1046194" customFormat="1" spans="15:15">
      <c r="O1046194" s="36"/>
    </row>
    <row r="1046195" customFormat="1" spans="15:15">
      <c r="O1046195" s="36"/>
    </row>
    <row r="1046196" customFormat="1" spans="15:15">
      <c r="O1046196" s="36"/>
    </row>
    <row r="1046197" customFormat="1" spans="15:15">
      <c r="O1046197" s="36"/>
    </row>
    <row r="1046198" customFormat="1" spans="15:15">
      <c r="O1046198" s="36"/>
    </row>
    <row r="1046199" customFormat="1" spans="15:15">
      <c r="O1046199" s="36"/>
    </row>
    <row r="1046200" customFormat="1" spans="15:15">
      <c r="O1046200" s="36"/>
    </row>
    <row r="1046201" customFormat="1" spans="15:15">
      <c r="O1046201" s="36"/>
    </row>
    <row r="1046202" customFormat="1" spans="15:15">
      <c r="O1046202" s="36"/>
    </row>
    <row r="1046203" customFormat="1" spans="15:15">
      <c r="O1046203" s="36"/>
    </row>
    <row r="1046204" customFormat="1" spans="15:15">
      <c r="O1046204" s="36"/>
    </row>
    <row r="1046205" customFormat="1" spans="15:15">
      <c r="O1046205" s="36"/>
    </row>
    <row r="1046206" customFormat="1" spans="15:15">
      <c r="O1046206" s="36"/>
    </row>
    <row r="1046207" customFormat="1" spans="15:15">
      <c r="O1046207" s="36"/>
    </row>
    <row r="1046208" customFormat="1" spans="15:15">
      <c r="O1046208" s="36"/>
    </row>
    <row r="1046209" customFormat="1" spans="15:15">
      <c r="O1046209" s="36"/>
    </row>
    <row r="1046210" customFormat="1" spans="15:15">
      <c r="O1046210" s="36"/>
    </row>
    <row r="1046211" customFormat="1" spans="15:15">
      <c r="O1046211" s="36"/>
    </row>
    <row r="1046212" customFormat="1" spans="15:15">
      <c r="O1046212" s="36"/>
    </row>
    <row r="1046213" customFormat="1" spans="15:15">
      <c r="O1046213" s="36"/>
    </row>
    <row r="1046214" customFormat="1" spans="15:15">
      <c r="O1046214" s="36"/>
    </row>
    <row r="1046215" customFormat="1" spans="15:15">
      <c r="O1046215" s="36"/>
    </row>
    <row r="1046216" customFormat="1" spans="15:15">
      <c r="O1046216" s="36"/>
    </row>
    <row r="1046217" customFormat="1" spans="15:15">
      <c r="O1046217" s="36"/>
    </row>
    <row r="1046218" customFormat="1" spans="15:15">
      <c r="O1046218" s="36"/>
    </row>
    <row r="1046219" customFormat="1" spans="15:15">
      <c r="O1046219" s="36"/>
    </row>
    <row r="1046220" customFormat="1" spans="15:15">
      <c r="O1046220" s="36"/>
    </row>
    <row r="1046221" customFormat="1" spans="15:15">
      <c r="O1046221" s="36"/>
    </row>
    <row r="1046222" customFormat="1" spans="15:15">
      <c r="O1046222" s="36"/>
    </row>
    <row r="1046223" customFormat="1" spans="15:15">
      <c r="O1046223" s="36"/>
    </row>
    <row r="1046224" customFormat="1" spans="15:15">
      <c r="O1046224" s="36"/>
    </row>
    <row r="1046225" customFormat="1" spans="15:15">
      <c r="O1046225" s="36"/>
    </row>
    <row r="1046226" customFormat="1" spans="15:15">
      <c r="O1046226" s="36"/>
    </row>
    <row r="1046227" customFormat="1" spans="15:15">
      <c r="O1046227" s="36"/>
    </row>
    <row r="1046228" customFormat="1" spans="15:15">
      <c r="O1046228" s="36"/>
    </row>
    <row r="1046229" customFormat="1" spans="15:15">
      <c r="O1046229" s="36"/>
    </row>
    <row r="1046230" customFormat="1" spans="15:15">
      <c r="O1046230" s="36"/>
    </row>
    <row r="1046231" customFormat="1" spans="15:15">
      <c r="O1046231" s="36"/>
    </row>
    <row r="1046232" customFormat="1" spans="15:15">
      <c r="O1046232" s="36"/>
    </row>
    <row r="1046233" customFormat="1" spans="15:15">
      <c r="O1046233" s="36"/>
    </row>
    <row r="1046234" customFormat="1" spans="15:15">
      <c r="O1046234" s="36"/>
    </row>
    <row r="1046235" customFormat="1" spans="15:15">
      <c r="O1046235" s="36"/>
    </row>
    <row r="1046236" customFormat="1" spans="15:15">
      <c r="O1046236" s="36"/>
    </row>
    <row r="1046237" customFormat="1" spans="15:15">
      <c r="O1046237" s="36"/>
    </row>
    <row r="1046238" customFormat="1" spans="15:15">
      <c r="O1046238" s="36"/>
    </row>
    <row r="1046239" customFormat="1" spans="15:15">
      <c r="O1046239" s="36"/>
    </row>
    <row r="1046240" customFormat="1" spans="15:15">
      <c r="O1046240" s="36"/>
    </row>
    <row r="1046241" customFormat="1" spans="15:15">
      <c r="O1046241" s="36"/>
    </row>
    <row r="1046242" customFormat="1" spans="15:15">
      <c r="O1046242" s="36"/>
    </row>
    <row r="1046243" customFormat="1" spans="15:15">
      <c r="O1046243" s="36"/>
    </row>
    <row r="1046244" customFormat="1" spans="15:15">
      <c r="O1046244" s="36"/>
    </row>
    <row r="1046245" customFormat="1" spans="15:15">
      <c r="O1046245" s="36"/>
    </row>
    <row r="1046246" customFormat="1" spans="15:15">
      <c r="O1046246" s="36"/>
    </row>
    <row r="1046247" customFormat="1" spans="15:15">
      <c r="O1046247" s="36"/>
    </row>
    <row r="1046248" customFormat="1" spans="15:15">
      <c r="O1046248" s="36"/>
    </row>
    <row r="1046249" customFormat="1" spans="15:15">
      <c r="O1046249" s="36"/>
    </row>
    <row r="1046250" customFormat="1" spans="15:15">
      <c r="O1046250" s="36"/>
    </row>
    <row r="1046251" customFormat="1" spans="15:15">
      <c r="O1046251" s="36"/>
    </row>
    <row r="1046252" customFormat="1" spans="15:15">
      <c r="O1046252" s="36"/>
    </row>
    <row r="1046253" customFormat="1" spans="15:15">
      <c r="O1046253" s="36"/>
    </row>
    <row r="1046254" customFormat="1" spans="15:15">
      <c r="O1046254" s="36"/>
    </row>
    <row r="1046255" customFormat="1" spans="15:15">
      <c r="O1046255" s="36"/>
    </row>
    <row r="1046256" customFormat="1" spans="15:15">
      <c r="O1046256" s="36"/>
    </row>
    <row r="1046257" customFormat="1" spans="15:15">
      <c r="O1046257" s="36"/>
    </row>
    <row r="1046258" customFormat="1" spans="15:15">
      <c r="O1046258" s="36"/>
    </row>
    <row r="1046259" customFormat="1" spans="15:15">
      <c r="O1046259" s="36"/>
    </row>
    <row r="1046260" customFormat="1" spans="15:15">
      <c r="O1046260" s="36"/>
    </row>
    <row r="1046261" customFormat="1" spans="15:15">
      <c r="O1046261" s="36"/>
    </row>
    <row r="1046262" customFormat="1" spans="15:15">
      <c r="O1046262" s="36"/>
    </row>
    <row r="1046263" customFormat="1" spans="15:15">
      <c r="O1046263" s="36"/>
    </row>
    <row r="1046264" customFormat="1" spans="15:15">
      <c r="O1046264" s="36"/>
    </row>
    <row r="1046265" customFormat="1" spans="15:15">
      <c r="O1046265" s="36"/>
    </row>
    <row r="1046266" customFormat="1" spans="15:15">
      <c r="O1046266" s="36"/>
    </row>
    <row r="1046267" customFormat="1" spans="15:15">
      <c r="O1046267" s="36"/>
    </row>
    <row r="1046268" customFormat="1" spans="15:15">
      <c r="O1046268" s="36"/>
    </row>
    <row r="1046269" customFormat="1" spans="15:15">
      <c r="O1046269" s="36"/>
    </row>
    <row r="1046270" customFormat="1" spans="15:15">
      <c r="O1046270" s="36"/>
    </row>
    <row r="1046271" customFormat="1" spans="15:15">
      <c r="O1046271" s="36"/>
    </row>
    <row r="1046272" customFormat="1" spans="15:15">
      <c r="O1046272" s="36"/>
    </row>
    <row r="1046273" customFormat="1" spans="15:15">
      <c r="O1046273" s="36"/>
    </row>
    <row r="1046274" customFormat="1" spans="15:15">
      <c r="O1046274" s="36"/>
    </row>
    <row r="1046275" customFormat="1" spans="15:15">
      <c r="O1046275" s="36"/>
    </row>
    <row r="1046276" customFormat="1" spans="15:15">
      <c r="O1046276" s="36"/>
    </row>
    <row r="1046277" customFormat="1" spans="15:15">
      <c r="O1046277" s="36"/>
    </row>
    <row r="1046278" customFormat="1" spans="15:15">
      <c r="O1046278" s="36"/>
    </row>
    <row r="1046279" customFormat="1" spans="15:15">
      <c r="O1046279" s="36"/>
    </row>
    <row r="1046280" customFormat="1" spans="15:15">
      <c r="O1046280" s="36"/>
    </row>
    <row r="1046281" customFormat="1" spans="15:15">
      <c r="O1046281" s="36"/>
    </row>
    <row r="1046282" customFormat="1" spans="15:15">
      <c r="O1046282" s="36"/>
    </row>
    <row r="1046283" customFormat="1" spans="15:15">
      <c r="O1046283" s="36"/>
    </row>
    <row r="1046284" customFormat="1" spans="15:15">
      <c r="O1046284" s="36"/>
    </row>
    <row r="1046285" customFormat="1" spans="15:15">
      <c r="O1046285" s="36"/>
    </row>
    <row r="1046286" customFormat="1" spans="15:15">
      <c r="O1046286" s="36"/>
    </row>
    <row r="1046287" customFormat="1" spans="15:15">
      <c r="O1046287" s="36"/>
    </row>
    <row r="1046288" customFormat="1" spans="15:15">
      <c r="O1046288" s="36"/>
    </row>
    <row r="1046289" customFormat="1" spans="15:15">
      <c r="O1046289" s="36"/>
    </row>
    <row r="1046290" customFormat="1" spans="15:15">
      <c r="O1046290" s="36"/>
    </row>
    <row r="1046291" customFormat="1" spans="15:15">
      <c r="O1046291" s="36"/>
    </row>
    <row r="1046292" customFormat="1" spans="15:15">
      <c r="O1046292" s="36"/>
    </row>
    <row r="1046293" customFormat="1" spans="15:15">
      <c r="O1046293" s="36"/>
    </row>
    <row r="1046294" customFormat="1" spans="15:15">
      <c r="O1046294" s="36"/>
    </row>
    <row r="1046295" customFormat="1" spans="15:15">
      <c r="O1046295" s="36"/>
    </row>
    <row r="1046296" customFormat="1" spans="15:15">
      <c r="O1046296" s="36"/>
    </row>
    <row r="1046297" customFormat="1" spans="15:15">
      <c r="O1046297" s="36"/>
    </row>
    <row r="1046298" customFormat="1" spans="15:15">
      <c r="O1046298" s="36"/>
    </row>
    <row r="1046299" customFormat="1" spans="15:15">
      <c r="O1046299" s="36"/>
    </row>
    <row r="1046300" customFormat="1" spans="15:15">
      <c r="O1046300" s="36"/>
    </row>
    <row r="1046301" customFormat="1" spans="15:15">
      <c r="O1046301" s="36"/>
    </row>
    <row r="1046302" customFormat="1" spans="15:15">
      <c r="O1046302" s="36"/>
    </row>
    <row r="1046303" customFormat="1" spans="15:15">
      <c r="O1046303" s="36"/>
    </row>
    <row r="1046304" customFormat="1" spans="15:15">
      <c r="O1046304" s="36"/>
    </row>
    <row r="1046305" customFormat="1" spans="15:15">
      <c r="O1046305" s="36"/>
    </row>
    <row r="1046306" customFormat="1" spans="15:15">
      <c r="O1046306" s="36"/>
    </row>
    <row r="1046307" customFormat="1" spans="15:15">
      <c r="O1046307" s="36"/>
    </row>
    <row r="1046308" customFormat="1" spans="15:15">
      <c r="O1046308" s="36"/>
    </row>
    <row r="1046309" customFormat="1" spans="15:15">
      <c r="O1046309" s="36"/>
    </row>
    <row r="1046310" customFormat="1" spans="15:15">
      <c r="O1046310" s="36"/>
    </row>
    <row r="1046311" customFormat="1" spans="15:15">
      <c r="O1046311" s="36"/>
    </row>
    <row r="1046312" customFormat="1" spans="15:15">
      <c r="O1046312" s="36"/>
    </row>
    <row r="1046313" customFormat="1" spans="15:15">
      <c r="O1046313" s="36"/>
    </row>
    <row r="1046314" customFormat="1" spans="15:15">
      <c r="O1046314" s="36"/>
    </row>
    <row r="1046315" customFormat="1" spans="15:15">
      <c r="O1046315" s="36"/>
    </row>
    <row r="1046316" customFormat="1" spans="15:15">
      <c r="O1046316" s="36"/>
    </row>
    <row r="1046317" customFormat="1" spans="15:15">
      <c r="O1046317" s="36"/>
    </row>
    <row r="1046318" customFormat="1" spans="15:15">
      <c r="O1046318" s="36"/>
    </row>
    <row r="1046319" customFormat="1" spans="15:15">
      <c r="O1046319" s="36"/>
    </row>
    <row r="1046320" customFormat="1" spans="15:15">
      <c r="O1046320" s="36"/>
    </row>
    <row r="1046321" customFormat="1" spans="15:15">
      <c r="O1046321" s="36"/>
    </row>
    <row r="1046322" customFormat="1" spans="15:15">
      <c r="O1046322" s="36"/>
    </row>
    <row r="1046323" customFormat="1" spans="15:15">
      <c r="O1046323" s="36"/>
    </row>
    <row r="1046324" customFormat="1" spans="15:15">
      <c r="O1046324" s="36"/>
    </row>
    <row r="1046325" customFormat="1" spans="15:15">
      <c r="O1046325" s="36"/>
    </row>
    <row r="1046326" customFormat="1" spans="15:15">
      <c r="O1046326" s="36"/>
    </row>
    <row r="1046327" customFormat="1" spans="15:15">
      <c r="O1046327" s="36"/>
    </row>
    <row r="1046328" customFormat="1" spans="15:15">
      <c r="O1046328" s="36"/>
    </row>
    <row r="1046329" customFormat="1" spans="15:15">
      <c r="O1046329" s="36"/>
    </row>
    <row r="1046330" customFormat="1" spans="15:15">
      <c r="O1046330" s="36"/>
    </row>
    <row r="1046331" customFormat="1" spans="15:15">
      <c r="O1046331" s="36"/>
    </row>
    <row r="1046332" customFormat="1" spans="15:15">
      <c r="O1046332" s="36"/>
    </row>
    <row r="1046333" customFormat="1" spans="15:15">
      <c r="O1046333" s="36"/>
    </row>
    <row r="1046334" customFormat="1" spans="15:15">
      <c r="O1046334" s="36"/>
    </row>
    <row r="1046335" customFormat="1" spans="15:15">
      <c r="O1046335" s="36"/>
    </row>
    <row r="1046336" customFormat="1" spans="15:15">
      <c r="O1046336" s="36"/>
    </row>
    <row r="1046337" customFormat="1" spans="15:15">
      <c r="O1046337" s="36"/>
    </row>
    <row r="1046338" customFormat="1" spans="15:15">
      <c r="O1046338" s="36"/>
    </row>
    <row r="1046339" customFormat="1" spans="15:15">
      <c r="O1046339" s="36"/>
    </row>
    <row r="1046340" customFormat="1" spans="15:15">
      <c r="O1046340" s="36"/>
    </row>
    <row r="1046341" customFormat="1" spans="15:15">
      <c r="O1046341" s="36"/>
    </row>
    <row r="1046342" customFormat="1" spans="15:15">
      <c r="O1046342" s="36"/>
    </row>
    <row r="1046343" customFormat="1" spans="15:15">
      <c r="O1046343" s="36"/>
    </row>
    <row r="1046344" customFormat="1" spans="15:15">
      <c r="O1046344" s="36"/>
    </row>
    <row r="1046345" customFormat="1" spans="15:15">
      <c r="O1046345" s="36"/>
    </row>
    <row r="1046346" customFormat="1" spans="15:15">
      <c r="O1046346" s="36"/>
    </row>
    <row r="1046347" customFormat="1" spans="15:15">
      <c r="O1046347" s="36"/>
    </row>
    <row r="1046348" customFormat="1" spans="15:15">
      <c r="O1046348" s="36"/>
    </row>
    <row r="1046349" customFormat="1" spans="15:15">
      <c r="O1046349" s="36"/>
    </row>
    <row r="1046350" customFormat="1" spans="15:15">
      <c r="O1046350" s="36"/>
    </row>
    <row r="1046351" customFormat="1" spans="15:15">
      <c r="O1046351" s="36"/>
    </row>
    <row r="1046352" customFormat="1" spans="15:15">
      <c r="O1046352" s="36"/>
    </row>
    <row r="1046353" customFormat="1" spans="15:15">
      <c r="O1046353" s="36"/>
    </row>
    <row r="1046354" customFormat="1" spans="15:15">
      <c r="O1046354" s="36"/>
    </row>
    <row r="1046355" customFormat="1" spans="15:15">
      <c r="O1046355" s="36"/>
    </row>
    <row r="1046356" customFormat="1" spans="15:15">
      <c r="O1046356" s="36"/>
    </row>
    <row r="1046357" customFormat="1" spans="15:15">
      <c r="O1046357" s="36"/>
    </row>
    <row r="1046358" customFormat="1" spans="15:15">
      <c r="O1046358" s="36"/>
    </row>
    <row r="1046359" customFormat="1" spans="15:15">
      <c r="O1046359" s="36"/>
    </row>
    <row r="1046360" customFormat="1" spans="15:15">
      <c r="O1046360" s="36"/>
    </row>
    <row r="1046361" customFormat="1" spans="15:15">
      <c r="O1046361" s="36"/>
    </row>
    <row r="1046362" customFormat="1" spans="15:15">
      <c r="O1046362" s="36"/>
    </row>
    <row r="1046363" customFormat="1" spans="15:15">
      <c r="O1046363" s="36"/>
    </row>
    <row r="1046364" customFormat="1" spans="15:15">
      <c r="O1046364" s="36"/>
    </row>
    <row r="1046365" customFormat="1" spans="15:15">
      <c r="O1046365" s="36"/>
    </row>
    <row r="1046366" customFormat="1" spans="15:15">
      <c r="O1046366" s="36"/>
    </row>
    <row r="1046367" customFormat="1" spans="15:15">
      <c r="O1046367" s="36"/>
    </row>
    <row r="1046368" customFormat="1" spans="15:15">
      <c r="O1046368" s="36"/>
    </row>
    <row r="1046369" customFormat="1" spans="15:15">
      <c r="O1046369" s="36"/>
    </row>
    <row r="1046370" customFormat="1" spans="15:15">
      <c r="O1046370" s="36"/>
    </row>
    <row r="1046371" customFormat="1" spans="15:15">
      <c r="O1046371" s="36"/>
    </row>
    <row r="1046372" customFormat="1" spans="15:15">
      <c r="O1046372" s="36"/>
    </row>
    <row r="1046373" customFormat="1" spans="15:15">
      <c r="O1046373" s="36"/>
    </row>
    <row r="1046374" customFormat="1" spans="15:15">
      <c r="O1046374" s="36"/>
    </row>
    <row r="1046375" customFormat="1" spans="15:15">
      <c r="O1046375" s="36"/>
    </row>
    <row r="1046376" customFormat="1" spans="15:15">
      <c r="O1046376" s="36"/>
    </row>
    <row r="1046377" customFormat="1" spans="15:15">
      <c r="O1046377" s="36"/>
    </row>
    <row r="1046378" customFormat="1" spans="15:15">
      <c r="O1046378" s="36"/>
    </row>
    <row r="1046379" customFormat="1" spans="15:15">
      <c r="O1046379" s="36"/>
    </row>
    <row r="1046380" customFormat="1" spans="15:15">
      <c r="O1046380" s="36"/>
    </row>
    <row r="1046381" customFormat="1" spans="15:15">
      <c r="O1046381" s="36"/>
    </row>
    <row r="1046382" customFormat="1" spans="15:15">
      <c r="O1046382" s="36"/>
    </row>
    <row r="1046383" customFormat="1" spans="15:15">
      <c r="O1046383" s="36"/>
    </row>
    <row r="1046384" customFormat="1" spans="15:15">
      <c r="O1046384" s="36"/>
    </row>
    <row r="1046385" customFormat="1" spans="15:15">
      <c r="O1046385" s="36"/>
    </row>
    <row r="1046386" customFormat="1" spans="15:15">
      <c r="O1046386" s="36"/>
    </row>
    <row r="1046387" customFormat="1" spans="15:15">
      <c r="O1046387" s="36"/>
    </row>
    <row r="1046388" customFormat="1" spans="15:15">
      <c r="O1046388" s="36"/>
    </row>
    <row r="1046389" customFormat="1" spans="15:15">
      <c r="O1046389" s="36"/>
    </row>
    <row r="1046390" customFormat="1" spans="15:15">
      <c r="O1046390" s="36"/>
    </row>
    <row r="1046391" customFormat="1" spans="15:15">
      <c r="O1046391" s="36"/>
    </row>
    <row r="1046392" customFormat="1" spans="15:15">
      <c r="O1046392" s="36"/>
    </row>
    <row r="1046393" customFormat="1" spans="15:15">
      <c r="O1046393" s="36"/>
    </row>
    <row r="1046394" customFormat="1" spans="15:15">
      <c r="O1046394" s="36"/>
    </row>
    <row r="1046395" customFormat="1" spans="15:15">
      <c r="O1046395" s="36"/>
    </row>
    <row r="1046396" customFormat="1" spans="15:15">
      <c r="O1046396" s="36"/>
    </row>
    <row r="1046397" customFormat="1" spans="15:15">
      <c r="O1046397" s="36"/>
    </row>
    <row r="1046398" customFormat="1" spans="15:15">
      <c r="O1046398" s="36"/>
    </row>
    <row r="1046399" customFormat="1" spans="15:15">
      <c r="O1046399" s="36"/>
    </row>
    <row r="1046400" customFormat="1" spans="15:15">
      <c r="O1046400" s="36"/>
    </row>
    <row r="1046401" customFormat="1" spans="15:15">
      <c r="O1046401" s="36"/>
    </row>
    <row r="1046402" customFormat="1" spans="15:15">
      <c r="O1046402" s="36"/>
    </row>
    <row r="1046403" customFormat="1" spans="15:15">
      <c r="O1046403" s="36"/>
    </row>
    <row r="1046404" customFormat="1" spans="15:15">
      <c r="O1046404" s="36"/>
    </row>
    <row r="1046405" customFormat="1" spans="15:15">
      <c r="O1046405" s="36"/>
    </row>
    <row r="1046406" customFormat="1" spans="15:15">
      <c r="O1046406" s="36"/>
    </row>
    <row r="1046407" customFormat="1" spans="15:15">
      <c r="O1046407" s="36"/>
    </row>
    <row r="1046408" customFormat="1" spans="15:15">
      <c r="O1046408" s="36"/>
    </row>
    <row r="1046409" customFormat="1" spans="15:15">
      <c r="O1046409" s="36"/>
    </row>
    <row r="1046410" customFormat="1" spans="15:15">
      <c r="O1046410" s="36"/>
    </row>
    <row r="1046411" customFormat="1" spans="15:15">
      <c r="O1046411" s="36"/>
    </row>
    <row r="1046412" customFormat="1" spans="15:15">
      <c r="O1046412" s="36"/>
    </row>
    <row r="1046413" customFormat="1" spans="15:15">
      <c r="O1046413" s="36"/>
    </row>
    <row r="1046414" customFormat="1" spans="15:15">
      <c r="O1046414" s="36"/>
    </row>
    <row r="1046415" customFormat="1" spans="15:15">
      <c r="O1046415" s="36"/>
    </row>
    <row r="1046416" customFormat="1" spans="15:15">
      <c r="O1046416" s="36"/>
    </row>
    <row r="1046417" customFormat="1" spans="15:15">
      <c r="O1046417" s="36"/>
    </row>
    <row r="1046418" customFormat="1" spans="15:15">
      <c r="O1046418" s="36"/>
    </row>
    <row r="1046419" customFormat="1" spans="15:15">
      <c r="O1046419" s="36"/>
    </row>
    <row r="1046420" customFormat="1" spans="15:15">
      <c r="O1046420" s="36"/>
    </row>
    <row r="1046421" customFormat="1" spans="15:15">
      <c r="O1046421" s="36"/>
    </row>
    <row r="1046422" customFormat="1" spans="15:15">
      <c r="O1046422" s="36"/>
    </row>
    <row r="1046423" customFormat="1" spans="15:15">
      <c r="O1046423" s="36"/>
    </row>
    <row r="1046424" customFormat="1" spans="15:15">
      <c r="O1046424" s="36"/>
    </row>
    <row r="1046425" customFormat="1" spans="15:15">
      <c r="O1046425" s="36"/>
    </row>
    <row r="1046426" customFormat="1" spans="15:15">
      <c r="O1046426" s="36"/>
    </row>
    <row r="1046427" customFormat="1" spans="15:15">
      <c r="O1046427" s="36"/>
    </row>
    <row r="1046428" customFormat="1" spans="15:15">
      <c r="O1046428" s="36"/>
    </row>
    <row r="1046429" customFormat="1" spans="15:15">
      <c r="O1046429" s="36"/>
    </row>
    <row r="1046430" customFormat="1" spans="15:15">
      <c r="O1046430" s="36"/>
    </row>
    <row r="1046431" customFormat="1" spans="15:15">
      <c r="O1046431" s="36"/>
    </row>
    <row r="1046432" customFormat="1" spans="15:15">
      <c r="O1046432" s="36"/>
    </row>
    <row r="1046433" customFormat="1" spans="15:15">
      <c r="O1046433" s="36"/>
    </row>
    <row r="1046434" customFormat="1" spans="15:15">
      <c r="O1046434" s="36"/>
    </row>
    <row r="1046435" customFormat="1" spans="15:15">
      <c r="O1046435" s="36"/>
    </row>
    <row r="1046436" customFormat="1" spans="15:15">
      <c r="O1046436" s="36"/>
    </row>
    <row r="1046437" customFormat="1" spans="15:15">
      <c r="O1046437" s="36"/>
    </row>
    <row r="1046438" customFormat="1" spans="15:15">
      <c r="O1046438" s="36"/>
    </row>
    <row r="1046439" customFormat="1" spans="15:15">
      <c r="O1046439" s="36"/>
    </row>
    <row r="1046440" customFormat="1" spans="15:15">
      <c r="O1046440" s="36"/>
    </row>
    <row r="1046441" customFormat="1" spans="15:15">
      <c r="O1046441" s="36"/>
    </row>
    <row r="1046442" customFormat="1" spans="15:15">
      <c r="O1046442" s="36"/>
    </row>
    <row r="1046443" customFormat="1" spans="15:15">
      <c r="O1046443" s="36"/>
    </row>
    <row r="1046444" customFormat="1" spans="15:15">
      <c r="O1046444" s="36"/>
    </row>
    <row r="1046445" customFormat="1" spans="15:15">
      <c r="O1046445" s="36"/>
    </row>
    <row r="1046446" customFormat="1" spans="15:15">
      <c r="O1046446" s="36"/>
    </row>
    <row r="1046447" customFormat="1" spans="15:15">
      <c r="O1046447" s="36"/>
    </row>
    <row r="1046448" customFormat="1" spans="15:15">
      <c r="O1046448" s="36"/>
    </row>
    <row r="1046449" customFormat="1" spans="15:15">
      <c r="O1046449" s="36"/>
    </row>
    <row r="1046450" customFormat="1" spans="15:15">
      <c r="O1046450" s="36"/>
    </row>
    <row r="1046451" customFormat="1" spans="15:15">
      <c r="O1046451" s="36"/>
    </row>
    <row r="1046452" customFormat="1" spans="15:15">
      <c r="O1046452" s="36"/>
    </row>
    <row r="1046453" customFormat="1" spans="15:15">
      <c r="O1046453" s="36"/>
    </row>
    <row r="1046454" customFormat="1" spans="15:15">
      <c r="O1046454" s="36"/>
    </row>
    <row r="1046455" customFormat="1" spans="15:15">
      <c r="O1046455" s="36"/>
    </row>
    <row r="1046456" customFormat="1" spans="15:15">
      <c r="O1046456" s="36"/>
    </row>
    <row r="1046457" customFormat="1" spans="15:15">
      <c r="O1046457" s="36"/>
    </row>
    <row r="1046458" customFormat="1" spans="15:15">
      <c r="O1046458" s="36"/>
    </row>
    <row r="1046459" customFormat="1" spans="15:15">
      <c r="O1046459" s="36"/>
    </row>
    <row r="1046460" customFormat="1" spans="15:15">
      <c r="O1046460" s="36"/>
    </row>
    <row r="1046461" customFormat="1" spans="15:15">
      <c r="O1046461" s="36"/>
    </row>
    <row r="1046462" customFormat="1" spans="15:15">
      <c r="O1046462" s="36"/>
    </row>
    <row r="1046463" customFormat="1" spans="15:15">
      <c r="O1046463" s="36"/>
    </row>
    <row r="1046464" customFormat="1" spans="15:15">
      <c r="O1046464" s="36"/>
    </row>
    <row r="1046465" customFormat="1" spans="15:15">
      <c r="O1046465" s="36"/>
    </row>
    <row r="1046466" customFormat="1" spans="15:15">
      <c r="O1046466" s="36"/>
    </row>
    <row r="1046467" customFormat="1" spans="15:15">
      <c r="O1046467" s="36"/>
    </row>
    <row r="1046468" customFormat="1" spans="15:15">
      <c r="O1046468" s="36"/>
    </row>
    <row r="1046469" customFormat="1" spans="15:15">
      <c r="O1046469" s="36"/>
    </row>
    <row r="1046470" customFormat="1" spans="15:15">
      <c r="O1046470" s="36"/>
    </row>
    <row r="1046471" customFormat="1" spans="15:15">
      <c r="O1046471" s="36"/>
    </row>
    <row r="1046472" customFormat="1" spans="15:15">
      <c r="O1046472" s="36"/>
    </row>
    <row r="1046473" customFormat="1" spans="15:15">
      <c r="O1046473" s="36"/>
    </row>
    <row r="1046474" customFormat="1" spans="15:15">
      <c r="O1046474" s="36"/>
    </row>
    <row r="1046475" customFormat="1" spans="15:15">
      <c r="O1046475" s="36"/>
    </row>
    <row r="1046476" customFormat="1" spans="15:15">
      <c r="O1046476" s="36"/>
    </row>
    <row r="1046477" customFormat="1" spans="15:15">
      <c r="O1046477" s="36"/>
    </row>
    <row r="1046478" customFormat="1" spans="15:15">
      <c r="O1046478" s="36"/>
    </row>
    <row r="1046479" customFormat="1" spans="15:15">
      <c r="O1046479" s="36"/>
    </row>
    <row r="1046480" customFormat="1" spans="15:15">
      <c r="O1046480" s="36"/>
    </row>
    <row r="1046481" customFormat="1" spans="15:15">
      <c r="O1046481" s="36"/>
    </row>
    <row r="1046482" customFormat="1" spans="15:15">
      <c r="O1046482" s="36"/>
    </row>
    <row r="1046483" customFormat="1" spans="15:15">
      <c r="O1046483" s="36"/>
    </row>
    <row r="1046484" customFormat="1" spans="15:15">
      <c r="O1046484" s="36"/>
    </row>
    <row r="1046485" customFormat="1" spans="15:15">
      <c r="O1046485" s="36"/>
    </row>
    <row r="1046486" customFormat="1" spans="15:15">
      <c r="O1046486" s="36"/>
    </row>
    <row r="1046487" customFormat="1" spans="15:15">
      <c r="O1046487" s="36"/>
    </row>
    <row r="1046488" customFormat="1" spans="15:15">
      <c r="O1046488" s="36"/>
    </row>
    <row r="1046489" customFormat="1" spans="15:15">
      <c r="O1046489" s="36"/>
    </row>
    <row r="1046490" customFormat="1" spans="15:15">
      <c r="O1046490" s="36"/>
    </row>
    <row r="1046491" customFormat="1" spans="15:15">
      <c r="O1046491" s="36"/>
    </row>
    <row r="1046492" customFormat="1" spans="15:15">
      <c r="O1046492" s="36"/>
    </row>
    <row r="1046493" customFormat="1" spans="15:15">
      <c r="O1046493" s="36"/>
    </row>
    <row r="1046494" customFormat="1" spans="15:15">
      <c r="O1046494" s="36"/>
    </row>
    <row r="1046495" customFormat="1" spans="15:15">
      <c r="O1046495" s="36"/>
    </row>
    <row r="1046496" customFormat="1" spans="15:15">
      <c r="O1046496" s="36"/>
    </row>
    <row r="1046497" customFormat="1" spans="15:15">
      <c r="O1046497" s="36"/>
    </row>
    <row r="1046498" customFormat="1" spans="15:15">
      <c r="O1046498" s="36"/>
    </row>
    <row r="1046499" customFormat="1" spans="15:15">
      <c r="O1046499" s="36"/>
    </row>
    <row r="1046500" customFormat="1" spans="15:15">
      <c r="O1046500" s="36"/>
    </row>
    <row r="1046501" customFormat="1" spans="15:15">
      <c r="O1046501" s="36"/>
    </row>
    <row r="1046502" customFormat="1" spans="15:15">
      <c r="O1046502" s="36"/>
    </row>
    <row r="1046503" customFormat="1" spans="15:15">
      <c r="O1046503" s="36"/>
    </row>
    <row r="1046504" customFormat="1" spans="15:15">
      <c r="O1046504" s="36"/>
    </row>
    <row r="1046505" customFormat="1" spans="15:15">
      <c r="O1046505" s="36"/>
    </row>
    <row r="1046506" customFormat="1" spans="15:15">
      <c r="O1046506" s="36"/>
    </row>
    <row r="1046507" customFormat="1" spans="15:15">
      <c r="O1046507" s="36"/>
    </row>
    <row r="1046508" customFormat="1" spans="15:15">
      <c r="O1046508" s="36"/>
    </row>
    <row r="1046509" customFormat="1" spans="15:15">
      <c r="O1046509" s="36"/>
    </row>
    <row r="1046510" customFormat="1" spans="15:15">
      <c r="O1046510" s="36"/>
    </row>
    <row r="1046511" customFormat="1" spans="15:15">
      <c r="O1046511" s="36"/>
    </row>
    <row r="1046512" customFormat="1" spans="15:15">
      <c r="O1046512" s="36"/>
    </row>
    <row r="1046513" customFormat="1" spans="15:15">
      <c r="O1046513" s="36"/>
    </row>
    <row r="1046514" customFormat="1" spans="15:15">
      <c r="O1046514" s="36"/>
    </row>
    <row r="1046515" customFormat="1" spans="15:15">
      <c r="O1046515" s="36"/>
    </row>
    <row r="1046516" customFormat="1" spans="15:15">
      <c r="O1046516" s="36"/>
    </row>
    <row r="1046517" customFormat="1" spans="15:15">
      <c r="O1046517" s="36"/>
    </row>
    <row r="1046518" customFormat="1" spans="15:15">
      <c r="O1046518" s="36"/>
    </row>
    <row r="1046519" customFormat="1" spans="15:15">
      <c r="O1046519" s="36"/>
    </row>
    <row r="1046520" customFormat="1" spans="15:15">
      <c r="O1046520" s="36"/>
    </row>
    <row r="1046521" customFormat="1" spans="15:15">
      <c r="O1046521" s="36"/>
    </row>
    <row r="1046522" customFormat="1" spans="15:15">
      <c r="O1046522" s="36"/>
    </row>
    <row r="1046523" customFormat="1" spans="15:15">
      <c r="O1046523" s="36"/>
    </row>
    <row r="1046524" customFormat="1" spans="15:15">
      <c r="O1046524" s="36"/>
    </row>
    <row r="1046525" customFormat="1" spans="15:15">
      <c r="O1046525" s="36"/>
    </row>
    <row r="1046526" customFormat="1" spans="15:15">
      <c r="O1046526" s="36"/>
    </row>
    <row r="1046527" customFormat="1" spans="15:15">
      <c r="O1046527" s="36"/>
    </row>
    <row r="1046528" customFormat="1" spans="15:15">
      <c r="O1046528" s="36"/>
    </row>
    <row r="1046529" customFormat="1" spans="15:15">
      <c r="O1046529" s="36"/>
    </row>
    <row r="1046530" customFormat="1" spans="15:15">
      <c r="O1046530" s="36"/>
    </row>
    <row r="1046531" customFormat="1" spans="15:15">
      <c r="O1046531" s="36"/>
    </row>
    <row r="1046532" customFormat="1" spans="15:15">
      <c r="O1046532" s="36"/>
    </row>
    <row r="1046533" customFormat="1" spans="15:15">
      <c r="O1046533" s="36"/>
    </row>
    <row r="1046534" customFormat="1" spans="15:15">
      <c r="O1046534" s="36"/>
    </row>
    <row r="1046535" customFormat="1" spans="15:15">
      <c r="O1046535" s="36"/>
    </row>
    <row r="1046536" customFormat="1" spans="15:15">
      <c r="O1046536" s="36"/>
    </row>
    <row r="1046537" customFormat="1" spans="15:15">
      <c r="O1046537" s="36"/>
    </row>
    <row r="1046538" customFormat="1" spans="15:15">
      <c r="O1046538" s="36"/>
    </row>
    <row r="1046539" customFormat="1" spans="15:15">
      <c r="O1046539" s="36"/>
    </row>
    <row r="1046540" customFormat="1" spans="15:15">
      <c r="O1046540" s="36"/>
    </row>
    <row r="1046541" customFormat="1" spans="15:15">
      <c r="O1046541" s="36"/>
    </row>
    <row r="1046542" customFormat="1" spans="15:15">
      <c r="O1046542" s="36"/>
    </row>
    <row r="1046543" customFormat="1" spans="15:15">
      <c r="O1046543" s="36"/>
    </row>
    <row r="1046544" customFormat="1" spans="15:15">
      <c r="O1046544" s="36"/>
    </row>
    <row r="1046545" customFormat="1" spans="15:15">
      <c r="O1046545" s="36"/>
    </row>
    <row r="1046546" customFormat="1" spans="15:15">
      <c r="O1046546" s="36"/>
    </row>
    <row r="1046547" customFormat="1" spans="15:15">
      <c r="O1046547" s="36"/>
    </row>
    <row r="1046548" customFormat="1" spans="15:15">
      <c r="O1046548" s="36"/>
    </row>
    <row r="1046549" customFormat="1" spans="15:15">
      <c r="O1046549" s="36"/>
    </row>
    <row r="1046550" customFormat="1" spans="15:15">
      <c r="O1046550" s="36"/>
    </row>
    <row r="1046551" customFormat="1" spans="15:15">
      <c r="O1046551" s="36"/>
    </row>
    <row r="1046552" customFormat="1" spans="15:15">
      <c r="O1046552" s="36"/>
    </row>
    <row r="1046553" customFormat="1" spans="15:15">
      <c r="O1046553" s="36"/>
    </row>
    <row r="1046554" customFormat="1" spans="15:15">
      <c r="O1046554" s="36"/>
    </row>
    <row r="1046555" customFormat="1" spans="15:15">
      <c r="O1046555" s="36"/>
    </row>
    <row r="1046556" customFormat="1" spans="15:15">
      <c r="O1046556" s="36"/>
    </row>
    <row r="1046557" customFormat="1" spans="15:15">
      <c r="O1046557" s="36"/>
    </row>
    <row r="1046558" customFormat="1" spans="15:15">
      <c r="O1046558" s="36"/>
    </row>
    <row r="1046559" customFormat="1" spans="15:15">
      <c r="O1046559" s="36"/>
    </row>
    <row r="1046560" customFormat="1" spans="15:15">
      <c r="O1046560" s="36"/>
    </row>
    <row r="1046561" customFormat="1" spans="15:15">
      <c r="O1046561" s="36"/>
    </row>
    <row r="1046562" customFormat="1" spans="15:15">
      <c r="O1046562" s="36"/>
    </row>
    <row r="1046563" customFormat="1" spans="15:15">
      <c r="O1046563" s="36"/>
    </row>
    <row r="1046564" customFormat="1" spans="15:15">
      <c r="O1046564" s="36"/>
    </row>
    <row r="1046565" customFormat="1" spans="15:15">
      <c r="O1046565" s="36"/>
    </row>
    <row r="1046566" customFormat="1" spans="15:15">
      <c r="O1046566" s="36"/>
    </row>
    <row r="1046567" customFormat="1" spans="15:15">
      <c r="O1046567" s="36"/>
    </row>
    <row r="1046568" customFormat="1" spans="15:15">
      <c r="O1046568" s="36"/>
    </row>
    <row r="1046569" customFormat="1" spans="15:15">
      <c r="O1046569" s="36"/>
    </row>
    <row r="1046570" customFormat="1" spans="15:15">
      <c r="O1046570" s="36"/>
    </row>
    <row r="1046571" customFormat="1" spans="15:15">
      <c r="O1046571" s="36"/>
    </row>
    <row r="1046572" customFormat="1" spans="15:15">
      <c r="O1046572" s="36"/>
    </row>
    <row r="1046573" customFormat="1" spans="15:15">
      <c r="O1046573" s="36"/>
    </row>
    <row r="1046574" customFormat="1" spans="15:15">
      <c r="O1046574" s="36"/>
    </row>
    <row r="1046575" customFormat="1" spans="15:15">
      <c r="O1046575" s="36"/>
    </row>
    <row r="1046576" customFormat="1" spans="15:15">
      <c r="O1046576" s="36"/>
    </row>
    <row r="1046577" customFormat="1" spans="15:15">
      <c r="O1046577" s="36"/>
    </row>
    <row r="1046578" customFormat="1" spans="15:15">
      <c r="O1046578" s="36"/>
    </row>
    <row r="1046579" customFormat="1" spans="15:15">
      <c r="O1046579" s="36"/>
    </row>
    <row r="1046580" customFormat="1" spans="15:15">
      <c r="O1046580" s="36"/>
    </row>
    <row r="1046581" customFormat="1" spans="15:15">
      <c r="O1046581" s="36"/>
    </row>
    <row r="1046582" customFormat="1" spans="15:15">
      <c r="O1046582" s="36"/>
    </row>
    <row r="1046583" customFormat="1" spans="15:15">
      <c r="O1046583" s="36"/>
    </row>
    <row r="1046584" customFormat="1" spans="15:15">
      <c r="O1046584" s="36"/>
    </row>
    <row r="1046585" customFormat="1" spans="15:15">
      <c r="O1046585" s="36"/>
    </row>
    <row r="1046586" customFormat="1" spans="15:15">
      <c r="O1046586" s="36"/>
    </row>
    <row r="1046587" customFormat="1" spans="15:15">
      <c r="O1046587" s="36"/>
    </row>
    <row r="1046588" customFormat="1" spans="15:15">
      <c r="O1046588" s="36"/>
    </row>
    <row r="1046589" customFormat="1" spans="15:15">
      <c r="O1046589" s="36"/>
    </row>
    <row r="1046590" customFormat="1" spans="15:15">
      <c r="O1046590" s="36"/>
    </row>
    <row r="1046591" customFormat="1" spans="15:15">
      <c r="O1046591" s="36"/>
    </row>
    <row r="1046592" customFormat="1" spans="15:15">
      <c r="O1046592" s="36"/>
    </row>
    <row r="1046593" customFormat="1" spans="15:15">
      <c r="O1046593" s="36"/>
    </row>
    <row r="1046594" customFormat="1" spans="15:15">
      <c r="O1046594" s="36"/>
    </row>
    <row r="1046595" customFormat="1" spans="15:15">
      <c r="O1046595" s="36"/>
    </row>
    <row r="1046596" customFormat="1" spans="15:15">
      <c r="O1046596" s="36"/>
    </row>
    <row r="1046597" customFormat="1" spans="15:15">
      <c r="O1046597" s="36"/>
    </row>
    <row r="1046598" customFormat="1" spans="15:15">
      <c r="O1046598" s="36"/>
    </row>
    <row r="1046599" customFormat="1" spans="15:15">
      <c r="O1046599" s="36"/>
    </row>
    <row r="1046600" customFormat="1" spans="15:15">
      <c r="O1046600" s="36"/>
    </row>
    <row r="1046601" customFormat="1" spans="15:15">
      <c r="O1046601" s="36"/>
    </row>
    <row r="1046602" customFormat="1" spans="15:15">
      <c r="O1046602" s="36"/>
    </row>
    <row r="1046603" customFormat="1" spans="15:15">
      <c r="O1046603" s="36"/>
    </row>
    <row r="1046604" customFormat="1" spans="15:15">
      <c r="O1046604" s="36"/>
    </row>
    <row r="1046605" customFormat="1" spans="15:15">
      <c r="O1046605" s="36"/>
    </row>
    <row r="1046606" customFormat="1" spans="15:15">
      <c r="O1046606" s="36"/>
    </row>
    <row r="1046607" customFormat="1" spans="15:15">
      <c r="O1046607" s="36"/>
    </row>
    <row r="1046608" customFormat="1" spans="15:15">
      <c r="O1046608" s="36"/>
    </row>
    <row r="1046609" customFormat="1" spans="15:15">
      <c r="O1046609" s="36"/>
    </row>
    <row r="1046610" customFormat="1" spans="15:15">
      <c r="O1046610" s="36"/>
    </row>
    <row r="1046611" customFormat="1" spans="15:15">
      <c r="O1046611" s="36"/>
    </row>
    <row r="1046612" customFormat="1" spans="15:15">
      <c r="O1046612" s="36"/>
    </row>
    <row r="1046613" customFormat="1" spans="15:15">
      <c r="O1046613" s="36"/>
    </row>
    <row r="1046614" customFormat="1" spans="15:15">
      <c r="O1046614" s="36"/>
    </row>
    <row r="1046615" customFormat="1" spans="15:15">
      <c r="O1046615" s="36"/>
    </row>
    <row r="1046616" customFormat="1" spans="15:15">
      <c r="O1046616" s="36"/>
    </row>
    <row r="1046617" customFormat="1" spans="15:15">
      <c r="O1046617" s="36"/>
    </row>
    <row r="1046618" customFormat="1" spans="15:15">
      <c r="O1046618" s="36"/>
    </row>
    <row r="1046619" customFormat="1" spans="15:15">
      <c r="O1046619" s="36"/>
    </row>
    <row r="1046620" customFormat="1" spans="15:15">
      <c r="O1046620" s="36"/>
    </row>
    <row r="1046621" customFormat="1" spans="15:15">
      <c r="O1046621" s="36"/>
    </row>
    <row r="1046622" customFormat="1" spans="15:15">
      <c r="O1046622" s="36"/>
    </row>
    <row r="1046623" customFormat="1" spans="15:15">
      <c r="O1046623" s="36"/>
    </row>
    <row r="1046624" customFormat="1" spans="15:15">
      <c r="O1046624" s="36"/>
    </row>
    <row r="1046625" customFormat="1" spans="15:15">
      <c r="O1046625" s="36"/>
    </row>
    <row r="1046626" customFormat="1" spans="15:15">
      <c r="O1046626" s="36"/>
    </row>
    <row r="1046627" customFormat="1" spans="15:15">
      <c r="O1046627" s="36"/>
    </row>
    <row r="1046628" customFormat="1" spans="15:15">
      <c r="O1046628" s="36"/>
    </row>
    <row r="1046629" customFormat="1" spans="15:15">
      <c r="O1046629" s="36"/>
    </row>
    <row r="1046630" customFormat="1" spans="15:15">
      <c r="O1046630" s="36"/>
    </row>
    <row r="1046631" customFormat="1" spans="15:15">
      <c r="O1046631" s="36"/>
    </row>
    <row r="1046632" customFormat="1" spans="15:15">
      <c r="O1046632" s="36"/>
    </row>
    <row r="1046633" customFormat="1" spans="15:15">
      <c r="O1046633" s="36"/>
    </row>
    <row r="1046634" customFormat="1" spans="15:15">
      <c r="O1046634" s="36"/>
    </row>
    <row r="1046635" customFormat="1" spans="15:15">
      <c r="O1046635" s="36"/>
    </row>
    <row r="1046636" customFormat="1" spans="15:15">
      <c r="O1046636" s="36"/>
    </row>
    <row r="1046637" customFormat="1" spans="15:15">
      <c r="O1046637" s="36"/>
    </row>
    <row r="1046638" customFormat="1" spans="15:15">
      <c r="O1046638" s="36"/>
    </row>
    <row r="1046639" customFormat="1" spans="15:15">
      <c r="O1046639" s="36"/>
    </row>
    <row r="1046640" customFormat="1" spans="15:15">
      <c r="O1046640" s="36"/>
    </row>
    <row r="1046641" customFormat="1" spans="15:15">
      <c r="O1046641" s="36"/>
    </row>
    <row r="1046642" customFormat="1" spans="15:15">
      <c r="O1046642" s="36"/>
    </row>
    <row r="1046643" customFormat="1" spans="15:15">
      <c r="O1046643" s="36"/>
    </row>
    <row r="1046644" customFormat="1" spans="15:15">
      <c r="O1046644" s="36"/>
    </row>
    <row r="1046645" customFormat="1" spans="15:15">
      <c r="O1046645" s="36"/>
    </row>
    <row r="1046646" customFormat="1" spans="15:15">
      <c r="O1046646" s="36"/>
    </row>
    <row r="1046647" customFormat="1" spans="15:15">
      <c r="O1046647" s="36"/>
    </row>
    <row r="1046648" customFormat="1" spans="15:15">
      <c r="O1046648" s="36"/>
    </row>
    <row r="1046649" customFormat="1" spans="15:15">
      <c r="O1046649" s="36"/>
    </row>
    <row r="1046650" customFormat="1" spans="15:15">
      <c r="O1046650" s="36"/>
    </row>
    <row r="1046651" customFormat="1" spans="15:15">
      <c r="O1046651" s="36"/>
    </row>
    <row r="1046652" customFormat="1" spans="15:15">
      <c r="O1046652" s="36"/>
    </row>
    <row r="1046653" customFormat="1" spans="15:15">
      <c r="O1046653" s="36"/>
    </row>
    <row r="1046654" customFormat="1" spans="15:15">
      <c r="O1046654" s="36"/>
    </row>
    <row r="1046655" customFormat="1" spans="15:15">
      <c r="O1046655" s="36"/>
    </row>
    <row r="1046656" customFormat="1" spans="15:15">
      <c r="O1046656" s="36"/>
    </row>
    <row r="1046657" customFormat="1" spans="15:15">
      <c r="O1046657" s="36"/>
    </row>
    <row r="1046658" customFormat="1" spans="15:15">
      <c r="O1046658" s="36"/>
    </row>
    <row r="1046659" customFormat="1" spans="15:15">
      <c r="O1046659" s="36"/>
    </row>
    <row r="1046660" customFormat="1" spans="15:15">
      <c r="O1046660" s="36"/>
    </row>
    <row r="1046661" customFormat="1" spans="15:15">
      <c r="O1046661" s="36"/>
    </row>
    <row r="1046662" customFormat="1" spans="15:15">
      <c r="O1046662" s="36"/>
    </row>
    <row r="1046663" customFormat="1" spans="15:15">
      <c r="O1046663" s="36"/>
    </row>
    <row r="1046664" customFormat="1" spans="15:15">
      <c r="O1046664" s="36"/>
    </row>
    <row r="1046665" customFormat="1" spans="15:15">
      <c r="O1046665" s="36"/>
    </row>
    <row r="1046666" customFormat="1" spans="15:15">
      <c r="O1046666" s="36"/>
    </row>
    <row r="1046667" customFormat="1" spans="15:15">
      <c r="O1046667" s="36"/>
    </row>
    <row r="1046668" customFormat="1" spans="15:15">
      <c r="O1046668" s="36"/>
    </row>
    <row r="1046669" customFormat="1" spans="15:15">
      <c r="O1046669" s="36"/>
    </row>
    <row r="1046670" customFormat="1" spans="15:15">
      <c r="O1046670" s="36"/>
    </row>
    <row r="1046671" customFormat="1" spans="15:15">
      <c r="O1046671" s="36"/>
    </row>
    <row r="1046672" customFormat="1" spans="15:15">
      <c r="O1046672" s="36"/>
    </row>
    <row r="1046673" customFormat="1" spans="15:15">
      <c r="O1046673" s="36"/>
    </row>
    <row r="1046674" customFormat="1" spans="15:15">
      <c r="O1046674" s="36"/>
    </row>
    <row r="1046675" customFormat="1" spans="15:15">
      <c r="O1046675" s="36"/>
    </row>
    <row r="1046676" customFormat="1" spans="15:15">
      <c r="O1046676" s="36"/>
    </row>
    <row r="1046677" customFormat="1" spans="15:15">
      <c r="O1046677" s="36"/>
    </row>
    <row r="1046678" customFormat="1" spans="15:15">
      <c r="O1046678" s="36"/>
    </row>
    <row r="1046679" customFormat="1" spans="15:15">
      <c r="O1046679" s="36"/>
    </row>
    <row r="1046680" customFormat="1" spans="15:15">
      <c r="O1046680" s="36"/>
    </row>
    <row r="1046681" customFormat="1" spans="15:15">
      <c r="O1046681" s="36"/>
    </row>
    <row r="1046682" customFormat="1" spans="15:15">
      <c r="O1046682" s="36"/>
    </row>
    <row r="1046683" customFormat="1" spans="15:15">
      <c r="O1046683" s="36"/>
    </row>
    <row r="1046684" customFormat="1" spans="15:15">
      <c r="O1046684" s="36"/>
    </row>
    <row r="1046685" customFormat="1" spans="15:15">
      <c r="O1046685" s="36"/>
    </row>
    <row r="1046686" customFormat="1" spans="15:15">
      <c r="O1046686" s="36"/>
    </row>
    <row r="1046687" customFormat="1" spans="15:15">
      <c r="O1046687" s="36"/>
    </row>
    <row r="1046688" customFormat="1" spans="15:15">
      <c r="O1046688" s="36"/>
    </row>
    <row r="1046689" customFormat="1" spans="15:15">
      <c r="O1046689" s="36"/>
    </row>
    <row r="1046690" customFormat="1" spans="15:15">
      <c r="O1046690" s="36"/>
    </row>
    <row r="1046691" customFormat="1" spans="15:15">
      <c r="O1046691" s="36"/>
    </row>
    <row r="1046692" customFormat="1" spans="15:15">
      <c r="O1046692" s="36"/>
    </row>
    <row r="1046693" customFormat="1" spans="15:15">
      <c r="O1046693" s="36"/>
    </row>
    <row r="1046694" customFormat="1" spans="15:15">
      <c r="O1046694" s="36"/>
    </row>
    <row r="1046695" customFormat="1" spans="15:15">
      <c r="O1046695" s="36"/>
    </row>
    <row r="1046696" customFormat="1" spans="15:15">
      <c r="O1046696" s="36"/>
    </row>
    <row r="1046697" customFormat="1" spans="15:15">
      <c r="O1046697" s="36"/>
    </row>
    <row r="1046698" customFormat="1" spans="15:15">
      <c r="O1046698" s="36"/>
    </row>
    <row r="1046699" customFormat="1" spans="15:15">
      <c r="O1046699" s="36"/>
    </row>
    <row r="1046700" customFormat="1" spans="15:15">
      <c r="O1046700" s="36"/>
    </row>
    <row r="1046701" customFormat="1" spans="15:15">
      <c r="O1046701" s="36"/>
    </row>
    <row r="1046702" customFormat="1" spans="15:15">
      <c r="O1046702" s="36"/>
    </row>
    <row r="1046703" customFormat="1" spans="15:15">
      <c r="O1046703" s="36"/>
    </row>
    <row r="1046704" customFormat="1" spans="15:15">
      <c r="O1046704" s="36"/>
    </row>
    <row r="1046705" customFormat="1" spans="15:15">
      <c r="O1046705" s="36"/>
    </row>
    <row r="1046706" customFormat="1" spans="15:15">
      <c r="O1046706" s="36"/>
    </row>
    <row r="1046707" customFormat="1" spans="15:15">
      <c r="O1046707" s="36"/>
    </row>
    <row r="1046708" customFormat="1" spans="15:15">
      <c r="O1046708" s="36"/>
    </row>
    <row r="1046709" customFormat="1" spans="15:15">
      <c r="O1046709" s="36"/>
    </row>
    <row r="1046710" customFormat="1" spans="15:15">
      <c r="O1046710" s="36"/>
    </row>
    <row r="1046711" customFormat="1" spans="15:15">
      <c r="O1046711" s="36"/>
    </row>
    <row r="1046712" customFormat="1" spans="15:15">
      <c r="O1046712" s="36"/>
    </row>
    <row r="1046713" customFormat="1" spans="15:15">
      <c r="O1046713" s="36"/>
    </row>
    <row r="1046714" customFormat="1" spans="15:15">
      <c r="O1046714" s="36"/>
    </row>
    <row r="1046715" customFormat="1" spans="15:15">
      <c r="O1046715" s="36"/>
    </row>
    <row r="1046716" customFormat="1" spans="15:15">
      <c r="O1046716" s="36"/>
    </row>
    <row r="1046717" customFormat="1" spans="15:15">
      <c r="O1046717" s="36"/>
    </row>
    <row r="1046718" customFormat="1" spans="15:15">
      <c r="O1046718" s="36"/>
    </row>
    <row r="1046719" customFormat="1" spans="15:15">
      <c r="O1046719" s="36"/>
    </row>
    <row r="1046720" customFormat="1" spans="15:15">
      <c r="O1046720" s="36"/>
    </row>
    <row r="1046721" customFormat="1" spans="15:15">
      <c r="O1046721" s="36"/>
    </row>
    <row r="1046722" customFormat="1" spans="15:15">
      <c r="O1046722" s="36"/>
    </row>
    <row r="1046723" customFormat="1" spans="15:15">
      <c r="O1046723" s="36"/>
    </row>
    <row r="1046724" customFormat="1" spans="15:15">
      <c r="O1046724" s="36"/>
    </row>
    <row r="1046725" customFormat="1" spans="15:15">
      <c r="O1046725" s="36"/>
    </row>
    <row r="1046726" customFormat="1" spans="15:15">
      <c r="O1046726" s="36"/>
    </row>
    <row r="1046727" customFormat="1" spans="15:15">
      <c r="O1046727" s="36"/>
    </row>
    <row r="1046728" customFormat="1" spans="15:15">
      <c r="O1046728" s="36"/>
    </row>
    <row r="1046729" customFormat="1" spans="15:15">
      <c r="O1046729" s="36"/>
    </row>
    <row r="1046730" customFormat="1" spans="15:15">
      <c r="O1046730" s="36"/>
    </row>
    <row r="1046731" customFormat="1" spans="15:15">
      <c r="O1046731" s="36"/>
    </row>
    <row r="1046732" customFormat="1" spans="15:15">
      <c r="O1046732" s="36"/>
    </row>
    <row r="1046733" customFormat="1" spans="15:15">
      <c r="O1046733" s="36"/>
    </row>
    <row r="1046734" customFormat="1" spans="15:15">
      <c r="O1046734" s="36"/>
    </row>
    <row r="1046735" customFormat="1" spans="15:15">
      <c r="O1046735" s="36"/>
    </row>
    <row r="1046736" customFormat="1" spans="15:15">
      <c r="O1046736" s="36"/>
    </row>
    <row r="1046737" customFormat="1" spans="15:15">
      <c r="O1046737" s="36"/>
    </row>
    <row r="1046738" customFormat="1" spans="15:15">
      <c r="O1046738" s="36"/>
    </row>
    <row r="1046739" customFormat="1" spans="15:15">
      <c r="O1046739" s="36"/>
    </row>
    <row r="1046740" customFormat="1" spans="15:15">
      <c r="O1046740" s="36"/>
    </row>
    <row r="1046741" customFormat="1" spans="15:15">
      <c r="O1046741" s="36"/>
    </row>
    <row r="1046742" customFormat="1" spans="15:15">
      <c r="O1046742" s="36"/>
    </row>
    <row r="1046743" customFormat="1" spans="15:15">
      <c r="O1046743" s="36"/>
    </row>
    <row r="1046744" customFormat="1" spans="15:15">
      <c r="O1046744" s="36"/>
    </row>
    <row r="1046745" customFormat="1" spans="15:15">
      <c r="O1046745" s="36"/>
    </row>
    <row r="1046746" customFormat="1" spans="15:15">
      <c r="O1046746" s="36"/>
    </row>
    <row r="1046747" customFormat="1" spans="15:15">
      <c r="O1046747" s="36"/>
    </row>
    <row r="1046748" customFormat="1" spans="15:15">
      <c r="O1046748" s="36"/>
    </row>
    <row r="1046749" customFormat="1" spans="15:15">
      <c r="O1046749" s="36"/>
    </row>
    <row r="1046750" customFormat="1" spans="15:15">
      <c r="O1046750" s="36"/>
    </row>
    <row r="1046751" customFormat="1" spans="15:15">
      <c r="O1046751" s="36"/>
    </row>
    <row r="1046752" customFormat="1" spans="15:15">
      <c r="O1046752" s="36"/>
    </row>
    <row r="1046753" customFormat="1" spans="15:15">
      <c r="O1046753" s="36"/>
    </row>
    <row r="1046754" customFormat="1" spans="15:15">
      <c r="O1046754" s="36"/>
    </row>
    <row r="1046755" customFormat="1" spans="15:15">
      <c r="O1046755" s="36"/>
    </row>
    <row r="1046756" customFormat="1" spans="15:15">
      <c r="O1046756" s="36"/>
    </row>
    <row r="1046757" customFormat="1" spans="15:15">
      <c r="O1046757" s="36"/>
    </row>
    <row r="1046758" customFormat="1" spans="15:15">
      <c r="O1046758" s="36"/>
    </row>
    <row r="1046759" customFormat="1" spans="15:15">
      <c r="O1046759" s="36"/>
    </row>
    <row r="1046760" customFormat="1" spans="15:15">
      <c r="O1046760" s="36"/>
    </row>
    <row r="1046761" customFormat="1" spans="15:15">
      <c r="O1046761" s="36"/>
    </row>
    <row r="1046762" customFormat="1" spans="15:15">
      <c r="O1046762" s="36"/>
    </row>
    <row r="1046763" customFormat="1" spans="15:15">
      <c r="O1046763" s="36"/>
    </row>
    <row r="1046764" customFormat="1" spans="15:15">
      <c r="O1046764" s="36"/>
    </row>
    <row r="1046765" customFormat="1" spans="15:15">
      <c r="O1046765" s="36"/>
    </row>
    <row r="1046766" customFormat="1" spans="15:15">
      <c r="O1046766" s="36"/>
    </row>
    <row r="1046767" customFormat="1" spans="15:15">
      <c r="O1046767" s="36"/>
    </row>
    <row r="1046768" customFormat="1" spans="15:15">
      <c r="O1046768" s="36"/>
    </row>
    <row r="1046769" customFormat="1" spans="15:15">
      <c r="O1046769" s="36"/>
    </row>
    <row r="1046770" customFormat="1" spans="15:15">
      <c r="O1046770" s="36"/>
    </row>
    <row r="1046771" customFormat="1" spans="15:15">
      <c r="O1046771" s="36"/>
    </row>
    <row r="1046772" customFormat="1" spans="15:15">
      <c r="O1046772" s="36"/>
    </row>
    <row r="1046773" customFormat="1" spans="15:15">
      <c r="O1046773" s="36"/>
    </row>
    <row r="1046774" customFormat="1" spans="15:15">
      <c r="O1046774" s="36"/>
    </row>
    <row r="1046775" customFormat="1" spans="15:15">
      <c r="O1046775" s="36"/>
    </row>
    <row r="1046776" customFormat="1" spans="15:15">
      <c r="O1046776" s="36"/>
    </row>
    <row r="1046777" customFormat="1" spans="15:15">
      <c r="O1046777" s="36"/>
    </row>
    <row r="1046778" customFormat="1" spans="15:15">
      <c r="O1046778" s="36"/>
    </row>
    <row r="1046779" customFormat="1" spans="15:15">
      <c r="O1046779" s="36"/>
    </row>
    <row r="1046780" customFormat="1" spans="15:15">
      <c r="O1046780" s="36"/>
    </row>
    <row r="1046781" customFormat="1" spans="15:15">
      <c r="O1046781" s="36"/>
    </row>
    <row r="1046782" customFormat="1" spans="15:15">
      <c r="O1046782" s="36"/>
    </row>
    <row r="1046783" customFormat="1" spans="15:15">
      <c r="O1046783" s="36"/>
    </row>
    <row r="1046784" customFormat="1" spans="15:15">
      <c r="O1046784" s="36"/>
    </row>
    <row r="1046785" customFormat="1" spans="15:15">
      <c r="O1046785" s="36"/>
    </row>
    <row r="1046786" customFormat="1" spans="15:15">
      <c r="O1046786" s="36"/>
    </row>
    <row r="1046787" customFormat="1" spans="15:15">
      <c r="O1046787" s="36"/>
    </row>
    <row r="1046788" customFormat="1" spans="15:15">
      <c r="O1046788" s="36"/>
    </row>
    <row r="1046789" customFormat="1" spans="15:15">
      <c r="O1046789" s="36"/>
    </row>
    <row r="1046790" customFormat="1" spans="15:15">
      <c r="O1046790" s="36"/>
    </row>
    <row r="1046791" customFormat="1" spans="15:15">
      <c r="O1046791" s="36"/>
    </row>
    <row r="1046792" customFormat="1" spans="15:15">
      <c r="O1046792" s="36"/>
    </row>
    <row r="1046793" customFormat="1" spans="15:15">
      <c r="O1046793" s="36"/>
    </row>
    <row r="1046794" customFormat="1" spans="15:15">
      <c r="O1046794" s="36"/>
    </row>
    <row r="1046795" customFormat="1" spans="15:15">
      <c r="O1046795" s="36"/>
    </row>
    <row r="1046796" customFormat="1" spans="15:15">
      <c r="O1046796" s="36"/>
    </row>
    <row r="1046797" customFormat="1" spans="15:15">
      <c r="O1046797" s="36"/>
    </row>
    <row r="1046798" customFormat="1" spans="15:15">
      <c r="O1046798" s="36"/>
    </row>
    <row r="1046799" customFormat="1" spans="15:15">
      <c r="O1046799" s="36"/>
    </row>
    <row r="1046800" customFormat="1" spans="15:15">
      <c r="O1046800" s="36"/>
    </row>
    <row r="1046801" customFormat="1" spans="15:15">
      <c r="O1046801" s="36"/>
    </row>
    <row r="1046802" customFormat="1" spans="15:15">
      <c r="O1046802" s="36"/>
    </row>
    <row r="1046803" customFormat="1" spans="15:15">
      <c r="O1046803" s="36"/>
    </row>
    <row r="1046804" customFormat="1" spans="15:15">
      <c r="O1046804" s="36"/>
    </row>
    <row r="1046805" customFormat="1" spans="15:15">
      <c r="O1046805" s="36"/>
    </row>
    <row r="1046806" customFormat="1" spans="15:15">
      <c r="O1046806" s="36"/>
    </row>
    <row r="1046807" customFormat="1" spans="15:15">
      <c r="O1046807" s="36"/>
    </row>
    <row r="1046808" customFormat="1" spans="15:15">
      <c r="O1046808" s="36"/>
    </row>
    <row r="1046809" customFormat="1" spans="15:15">
      <c r="O1046809" s="36"/>
    </row>
    <row r="1046810" customFormat="1" spans="15:15">
      <c r="O1046810" s="36"/>
    </row>
    <row r="1046811" customFormat="1" spans="15:15">
      <c r="O1046811" s="36"/>
    </row>
    <row r="1046812" customFormat="1" spans="15:15">
      <c r="O1046812" s="36"/>
    </row>
    <row r="1046813" customFormat="1" spans="15:15">
      <c r="O1046813" s="36"/>
    </row>
    <row r="1046814" customFormat="1" spans="15:15">
      <c r="O1046814" s="36"/>
    </row>
    <row r="1046815" customFormat="1" spans="15:15">
      <c r="O1046815" s="36"/>
    </row>
    <row r="1046816" customFormat="1" spans="15:15">
      <c r="O1046816" s="36"/>
    </row>
    <row r="1046817" customFormat="1" spans="15:15">
      <c r="O1046817" s="36"/>
    </row>
    <row r="1046818" customFormat="1" spans="15:15">
      <c r="O1046818" s="36"/>
    </row>
    <row r="1046819" customFormat="1" spans="15:15">
      <c r="O1046819" s="36"/>
    </row>
    <row r="1046820" customFormat="1" spans="15:15">
      <c r="O1046820" s="36"/>
    </row>
    <row r="1046821" customFormat="1" spans="15:15">
      <c r="O1046821" s="36"/>
    </row>
    <row r="1046822" customFormat="1" spans="15:15">
      <c r="O1046822" s="36"/>
    </row>
    <row r="1046823" customFormat="1" spans="15:15">
      <c r="O1046823" s="36"/>
    </row>
    <row r="1046824" customFormat="1" spans="15:15">
      <c r="O1046824" s="36"/>
    </row>
    <row r="1046825" customFormat="1" spans="15:15">
      <c r="O1046825" s="36"/>
    </row>
    <row r="1046826" customFormat="1" spans="15:15">
      <c r="O1046826" s="36"/>
    </row>
    <row r="1046827" customFormat="1" spans="15:15">
      <c r="O1046827" s="36"/>
    </row>
    <row r="1046828" customFormat="1" spans="15:15">
      <c r="O1046828" s="36"/>
    </row>
    <row r="1046829" customFormat="1" spans="15:15">
      <c r="O1046829" s="36"/>
    </row>
    <row r="1046830" customFormat="1" spans="15:15">
      <c r="O1046830" s="36"/>
    </row>
    <row r="1046831" customFormat="1" spans="15:15">
      <c r="O1046831" s="36"/>
    </row>
    <row r="1046832" customFormat="1" spans="15:15">
      <c r="O1046832" s="36"/>
    </row>
    <row r="1046833" customFormat="1" spans="15:15">
      <c r="O1046833" s="36"/>
    </row>
    <row r="1046834" customFormat="1" spans="15:15">
      <c r="O1046834" s="36"/>
    </row>
    <row r="1046835" customFormat="1" spans="15:15">
      <c r="O1046835" s="36"/>
    </row>
    <row r="1046836" customFormat="1" spans="15:15">
      <c r="O1046836" s="36"/>
    </row>
    <row r="1046837" customFormat="1" spans="15:15">
      <c r="O1046837" s="36"/>
    </row>
    <row r="1046838" customFormat="1" spans="15:15">
      <c r="O1046838" s="36"/>
    </row>
    <row r="1046839" customFormat="1" spans="15:15">
      <c r="O1046839" s="36"/>
    </row>
    <row r="1046840" customFormat="1" spans="15:15">
      <c r="O1046840" s="36"/>
    </row>
    <row r="1046841" customFormat="1" spans="15:15">
      <c r="O1046841" s="36"/>
    </row>
    <row r="1046842" customFormat="1" spans="15:15">
      <c r="O1046842" s="36"/>
    </row>
    <row r="1046843" customFormat="1" spans="15:15">
      <c r="O1046843" s="36"/>
    </row>
    <row r="1046844" customFormat="1" spans="15:15">
      <c r="O1046844" s="36"/>
    </row>
    <row r="1046845" customFormat="1" spans="15:15">
      <c r="O1046845" s="36"/>
    </row>
    <row r="1046846" customFormat="1" spans="15:15">
      <c r="O1046846" s="36"/>
    </row>
    <row r="1046847" customFormat="1" spans="15:15">
      <c r="O1046847" s="36"/>
    </row>
    <row r="1046848" customFormat="1" spans="15:15">
      <c r="O1046848" s="36"/>
    </row>
    <row r="1046849" customFormat="1" spans="15:15">
      <c r="O1046849" s="36"/>
    </row>
    <row r="1046850" customFormat="1" spans="15:15">
      <c r="O1046850" s="36"/>
    </row>
    <row r="1046851" customFormat="1" spans="15:15">
      <c r="O1046851" s="36"/>
    </row>
    <row r="1046852" customFormat="1" spans="15:15">
      <c r="O1046852" s="36"/>
    </row>
    <row r="1046853" customFormat="1" spans="15:15">
      <c r="O1046853" s="36"/>
    </row>
    <row r="1046854" customFormat="1" spans="15:15">
      <c r="O1046854" s="36"/>
    </row>
    <row r="1046855" customFormat="1" spans="15:15">
      <c r="O1046855" s="36"/>
    </row>
    <row r="1046856" customFormat="1" spans="15:15">
      <c r="O1046856" s="36"/>
    </row>
    <row r="1046857" customFormat="1" spans="15:15">
      <c r="O1046857" s="36"/>
    </row>
    <row r="1046858" customFormat="1" spans="15:15">
      <c r="O1046858" s="36"/>
    </row>
    <row r="1046859" customFormat="1" spans="15:15">
      <c r="O1046859" s="36"/>
    </row>
    <row r="1046860" customFormat="1" spans="15:15">
      <c r="O1046860" s="36"/>
    </row>
    <row r="1046861" customFormat="1" spans="15:15">
      <c r="O1046861" s="36"/>
    </row>
    <row r="1046862" customFormat="1" spans="15:15">
      <c r="O1046862" s="36"/>
    </row>
    <row r="1046863" customFormat="1" spans="15:15">
      <c r="O1046863" s="36"/>
    </row>
    <row r="1046864" customFormat="1" spans="15:15">
      <c r="O1046864" s="36"/>
    </row>
    <row r="1046865" customFormat="1" spans="15:15">
      <c r="O1046865" s="36"/>
    </row>
    <row r="1046866" customFormat="1" spans="15:15">
      <c r="O1046866" s="36"/>
    </row>
    <row r="1046867" customFormat="1" spans="15:15">
      <c r="O1046867" s="36"/>
    </row>
    <row r="1046868" customFormat="1" spans="15:15">
      <c r="O1046868" s="36"/>
    </row>
    <row r="1046869" customFormat="1" spans="15:15">
      <c r="O1046869" s="36"/>
    </row>
    <row r="1046870" customFormat="1" spans="15:15">
      <c r="O1046870" s="36"/>
    </row>
    <row r="1046871" customFormat="1" spans="15:15">
      <c r="O1046871" s="36"/>
    </row>
    <row r="1046872" customFormat="1" spans="15:15">
      <c r="O1046872" s="36"/>
    </row>
    <row r="1046873" customFormat="1" spans="15:15">
      <c r="O1046873" s="36"/>
    </row>
    <row r="1046874" customFormat="1" spans="15:15">
      <c r="O1046874" s="36"/>
    </row>
    <row r="1046875" customFormat="1" spans="15:15">
      <c r="O1046875" s="36"/>
    </row>
    <row r="1046876" customFormat="1" spans="15:15">
      <c r="O1046876" s="36"/>
    </row>
    <row r="1046877" customFormat="1" spans="15:15">
      <c r="O1046877" s="36"/>
    </row>
    <row r="1046878" customFormat="1" spans="15:15">
      <c r="O1046878" s="36"/>
    </row>
    <row r="1046879" customFormat="1" spans="15:15">
      <c r="O1046879" s="36"/>
    </row>
    <row r="1046880" customFormat="1" spans="15:15">
      <c r="O1046880" s="36"/>
    </row>
    <row r="1046881" customFormat="1" spans="15:15">
      <c r="O1046881" s="36"/>
    </row>
    <row r="1046882" customFormat="1" spans="15:15">
      <c r="O1046882" s="36"/>
    </row>
    <row r="1046883" customFormat="1" spans="15:15">
      <c r="O1046883" s="36"/>
    </row>
    <row r="1046884" customFormat="1" spans="15:15">
      <c r="O1046884" s="36"/>
    </row>
    <row r="1046885" customFormat="1" spans="15:15">
      <c r="O1046885" s="36"/>
    </row>
    <row r="1046886" customFormat="1" spans="15:15">
      <c r="O1046886" s="36"/>
    </row>
    <row r="1046887" customFormat="1" spans="15:15">
      <c r="O1046887" s="36"/>
    </row>
    <row r="1046888" customFormat="1" spans="15:15">
      <c r="O1046888" s="36"/>
    </row>
    <row r="1046889" customFormat="1" spans="15:15">
      <c r="O1046889" s="36"/>
    </row>
    <row r="1046890" customFormat="1" spans="15:15">
      <c r="O1046890" s="36"/>
    </row>
    <row r="1046891" customFormat="1" spans="15:15">
      <c r="O1046891" s="36"/>
    </row>
    <row r="1046892" customFormat="1" spans="15:15">
      <c r="O1046892" s="36"/>
    </row>
    <row r="1046893" customFormat="1" spans="15:15">
      <c r="O1046893" s="36"/>
    </row>
    <row r="1046894" customFormat="1" spans="15:15">
      <c r="O1046894" s="36"/>
    </row>
    <row r="1046895" customFormat="1" spans="15:15">
      <c r="O1046895" s="36"/>
    </row>
    <row r="1046896" customFormat="1" spans="15:15">
      <c r="O1046896" s="36"/>
    </row>
    <row r="1046897" customFormat="1" spans="15:15">
      <c r="O1046897" s="36"/>
    </row>
    <row r="1046898" customFormat="1" spans="15:15">
      <c r="O1046898" s="36"/>
    </row>
    <row r="1046899" customFormat="1" spans="15:15">
      <c r="O1046899" s="36"/>
    </row>
    <row r="1046900" customFormat="1" spans="15:15">
      <c r="O1046900" s="36"/>
    </row>
    <row r="1046901" customFormat="1" spans="15:15">
      <c r="O1046901" s="36"/>
    </row>
    <row r="1046902" customFormat="1" spans="15:15">
      <c r="O1046902" s="36"/>
    </row>
    <row r="1046903" customFormat="1" spans="15:15">
      <c r="O1046903" s="36"/>
    </row>
    <row r="1046904" customFormat="1" spans="15:15">
      <c r="O1046904" s="36"/>
    </row>
    <row r="1046905" customFormat="1" spans="15:15">
      <c r="O1046905" s="36"/>
    </row>
    <row r="1046906" customFormat="1" spans="15:15">
      <c r="O1046906" s="36"/>
    </row>
    <row r="1046907" customFormat="1" spans="15:15">
      <c r="O1046907" s="36"/>
    </row>
    <row r="1046908" customFormat="1" spans="15:15">
      <c r="O1046908" s="36"/>
    </row>
    <row r="1046909" customFormat="1" spans="15:15">
      <c r="O1046909" s="36"/>
    </row>
    <row r="1046910" customFormat="1" spans="15:15">
      <c r="O1046910" s="36"/>
    </row>
    <row r="1046911" customFormat="1" spans="15:15">
      <c r="O1046911" s="36"/>
    </row>
    <row r="1046912" customFormat="1" spans="15:15">
      <c r="O1046912" s="36"/>
    </row>
    <row r="1046913" customFormat="1" spans="15:15">
      <c r="O1046913" s="36"/>
    </row>
    <row r="1046914" customFormat="1" spans="15:15">
      <c r="O1046914" s="36"/>
    </row>
    <row r="1046915" customFormat="1" spans="15:15">
      <c r="O1046915" s="36"/>
    </row>
    <row r="1046916" customFormat="1" spans="15:15">
      <c r="O1046916" s="36"/>
    </row>
    <row r="1046917" customFormat="1" spans="15:15">
      <c r="O1046917" s="36"/>
    </row>
    <row r="1046918" customFormat="1" spans="15:15">
      <c r="O1046918" s="36"/>
    </row>
    <row r="1046919" customFormat="1" spans="15:15">
      <c r="O1046919" s="36"/>
    </row>
    <row r="1046920" customFormat="1" spans="15:15">
      <c r="O1046920" s="36"/>
    </row>
    <row r="1046921" customFormat="1" spans="15:15">
      <c r="O1046921" s="36"/>
    </row>
    <row r="1046922" customFormat="1" spans="15:15">
      <c r="O1046922" s="36"/>
    </row>
    <row r="1046923" customFormat="1" spans="15:15">
      <c r="O1046923" s="36"/>
    </row>
    <row r="1046924" customFormat="1" spans="15:15">
      <c r="O1046924" s="36"/>
    </row>
    <row r="1046925" customFormat="1" spans="15:15">
      <c r="O1046925" s="36"/>
    </row>
    <row r="1046926" customFormat="1" spans="15:15">
      <c r="O1046926" s="36"/>
    </row>
    <row r="1046927" customFormat="1" spans="15:15">
      <c r="O1046927" s="36"/>
    </row>
    <row r="1046928" customFormat="1" spans="15:15">
      <c r="O1046928" s="36"/>
    </row>
    <row r="1046929" customFormat="1" spans="15:15">
      <c r="O1046929" s="36"/>
    </row>
    <row r="1046930" customFormat="1" spans="15:15">
      <c r="O1046930" s="36"/>
    </row>
    <row r="1046931" customFormat="1" spans="15:15">
      <c r="O1046931" s="36"/>
    </row>
    <row r="1046932" customFormat="1" spans="15:15">
      <c r="O1046932" s="36"/>
    </row>
    <row r="1046933" customFormat="1" spans="15:15">
      <c r="O1046933" s="36"/>
    </row>
    <row r="1046934" customFormat="1" spans="15:15">
      <c r="O1046934" s="36"/>
    </row>
    <row r="1046935" customFormat="1" spans="15:15">
      <c r="O1046935" s="36"/>
    </row>
    <row r="1046936" customFormat="1" spans="15:15">
      <c r="O1046936" s="36"/>
    </row>
    <row r="1046937" customFormat="1" spans="15:15">
      <c r="O1046937" s="36"/>
    </row>
    <row r="1046938" customFormat="1" spans="15:15">
      <c r="O1046938" s="36"/>
    </row>
    <row r="1046939" customFormat="1" spans="15:15">
      <c r="O1046939" s="36"/>
    </row>
    <row r="1046940" customFormat="1" spans="15:15">
      <c r="O1046940" s="36"/>
    </row>
    <row r="1046941" customFormat="1" spans="15:15">
      <c r="O1046941" s="36"/>
    </row>
    <row r="1046942" customFormat="1" spans="15:15">
      <c r="O1046942" s="36"/>
    </row>
    <row r="1046943" customFormat="1" spans="15:15">
      <c r="O1046943" s="36"/>
    </row>
    <row r="1046944" customFormat="1" spans="15:15">
      <c r="O1046944" s="36"/>
    </row>
    <row r="1046945" customFormat="1" spans="15:15">
      <c r="O1046945" s="36"/>
    </row>
    <row r="1046946" customFormat="1" spans="15:15">
      <c r="O1046946" s="36"/>
    </row>
    <row r="1046947" customFormat="1" spans="15:15">
      <c r="O1046947" s="36"/>
    </row>
    <row r="1046948" customFormat="1" spans="15:15">
      <c r="O1046948" s="36"/>
    </row>
    <row r="1046949" customFormat="1" spans="15:15">
      <c r="O1046949" s="36"/>
    </row>
    <row r="1046950" customFormat="1" spans="15:15">
      <c r="O1046950" s="36"/>
    </row>
    <row r="1046951" customFormat="1" spans="15:15">
      <c r="O1046951" s="36"/>
    </row>
    <row r="1046952" customFormat="1" spans="15:15">
      <c r="O1046952" s="36"/>
    </row>
    <row r="1046953" customFormat="1" spans="15:15">
      <c r="O1046953" s="36"/>
    </row>
    <row r="1046954" customFormat="1" spans="15:15">
      <c r="O1046954" s="36"/>
    </row>
    <row r="1046955" customFormat="1" spans="15:15">
      <c r="O1046955" s="36"/>
    </row>
    <row r="1046956" customFormat="1" spans="15:15">
      <c r="O1046956" s="36"/>
    </row>
    <row r="1046957" customFormat="1" spans="15:15">
      <c r="O1046957" s="36"/>
    </row>
    <row r="1046958" customFormat="1" spans="15:15">
      <c r="O1046958" s="36"/>
    </row>
    <row r="1046959" customFormat="1" spans="15:15">
      <c r="O1046959" s="36"/>
    </row>
    <row r="1046960" customFormat="1" spans="15:15">
      <c r="O1046960" s="36"/>
    </row>
    <row r="1046961" customFormat="1" spans="15:15">
      <c r="O1046961" s="36"/>
    </row>
    <row r="1046962" customFormat="1" spans="15:15">
      <c r="O1046962" s="36"/>
    </row>
    <row r="1046963" customFormat="1" spans="15:15">
      <c r="O1046963" s="36"/>
    </row>
    <row r="1046964" customFormat="1" spans="15:15">
      <c r="O1046964" s="36"/>
    </row>
    <row r="1046965" customFormat="1" spans="15:15">
      <c r="O1046965" s="36"/>
    </row>
    <row r="1046966" customFormat="1" spans="15:15">
      <c r="O1046966" s="36"/>
    </row>
    <row r="1046967" customFormat="1" spans="15:15">
      <c r="O1046967" s="36"/>
    </row>
    <row r="1046968" customFormat="1" spans="15:15">
      <c r="O1046968" s="36"/>
    </row>
    <row r="1046969" customFormat="1" spans="15:15">
      <c r="O1046969" s="36"/>
    </row>
    <row r="1046970" customFormat="1" spans="15:15">
      <c r="O1046970" s="36"/>
    </row>
    <row r="1046971" customFormat="1" spans="15:15">
      <c r="O1046971" s="36"/>
    </row>
    <row r="1046972" customFormat="1" spans="15:15">
      <c r="O1046972" s="36"/>
    </row>
    <row r="1046973" customFormat="1" spans="15:15">
      <c r="O1046973" s="36"/>
    </row>
    <row r="1046974" customFormat="1" spans="15:15">
      <c r="O1046974" s="36"/>
    </row>
    <row r="1046975" customFormat="1" spans="15:15">
      <c r="O1046975" s="36"/>
    </row>
    <row r="1046976" customFormat="1" spans="15:15">
      <c r="O1046976" s="36"/>
    </row>
    <row r="1046977" customFormat="1" spans="15:15">
      <c r="O1046977" s="36"/>
    </row>
    <row r="1046978" customFormat="1" spans="15:15">
      <c r="O1046978" s="36"/>
    </row>
    <row r="1046979" customFormat="1" spans="15:15">
      <c r="O1046979" s="36"/>
    </row>
    <row r="1046980" customFormat="1" spans="15:15">
      <c r="O1046980" s="36"/>
    </row>
    <row r="1046981" customFormat="1" spans="15:15">
      <c r="O1046981" s="36"/>
    </row>
    <row r="1046982" customFormat="1" spans="15:15">
      <c r="O1046982" s="36"/>
    </row>
    <row r="1046983" customFormat="1" spans="15:15">
      <c r="O1046983" s="36"/>
    </row>
    <row r="1046984" customFormat="1" spans="15:15">
      <c r="O1046984" s="36"/>
    </row>
    <row r="1046985" customFormat="1" spans="15:15">
      <c r="O1046985" s="36"/>
    </row>
    <row r="1046986" customFormat="1" spans="15:15">
      <c r="O1046986" s="36"/>
    </row>
    <row r="1046987" customFormat="1" spans="15:15">
      <c r="O1046987" s="36"/>
    </row>
    <row r="1046988" customFormat="1" spans="15:15">
      <c r="O1046988" s="36"/>
    </row>
    <row r="1046989" customFormat="1" spans="15:15">
      <c r="O1046989" s="36"/>
    </row>
    <row r="1046990" customFormat="1" spans="15:15">
      <c r="O1046990" s="36"/>
    </row>
    <row r="1046991" customFormat="1" spans="15:15">
      <c r="O1046991" s="36"/>
    </row>
    <row r="1046992" customFormat="1" spans="15:15">
      <c r="O1046992" s="36"/>
    </row>
    <row r="1046993" customFormat="1" spans="15:15">
      <c r="O1046993" s="36"/>
    </row>
    <row r="1046994" customFormat="1" spans="15:15">
      <c r="O1046994" s="36"/>
    </row>
    <row r="1046995" customFormat="1" spans="15:15">
      <c r="O1046995" s="36"/>
    </row>
    <row r="1046996" customFormat="1" spans="15:15">
      <c r="O1046996" s="36"/>
    </row>
    <row r="1046997" customFormat="1" spans="15:15">
      <c r="O1046997" s="36"/>
    </row>
    <row r="1046998" customFormat="1" spans="15:15">
      <c r="O1046998" s="36"/>
    </row>
    <row r="1046999" customFormat="1" spans="15:15">
      <c r="O1046999" s="36"/>
    </row>
    <row r="1047000" customFormat="1" spans="15:15">
      <c r="O1047000" s="36"/>
    </row>
    <row r="1047001" customFormat="1" spans="15:15">
      <c r="O1047001" s="36"/>
    </row>
    <row r="1047002" customFormat="1" spans="15:15">
      <c r="O1047002" s="36"/>
    </row>
    <row r="1047003" customFormat="1" spans="15:15">
      <c r="O1047003" s="36"/>
    </row>
    <row r="1047004" customFormat="1" spans="15:15">
      <c r="O1047004" s="36"/>
    </row>
    <row r="1047005" customFormat="1" spans="15:15">
      <c r="O1047005" s="36"/>
    </row>
    <row r="1047006" customFormat="1" spans="15:15">
      <c r="O1047006" s="36"/>
    </row>
    <row r="1047007" customFormat="1" spans="15:15">
      <c r="O1047007" s="36"/>
    </row>
    <row r="1047008" customFormat="1" spans="15:15">
      <c r="O1047008" s="36"/>
    </row>
    <row r="1047009" customFormat="1" spans="15:15">
      <c r="O1047009" s="36"/>
    </row>
    <row r="1047010" customFormat="1" spans="15:15">
      <c r="O1047010" s="36"/>
    </row>
    <row r="1047011" customFormat="1" spans="15:15">
      <c r="O1047011" s="36"/>
    </row>
    <row r="1047012" customFormat="1" spans="15:15">
      <c r="O1047012" s="36"/>
    </row>
    <row r="1047013" customFormat="1" spans="15:15">
      <c r="O1047013" s="36"/>
    </row>
    <row r="1047014" customFormat="1" spans="15:15">
      <c r="O1047014" s="36"/>
    </row>
    <row r="1047015" customFormat="1" spans="15:15">
      <c r="O1047015" s="36"/>
    </row>
    <row r="1047016" customFormat="1" spans="15:15">
      <c r="O1047016" s="36"/>
    </row>
    <row r="1047017" customFormat="1" spans="15:15">
      <c r="O1047017" s="36"/>
    </row>
    <row r="1047018" customFormat="1" spans="15:15">
      <c r="O1047018" s="36"/>
    </row>
    <row r="1047019" customFormat="1" spans="15:15">
      <c r="O1047019" s="36"/>
    </row>
    <row r="1047020" customFormat="1" spans="15:15">
      <c r="O1047020" s="36"/>
    </row>
    <row r="1047021" customFormat="1" spans="15:15">
      <c r="O1047021" s="36"/>
    </row>
    <row r="1047022" customFormat="1" spans="15:15">
      <c r="O1047022" s="36"/>
    </row>
    <row r="1047023" customFormat="1" spans="15:15">
      <c r="O1047023" s="36"/>
    </row>
    <row r="1047024" customFormat="1" spans="15:15">
      <c r="O1047024" s="36"/>
    </row>
    <row r="1047025" customFormat="1" spans="15:15">
      <c r="O1047025" s="36"/>
    </row>
    <row r="1047026" customFormat="1" spans="15:15">
      <c r="O1047026" s="36"/>
    </row>
    <row r="1047027" customFormat="1" spans="15:15">
      <c r="O1047027" s="36"/>
    </row>
    <row r="1047028" customFormat="1" spans="15:15">
      <c r="O1047028" s="36"/>
    </row>
    <row r="1047029" customFormat="1" spans="15:15">
      <c r="O1047029" s="36"/>
    </row>
    <row r="1047030" customFormat="1" spans="15:15">
      <c r="O1047030" s="36"/>
    </row>
    <row r="1047031" customFormat="1" spans="15:15">
      <c r="O1047031" s="36"/>
    </row>
    <row r="1047032" customFormat="1" spans="15:15">
      <c r="O1047032" s="36"/>
    </row>
    <row r="1047033" customFormat="1" spans="15:15">
      <c r="O1047033" s="36"/>
    </row>
    <row r="1047034" customFormat="1" spans="15:15">
      <c r="O1047034" s="36"/>
    </row>
    <row r="1047035" customFormat="1" spans="15:15">
      <c r="O1047035" s="36"/>
    </row>
    <row r="1047036" customFormat="1" spans="15:15">
      <c r="O1047036" s="36"/>
    </row>
    <row r="1047037" customFormat="1" spans="15:15">
      <c r="O1047037" s="36"/>
    </row>
    <row r="1047038" customFormat="1" spans="15:15">
      <c r="O1047038" s="36"/>
    </row>
    <row r="1047039" customFormat="1" spans="15:15">
      <c r="O1047039" s="36"/>
    </row>
    <row r="1047040" customFormat="1" spans="15:15">
      <c r="O1047040" s="36"/>
    </row>
    <row r="1047041" customFormat="1" spans="15:15">
      <c r="O1047041" s="36"/>
    </row>
    <row r="1047042" customFormat="1" spans="15:15">
      <c r="O1047042" s="36"/>
    </row>
    <row r="1047043" customFormat="1" spans="15:15">
      <c r="O1047043" s="36"/>
    </row>
    <row r="1047044" customFormat="1" spans="15:15">
      <c r="O1047044" s="36"/>
    </row>
    <row r="1047045" customFormat="1" spans="15:15">
      <c r="O1047045" s="36"/>
    </row>
    <row r="1047046" customFormat="1" spans="15:15">
      <c r="O1047046" s="36"/>
    </row>
    <row r="1047047" customFormat="1" spans="15:15">
      <c r="O1047047" s="36"/>
    </row>
    <row r="1047048" customFormat="1" spans="15:15">
      <c r="O1047048" s="36"/>
    </row>
    <row r="1047049" customFormat="1" spans="15:15">
      <c r="O1047049" s="36"/>
    </row>
    <row r="1047050" customFormat="1" spans="15:15">
      <c r="O1047050" s="36"/>
    </row>
    <row r="1047051" customFormat="1" spans="15:15">
      <c r="O1047051" s="36"/>
    </row>
    <row r="1047052" customFormat="1" spans="15:15">
      <c r="O1047052" s="36"/>
    </row>
    <row r="1047053" customFormat="1" spans="15:15">
      <c r="O1047053" s="36"/>
    </row>
    <row r="1047054" customFormat="1" spans="15:15">
      <c r="O1047054" s="36"/>
    </row>
    <row r="1047055" customFormat="1" spans="15:15">
      <c r="O1047055" s="36"/>
    </row>
    <row r="1047056" customFormat="1" spans="15:15">
      <c r="O1047056" s="36"/>
    </row>
    <row r="1047057" customFormat="1" spans="15:15">
      <c r="O1047057" s="36"/>
    </row>
    <row r="1047058" customFormat="1" spans="15:15">
      <c r="O1047058" s="36"/>
    </row>
    <row r="1047059" customFormat="1" spans="15:15">
      <c r="O1047059" s="36"/>
    </row>
    <row r="1047060" customFormat="1" spans="15:15">
      <c r="O1047060" s="36"/>
    </row>
    <row r="1047061" customFormat="1" spans="15:15">
      <c r="O1047061" s="36"/>
    </row>
    <row r="1047062" customFormat="1" spans="15:15">
      <c r="O1047062" s="36"/>
    </row>
    <row r="1047063" customFormat="1" spans="15:15">
      <c r="O1047063" s="36"/>
    </row>
    <row r="1047064" customFormat="1" spans="15:15">
      <c r="O1047064" s="36"/>
    </row>
    <row r="1047065" customFormat="1" spans="15:15">
      <c r="O1047065" s="36"/>
    </row>
    <row r="1047066" customFormat="1" spans="15:15">
      <c r="O1047066" s="36"/>
    </row>
    <row r="1047067" customFormat="1" spans="15:15">
      <c r="O1047067" s="36"/>
    </row>
    <row r="1047068" customFormat="1" spans="15:15">
      <c r="O1047068" s="36"/>
    </row>
    <row r="1047069" customFormat="1" spans="15:15">
      <c r="O1047069" s="36"/>
    </row>
    <row r="1047070" customFormat="1" spans="15:15">
      <c r="O1047070" s="36"/>
    </row>
    <row r="1047071" customFormat="1" spans="15:15">
      <c r="O1047071" s="36"/>
    </row>
    <row r="1047072" customFormat="1" spans="15:15">
      <c r="O1047072" s="36"/>
    </row>
    <row r="1047073" customFormat="1" spans="15:15">
      <c r="O1047073" s="36"/>
    </row>
    <row r="1047074" customFormat="1" spans="15:15">
      <c r="O1047074" s="36"/>
    </row>
    <row r="1047075" customFormat="1" spans="15:15">
      <c r="O1047075" s="36"/>
    </row>
    <row r="1047076" customFormat="1" spans="15:15">
      <c r="O1047076" s="36"/>
    </row>
    <row r="1047077" customFormat="1" spans="15:15">
      <c r="O1047077" s="36"/>
    </row>
    <row r="1047078" customFormat="1" spans="15:15">
      <c r="O1047078" s="36"/>
    </row>
    <row r="1047079" customFormat="1" spans="15:15">
      <c r="O1047079" s="36"/>
    </row>
    <row r="1047080" customFormat="1" spans="15:15">
      <c r="O1047080" s="36"/>
    </row>
    <row r="1047081" customFormat="1" spans="15:15">
      <c r="O1047081" s="36"/>
    </row>
    <row r="1047082" customFormat="1" spans="15:15">
      <c r="O1047082" s="36"/>
    </row>
    <row r="1047083" customFormat="1" spans="15:15">
      <c r="O1047083" s="36"/>
    </row>
    <row r="1047084" customFormat="1" spans="15:15">
      <c r="O1047084" s="36"/>
    </row>
    <row r="1047085" customFormat="1" spans="15:15">
      <c r="O1047085" s="36"/>
    </row>
    <row r="1047086" customFormat="1" spans="15:15">
      <c r="O1047086" s="36"/>
    </row>
    <row r="1047087" customFormat="1" spans="15:15">
      <c r="O1047087" s="36"/>
    </row>
    <row r="1047088" customFormat="1" spans="15:15">
      <c r="O1047088" s="36"/>
    </row>
    <row r="1047089" customFormat="1" spans="15:15">
      <c r="O1047089" s="36"/>
    </row>
    <row r="1047090" customFormat="1" spans="15:15">
      <c r="O1047090" s="36"/>
    </row>
    <row r="1047091" customFormat="1" spans="15:15">
      <c r="O1047091" s="36"/>
    </row>
    <row r="1047092" customFormat="1" spans="15:15">
      <c r="O1047092" s="36"/>
    </row>
    <row r="1047093" customFormat="1" spans="15:15">
      <c r="O1047093" s="36"/>
    </row>
    <row r="1047094" customFormat="1" spans="15:15">
      <c r="O1047094" s="36"/>
    </row>
    <row r="1047095" customFormat="1" spans="15:15">
      <c r="O1047095" s="36"/>
    </row>
    <row r="1047096" customFormat="1" spans="15:15">
      <c r="O1047096" s="36"/>
    </row>
    <row r="1047097" customFormat="1" spans="15:15">
      <c r="O1047097" s="36"/>
    </row>
    <row r="1047098" customFormat="1" spans="15:15">
      <c r="O1047098" s="36"/>
    </row>
    <row r="1047099" customFormat="1" spans="15:15">
      <c r="O1047099" s="36"/>
    </row>
    <row r="1047100" customFormat="1" spans="15:15">
      <c r="O1047100" s="36"/>
    </row>
    <row r="1047101" customFormat="1" spans="15:15">
      <c r="O1047101" s="36"/>
    </row>
    <row r="1047102" customFormat="1" spans="15:15">
      <c r="O1047102" s="36"/>
    </row>
    <row r="1047103" customFormat="1" spans="15:15">
      <c r="O1047103" s="36"/>
    </row>
    <row r="1047104" customFormat="1" spans="15:15">
      <c r="O1047104" s="36"/>
    </row>
    <row r="1047105" customFormat="1" spans="15:15">
      <c r="O1047105" s="36"/>
    </row>
    <row r="1047106" customFormat="1" spans="15:15">
      <c r="O1047106" s="36"/>
    </row>
    <row r="1047107" customFormat="1" spans="15:15">
      <c r="O1047107" s="36"/>
    </row>
    <row r="1047108" customFormat="1" spans="15:15">
      <c r="O1047108" s="36"/>
    </row>
    <row r="1047109" customFormat="1" spans="15:15">
      <c r="O1047109" s="36"/>
    </row>
    <row r="1047110" customFormat="1" spans="15:15">
      <c r="O1047110" s="36"/>
    </row>
    <row r="1047111" customFormat="1" spans="15:15">
      <c r="O1047111" s="36"/>
    </row>
    <row r="1047112" customFormat="1" spans="15:15">
      <c r="O1047112" s="36"/>
    </row>
    <row r="1047113" customFormat="1" spans="15:15">
      <c r="O1047113" s="36"/>
    </row>
    <row r="1047114" customFormat="1" spans="15:15">
      <c r="O1047114" s="36"/>
    </row>
    <row r="1047115" customFormat="1" spans="15:15">
      <c r="O1047115" s="36"/>
    </row>
    <row r="1047116" customFormat="1" spans="15:15">
      <c r="O1047116" s="36"/>
    </row>
    <row r="1047117" customFormat="1" spans="15:15">
      <c r="O1047117" s="36"/>
    </row>
    <row r="1047118" customFormat="1" spans="15:15">
      <c r="O1047118" s="36"/>
    </row>
    <row r="1047119" customFormat="1" spans="15:15">
      <c r="O1047119" s="36"/>
    </row>
    <row r="1047120" customFormat="1" spans="15:15">
      <c r="O1047120" s="36"/>
    </row>
    <row r="1047121" customFormat="1" spans="15:15">
      <c r="O1047121" s="36"/>
    </row>
    <row r="1047122" customFormat="1" spans="15:15">
      <c r="O1047122" s="36"/>
    </row>
    <row r="1047123" customFormat="1" spans="15:15">
      <c r="O1047123" s="36"/>
    </row>
    <row r="1047124" customFormat="1" spans="15:15">
      <c r="O1047124" s="36"/>
    </row>
    <row r="1047125" customFormat="1" spans="15:15">
      <c r="O1047125" s="36"/>
    </row>
    <row r="1047126" customFormat="1" spans="15:15">
      <c r="O1047126" s="36"/>
    </row>
    <row r="1047127" customFormat="1" spans="15:15">
      <c r="O1047127" s="36"/>
    </row>
    <row r="1047128" customFormat="1" spans="15:15">
      <c r="O1047128" s="36"/>
    </row>
    <row r="1047129" customFormat="1" spans="15:15">
      <c r="O1047129" s="36"/>
    </row>
    <row r="1047130" customFormat="1" spans="15:15">
      <c r="O1047130" s="36"/>
    </row>
    <row r="1047131" customFormat="1" spans="15:15">
      <c r="O1047131" s="36"/>
    </row>
    <row r="1047132" customFormat="1" spans="15:15">
      <c r="O1047132" s="36"/>
    </row>
    <row r="1047133" customFormat="1" spans="15:15">
      <c r="O1047133" s="36"/>
    </row>
    <row r="1047134" customFormat="1" spans="15:15">
      <c r="O1047134" s="36"/>
    </row>
    <row r="1047135" customFormat="1" spans="15:15">
      <c r="O1047135" s="36"/>
    </row>
    <row r="1047136" customFormat="1" spans="15:15">
      <c r="O1047136" s="36"/>
    </row>
    <row r="1047137" customFormat="1" spans="15:15">
      <c r="O1047137" s="36"/>
    </row>
    <row r="1047138" customFormat="1" spans="15:15">
      <c r="O1047138" s="36"/>
    </row>
    <row r="1047139" customFormat="1" spans="15:15">
      <c r="O1047139" s="36"/>
    </row>
    <row r="1047140" customFormat="1" spans="15:15">
      <c r="O1047140" s="36"/>
    </row>
    <row r="1047141" customFormat="1" spans="15:15">
      <c r="O1047141" s="36"/>
    </row>
    <row r="1047142" customFormat="1" spans="15:15">
      <c r="O1047142" s="36"/>
    </row>
    <row r="1047143" customFormat="1" spans="15:15">
      <c r="O1047143" s="36"/>
    </row>
    <row r="1047144" customFormat="1" spans="15:15">
      <c r="O1047144" s="36"/>
    </row>
    <row r="1047145" customFormat="1" spans="15:15">
      <c r="O1047145" s="36"/>
    </row>
    <row r="1047146" customFormat="1" spans="15:15">
      <c r="O1047146" s="36"/>
    </row>
    <row r="1047147" customFormat="1" spans="15:15">
      <c r="O1047147" s="36"/>
    </row>
    <row r="1047148" customFormat="1" spans="15:15">
      <c r="O1047148" s="36"/>
    </row>
    <row r="1047149" customFormat="1" spans="15:15">
      <c r="O1047149" s="36"/>
    </row>
    <row r="1047150" customFormat="1" spans="15:15">
      <c r="O1047150" s="36"/>
    </row>
    <row r="1047151" customFormat="1" spans="15:15">
      <c r="O1047151" s="36"/>
    </row>
    <row r="1047152" customFormat="1" spans="15:15">
      <c r="O1047152" s="36"/>
    </row>
    <row r="1047153" customFormat="1" spans="15:15">
      <c r="O1047153" s="36"/>
    </row>
    <row r="1047154" customFormat="1" spans="15:15">
      <c r="O1047154" s="36"/>
    </row>
    <row r="1047155" customFormat="1" spans="15:15">
      <c r="O1047155" s="36"/>
    </row>
    <row r="1047156" customFormat="1" spans="15:15">
      <c r="O1047156" s="36"/>
    </row>
    <row r="1047157" customFormat="1" spans="15:15">
      <c r="O1047157" s="36"/>
    </row>
    <row r="1047158" customFormat="1" spans="15:15">
      <c r="O1047158" s="36"/>
    </row>
    <row r="1047159" customFormat="1" spans="15:15">
      <c r="O1047159" s="36"/>
    </row>
    <row r="1047160" customFormat="1" spans="15:15">
      <c r="O1047160" s="36"/>
    </row>
    <row r="1047161" customFormat="1" spans="15:15">
      <c r="O1047161" s="36"/>
    </row>
    <row r="1047162" customFormat="1" spans="15:15">
      <c r="O1047162" s="36"/>
    </row>
    <row r="1047163" customFormat="1" spans="15:15">
      <c r="O1047163" s="36"/>
    </row>
    <row r="1047164" customFormat="1" spans="15:15">
      <c r="O1047164" s="36"/>
    </row>
    <row r="1047165" customFormat="1" spans="15:15">
      <c r="O1047165" s="36"/>
    </row>
    <row r="1047166" customFormat="1" spans="15:15">
      <c r="O1047166" s="36"/>
    </row>
    <row r="1047167" customFormat="1" spans="15:15">
      <c r="O1047167" s="36"/>
    </row>
    <row r="1047168" customFormat="1" spans="15:15">
      <c r="O1047168" s="36"/>
    </row>
    <row r="1047169" customFormat="1" spans="15:15">
      <c r="O1047169" s="36"/>
    </row>
    <row r="1047170" customFormat="1" spans="15:15">
      <c r="O1047170" s="36"/>
    </row>
    <row r="1047171" customFormat="1" spans="15:15">
      <c r="O1047171" s="36"/>
    </row>
    <row r="1047172" customFormat="1" spans="15:15">
      <c r="O1047172" s="36"/>
    </row>
    <row r="1047173" customFormat="1" spans="15:15">
      <c r="O1047173" s="36"/>
    </row>
    <row r="1047174" customFormat="1" spans="15:15">
      <c r="O1047174" s="36"/>
    </row>
    <row r="1047175" customFormat="1" spans="15:15">
      <c r="O1047175" s="36"/>
    </row>
    <row r="1047176" customFormat="1" spans="15:15">
      <c r="O1047176" s="36"/>
    </row>
    <row r="1047177" customFormat="1" spans="15:15">
      <c r="O1047177" s="36"/>
    </row>
    <row r="1047178" customFormat="1" spans="15:15">
      <c r="O1047178" s="36"/>
    </row>
    <row r="1047179" customFormat="1" spans="15:15">
      <c r="O1047179" s="36"/>
    </row>
    <row r="1047180" customFormat="1" spans="15:15">
      <c r="O1047180" s="36"/>
    </row>
    <row r="1047181" customFormat="1" spans="15:15">
      <c r="O1047181" s="36"/>
    </row>
    <row r="1047182" customFormat="1" spans="15:15">
      <c r="O1047182" s="36"/>
    </row>
    <row r="1047183" customFormat="1" spans="15:15">
      <c r="O1047183" s="36"/>
    </row>
    <row r="1047184" customFormat="1" spans="15:15">
      <c r="O1047184" s="36"/>
    </row>
    <row r="1047185" customFormat="1" spans="15:15">
      <c r="O1047185" s="36"/>
    </row>
    <row r="1047186" customFormat="1" spans="15:15">
      <c r="O1047186" s="36"/>
    </row>
    <row r="1047187" customFormat="1" spans="15:15">
      <c r="O1047187" s="36"/>
    </row>
    <row r="1047188" customFormat="1" spans="15:15">
      <c r="O1047188" s="36"/>
    </row>
    <row r="1047189" customFormat="1" spans="15:15">
      <c r="O1047189" s="36"/>
    </row>
    <row r="1047190" customFormat="1" spans="15:15">
      <c r="O1047190" s="36"/>
    </row>
    <row r="1047191" customFormat="1" spans="15:15">
      <c r="O1047191" s="36"/>
    </row>
    <row r="1047192" customFormat="1" spans="15:15">
      <c r="O1047192" s="36"/>
    </row>
    <row r="1047193" customFormat="1" spans="15:15">
      <c r="O1047193" s="36"/>
    </row>
    <row r="1047194" customFormat="1" spans="15:15">
      <c r="O1047194" s="36"/>
    </row>
    <row r="1047195" customFormat="1" spans="15:15">
      <c r="O1047195" s="36"/>
    </row>
    <row r="1047196" customFormat="1" spans="15:15">
      <c r="O1047196" s="36"/>
    </row>
    <row r="1047197" customFormat="1" spans="15:15">
      <c r="O1047197" s="36"/>
    </row>
    <row r="1047198" customFormat="1" spans="15:15">
      <c r="O1047198" s="36"/>
    </row>
    <row r="1047199" customFormat="1" spans="15:15">
      <c r="O1047199" s="36"/>
    </row>
    <row r="1047200" customFormat="1" spans="15:15">
      <c r="O1047200" s="36"/>
    </row>
    <row r="1047201" customFormat="1" spans="15:15">
      <c r="O1047201" s="36"/>
    </row>
    <row r="1047202" customFormat="1" spans="15:15">
      <c r="O1047202" s="36"/>
    </row>
    <row r="1047203" customFormat="1" spans="15:15">
      <c r="O1047203" s="36"/>
    </row>
    <row r="1047204" customFormat="1" spans="15:15">
      <c r="O1047204" s="36"/>
    </row>
    <row r="1047205" customFormat="1" spans="15:15">
      <c r="O1047205" s="36"/>
    </row>
    <row r="1047206" customFormat="1" spans="15:15">
      <c r="O1047206" s="36"/>
    </row>
    <row r="1047207" customFormat="1" spans="15:15">
      <c r="O1047207" s="36"/>
    </row>
    <row r="1047208" customFormat="1" spans="15:15">
      <c r="O1047208" s="36"/>
    </row>
    <row r="1047209" customFormat="1" spans="15:15">
      <c r="O1047209" s="36"/>
    </row>
    <row r="1047210" customFormat="1" spans="15:15">
      <c r="O1047210" s="36"/>
    </row>
    <row r="1047211" customFormat="1" spans="15:15">
      <c r="O1047211" s="36"/>
    </row>
    <row r="1047212" customFormat="1" spans="15:15">
      <c r="O1047212" s="36"/>
    </row>
    <row r="1047213" customFormat="1" spans="15:15">
      <c r="O1047213" s="36"/>
    </row>
    <row r="1047214" customFormat="1" spans="15:15">
      <c r="O1047214" s="36"/>
    </row>
    <row r="1047215" customFormat="1" spans="15:15">
      <c r="O1047215" s="36"/>
    </row>
    <row r="1047216" customFormat="1" spans="15:15">
      <c r="O1047216" s="36"/>
    </row>
    <row r="1047217" customFormat="1" spans="15:15">
      <c r="O1047217" s="36"/>
    </row>
    <row r="1047218" customFormat="1" spans="15:15">
      <c r="O1047218" s="36"/>
    </row>
    <row r="1047219" customFormat="1" spans="15:15">
      <c r="O1047219" s="36"/>
    </row>
    <row r="1047220" customFormat="1" spans="15:15">
      <c r="O1047220" s="36"/>
    </row>
    <row r="1047221" customFormat="1" spans="15:15">
      <c r="O1047221" s="36"/>
    </row>
    <row r="1047222" customFormat="1" spans="15:15">
      <c r="O1047222" s="36"/>
    </row>
    <row r="1047223" customFormat="1" spans="15:15">
      <c r="O1047223" s="36"/>
    </row>
    <row r="1047224" customFormat="1" spans="15:15">
      <c r="O1047224" s="36"/>
    </row>
    <row r="1047225" customFormat="1" spans="15:15">
      <c r="O1047225" s="36"/>
    </row>
    <row r="1047226" customFormat="1" spans="15:15">
      <c r="O1047226" s="36"/>
    </row>
    <row r="1047227" customFormat="1" spans="15:15">
      <c r="O1047227" s="36"/>
    </row>
    <row r="1047228" customFormat="1" spans="15:15">
      <c r="O1047228" s="36"/>
    </row>
    <row r="1047229" customFormat="1" spans="15:15">
      <c r="O1047229" s="36"/>
    </row>
    <row r="1047230" customFormat="1" spans="15:15">
      <c r="O1047230" s="36"/>
    </row>
    <row r="1047231" customFormat="1" spans="15:15">
      <c r="O1047231" s="36"/>
    </row>
    <row r="1047232" customFormat="1" spans="15:15">
      <c r="O1047232" s="36"/>
    </row>
    <row r="1047233" customFormat="1" spans="15:15">
      <c r="O1047233" s="36"/>
    </row>
    <row r="1047234" customFormat="1" spans="15:15">
      <c r="O1047234" s="36"/>
    </row>
    <row r="1047235" customFormat="1" spans="15:15">
      <c r="O1047235" s="36"/>
    </row>
    <row r="1047236" customFormat="1" spans="15:15">
      <c r="O1047236" s="36"/>
    </row>
    <row r="1047237" customFormat="1" spans="15:15">
      <c r="O1047237" s="36"/>
    </row>
    <row r="1047238" customFormat="1" spans="15:15">
      <c r="O1047238" s="36"/>
    </row>
    <row r="1047239" customFormat="1" spans="15:15">
      <c r="O1047239" s="36"/>
    </row>
    <row r="1047240" customFormat="1" spans="15:15">
      <c r="O1047240" s="36"/>
    </row>
    <row r="1047241" customFormat="1" spans="15:15">
      <c r="O1047241" s="36"/>
    </row>
    <row r="1047242" customFormat="1" spans="15:15">
      <c r="O1047242" s="36"/>
    </row>
    <row r="1047243" customFormat="1" spans="15:15">
      <c r="O1047243" s="36"/>
    </row>
    <row r="1047244" customFormat="1" spans="15:15">
      <c r="O1047244" s="36"/>
    </row>
    <row r="1047245" customFormat="1" spans="15:15">
      <c r="O1047245" s="36"/>
    </row>
    <row r="1047246" customFormat="1" spans="15:15">
      <c r="O1047246" s="36"/>
    </row>
    <row r="1047247" customFormat="1" spans="15:15">
      <c r="O1047247" s="36"/>
    </row>
    <row r="1047248" customFormat="1" spans="15:15">
      <c r="O1047248" s="36"/>
    </row>
    <row r="1047249" customFormat="1" spans="15:15">
      <c r="O1047249" s="36"/>
    </row>
    <row r="1047250" customFormat="1" spans="15:15">
      <c r="O1047250" s="36"/>
    </row>
    <row r="1047251" customFormat="1" spans="15:15">
      <c r="O1047251" s="36"/>
    </row>
    <row r="1047252" customFormat="1" spans="15:15">
      <c r="O1047252" s="36"/>
    </row>
    <row r="1047253" customFormat="1" spans="15:15">
      <c r="O1047253" s="36"/>
    </row>
    <row r="1047254" customFormat="1" spans="15:15">
      <c r="O1047254" s="36"/>
    </row>
    <row r="1047255" customFormat="1" spans="15:15">
      <c r="O1047255" s="36"/>
    </row>
    <row r="1047256" customFormat="1" spans="15:15">
      <c r="O1047256" s="36"/>
    </row>
    <row r="1047257" customFormat="1" spans="15:15">
      <c r="O1047257" s="36"/>
    </row>
    <row r="1047258" customFormat="1" spans="15:15">
      <c r="O1047258" s="36"/>
    </row>
    <row r="1047259" customFormat="1" spans="15:15">
      <c r="O1047259" s="36"/>
    </row>
    <row r="1047260" customFormat="1" spans="15:15">
      <c r="O1047260" s="36"/>
    </row>
    <row r="1047261" customFormat="1" spans="15:15">
      <c r="O1047261" s="36"/>
    </row>
    <row r="1047262" customFormat="1" spans="15:15">
      <c r="O1047262" s="36"/>
    </row>
    <row r="1047263" customFormat="1" spans="15:15">
      <c r="O1047263" s="36"/>
    </row>
    <row r="1047264" customFormat="1" spans="15:15">
      <c r="O1047264" s="36"/>
    </row>
    <row r="1047265" customFormat="1" spans="15:15">
      <c r="O1047265" s="36"/>
    </row>
    <row r="1047266" customFormat="1" spans="15:15">
      <c r="O1047266" s="36"/>
    </row>
    <row r="1047267" customFormat="1" spans="15:15">
      <c r="O1047267" s="36"/>
    </row>
    <row r="1047268" customFormat="1" spans="15:15">
      <c r="O1047268" s="36"/>
    </row>
    <row r="1047269" customFormat="1" spans="15:15">
      <c r="O1047269" s="36"/>
    </row>
    <row r="1047270" customFormat="1" spans="15:15">
      <c r="O1047270" s="36"/>
    </row>
    <row r="1047271" customFormat="1" spans="15:15">
      <c r="O1047271" s="36"/>
    </row>
    <row r="1047272" customFormat="1" spans="15:15">
      <c r="O1047272" s="36"/>
    </row>
    <row r="1047273" customFormat="1" spans="15:15">
      <c r="O1047273" s="36"/>
    </row>
    <row r="1047274" customFormat="1" spans="15:15">
      <c r="O1047274" s="36"/>
    </row>
    <row r="1047275" customFormat="1" spans="15:15">
      <c r="O1047275" s="36"/>
    </row>
    <row r="1047276" customFormat="1" spans="15:15">
      <c r="O1047276" s="36"/>
    </row>
    <row r="1047277" customFormat="1" spans="15:15">
      <c r="O1047277" s="36"/>
    </row>
    <row r="1047278" customFormat="1" spans="15:15">
      <c r="O1047278" s="36"/>
    </row>
    <row r="1047279" customFormat="1" spans="15:15">
      <c r="O1047279" s="36"/>
    </row>
    <row r="1047280" customFormat="1" spans="15:15">
      <c r="O1047280" s="36"/>
    </row>
    <row r="1047281" customFormat="1" spans="15:15">
      <c r="O1047281" s="36"/>
    </row>
    <row r="1047282" customFormat="1" spans="15:15">
      <c r="O1047282" s="36"/>
    </row>
    <row r="1047283" customFormat="1" spans="15:15">
      <c r="O1047283" s="36"/>
    </row>
    <row r="1047284" customFormat="1" spans="15:15">
      <c r="O1047284" s="36"/>
    </row>
    <row r="1047285" customFormat="1" spans="15:15">
      <c r="O1047285" s="36"/>
    </row>
    <row r="1047286" customFormat="1" spans="15:15">
      <c r="O1047286" s="36"/>
    </row>
    <row r="1047287" customFormat="1" spans="15:15">
      <c r="O1047287" s="36"/>
    </row>
    <row r="1047288" customFormat="1" spans="15:15">
      <c r="O1047288" s="36"/>
    </row>
    <row r="1047289" customFormat="1" spans="15:15">
      <c r="O1047289" s="36"/>
    </row>
    <row r="1047290" customFormat="1" spans="15:15">
      <c r="O1047290" s="36"/>
    </row>
    <row r="1047291" customFormat="1" spans="15:15">
      <c r="O1047291" s="36"/>
    </row>
    <row r="1047292" customFormat="1" spans="15:15">
      <c r="O1047292" s="36"/>
    </row>
    <row r="1047293" customFormat="1" spans="15:15">
      <c r="O1047293" s="36"/>
    </row>
    <row r="1047294" customFormat="1" spans="15:15">
      <c r="O1047294" s="36"/>
    </row>
    <row r="1047295" customFormat="1" spans="15:15">
      <c r="O1047295" s="36"/>
    </row>
    <row r="1047296" customFormat="1" spans="15:15">
      <c r="O1047296" s="36"/>
    </row>
    <row r="1047297" customFormat="1" spans="15:15">
      <c r="O1047297" s="36"/>
    </row>
    <row r="1047298" customFormat="1" spans="15:15">
      <c r="O1047298" s="36"/>
    </row>
    <row r="1047299" customFormat="1" spans="15:15">
      <c r="O1047299" s="36"/>
    </row>
    <row r="1047300" customFormat="1" spans="15:15">
      <c r="O1047300" s="36"/>
    </row>
    <row r="1047301" customFormat="1" spans="15:15">
      <c r="O1047301" s="36"/>
    </row>
    <row r="1047302" customFormat="1" spans="15:15">
      <c r="O1047302" s="36"/>
    </row>
    <row r="1047303" customFormat="1" spans="15:15">
      <c r="O1047303" s="36"/>
    </row>
    <row r="1047304" customFormat="1" spans="15:15">
      <c r="O1047304" s="36"/>
    </row>
    <row r="1047305" customFormat="1" spans="15:15">
      <c r="O1047305" s="36"/>
    </row>
    <row r="1047306" customFormat="1" spans="15:15">
      <c r="O1047306" s="36"/>
    </row>
    <row r="1047307" customFormat="1" spans="15:15">
      <c r="O1047307" s="36"/>
    </row>
    <row r="1047308" customFormat="1" spans="15:15">
      <c r="O1047308" s="36"/>
    </row>
    <row r="1047309" customFormat="1" spans="15:15">
      <c r="O1047309" s="36"/>
    </row>
    <row r="1047310" customFormat="1" spans="15:15">
      <c r="O1047310" s="36"/>
    </row>
    <row r="1047311" customFormat="1" spans="15:15">
      <c r="O1047311" s="36"/>
    </row>
    <row r="1047312" customFormat="1" spans="15:15">
      <c r="O1047312" s="36"/>
    </row>
    <row r="1047313" customFormat="1" spans="15:15">
      <c r="O1047313" s="36"/>
    </row>
    <row r="1047314" customFormat="1" spans="15:15">
      <c r="O1047314" s="36"/>
    </row>
    <row r="1047315" customFormat="1" spans="15:15">
      <c r="O1047315" s="36"/>
    </row>
    <row r="1047316" customFormat="1" spans="15:15">
      <c r="O1047316" s="36"/>
    </row>
    <row r="1047317" customFormat="1" spans="15:15">
      <c r="O1047317" s="36"/>
    </row>
    <row r="1047318" customFormat="1" spans="15:15">
      <c r="O1047318" s="36"/>
    </row>
    <row r="1047319" customFormat="1" spans="15:15">
      <c r="O1047319" s="36"/>
    </row>
    <row r="1047320" customFormat="1" spans="15:15">
      <c r="O1047320" s="36"/>
    </row>
    <row r="1047321" customFormat="1" spans="15:15">
      <c r="O1047321" s="36"/>
    </row>
    <row r="1047322" customFormat="1" spans="15:15">
      <c r="O1047322" s="36"/>
    </row>
    <row r="1047323" customFormat="1" spans="15:15">
      <c r="O1047323" s="36"/>
    </row>
    <row r="1047324" customFormat="1" spans="15:15">
      <c r="O1047324" s="36"/>
    </row>
    <row r="1047325" customFormat="1" spans="15:15">
      <c r="O1047325" s="36"/>
    </row>
    <row r="1047326" customFormat="1" spans="15:15">
      <c r="O1047326" s="36"/>
    </row>
    <row r="1047327" customFormat="1" spans="15:15">
      <c r="O1047327" s="36"/>
    </row>
    <row r="1047328" customFormat="1" spans="15:15">
      <c r="O1047328" s="36"/>
    </row>
    <row r="1047329" customFormat="1" spans="15:15">
      <c r="O1047329" s="36"/>
    </row>
    <row r="1047330" customFormat="1" spans="15:15">
      <c r="O1047330" s="36"/>
    </row>
    <row r="1047331" customFormat="1" spans="15:15">
      <c r="O1047331" s="36"/>
    </row>
    <row r="1047332" customFormat="1" spans="15:15">
      <c r="O1047332" s="36"/>
    </row>
    <row r="1047333" customFormat="1" spans="15:15">
      <c r="O1047333" s="36"/>
    </row>
    <row r="1047334" customFormat="1" spans="15:15">
      <c r="O1047334" s="36"/>
    </row>
    <row r="1047335" customFormat="1" spans="15:15">
      <c r="O1047335" s="36"/>
    </row>
    <row r="1047336" customFormat="1" spans="15:15">
      <c r="O1047336" s="36"/>
    </row>
    <row r="1047337" customFormat="1" spans="15:15">
      <c r="O1047337" s="36"/>
    </row>
    <row r="1047338" customFormat="1" spans="15:15">
      <c r="O1047338" s="36"/>
    </row>
    <row r="1047339" customFormat="1" spans="15:15">
      <c r="O1047339" s="36"/>
    </row>
    <row r="1047340" customFormat="1" spans="15:15">
      <c r="O1047340" s="36"/>
    </row>
    <row r="1047341" customFormat="1" spans="15:15">
      <c r="O1047341" s="36"/>
    </row>
    <row r="1047342" customFormat="1" spans="15:15">
      <c r="O1047342" s="36"/>
    </row>
    <row r="1047343" customFormat="1" spans="15:15">
      <c r="O1047343" s="36"/>
    </row>
    <row r="1047344" customFormat="1" spans="15:15">
      <c r="O1047344" s="36"/>
    </row>
    <row r="1047345" customFormat="1" spans="15:15">
      <c r="O1047345" s="36"/>
    </row>
    <row r="1047346" customFormat="1" spans="15:15">
      <c r="O1047346" s="36"/>
    </row>
    <row r="1047347" customFormat="1" spans="15:15">
      <c r="O1047347" s="36"/>
    </row>
    <row r="1047348" customFormat="1" spans="15:15">
      <c r="O1047348" s="36"/>
    </row>
    <row r="1047349" customFormat="1" spans="15:15">
      <c r="O1047349" s="36"/>
    </row>
    <row r="1047350" customFormat="1" spans="15:15">
      <c r="O1047350" s="36"/>
    </row>
    <row r="1047351" customFormat="1" spans="15:15">
      <c r="O1047351" s="36"/>
    </row>
    <row r="1047352" customFormat="1" spans="15:15">
      <c r="O1047352" s="36"/>
    </row>
    <row r="1047353" customFormat="1" spans="15:15">
      <c r="O1047353" s="36"/>
    </row>
    <row r="1047354" customFormat="1" spans="15:15">
      <c r="O1047354" s="36"/>
    </row>
    <row r="1047355" customFormat="1" spans="15:15">
      <c r="O1047355" s="36"/>
    </row>
    <row r="1047356" customFormat="1" spans="15:15">
      <c r="O1047356" s="36"/>
    </row>
    <row r="1047357" customFormat="1" spans="15:15">
      <c r="O1047357" s="36"/>
    </row>
    <row r="1047358" customFormat="1" spans="15:15">
      <c r="O1047358" s="36"/>
    </row>
    <row r="1047359" customFormat="1" spans="15:15">
      <c r="O1047359" s="36"/>
    </row>
    <row r="1047360" customFormat="1" spans="15:15">
      <c r="O1047360" s="36"/>
    </row>
    <row r="1047361" customFormat="1" spans="15:15">
      <c r="O1047361" s="36"/>
    </row>
    <row r="1047362" customFormat="1" spans="15:15">
      <c r="O1047362" s="36"/>
    </row>
    <row r="1047363" customFormat="1" spans="15:15">
      <c r="O1047363" s="36"/>
    </row>
    <row r="1047364" customFormat="1" spans="15:15">
      <c r="O1047364" s="36"/>
    </row>
    <row r="1047365" customFormat="1" spans="15:15">
      <c r="O1047365" s="36"/>
    </row>
    <row r="1047366" customFormat="1" spans="15:15">
      <c r="O1047366" s="36"/>
    </row>
    <row r="1047367" customFormat="1" spans="15:15">
      <c r="O1047367" s="36"/>
    </row>
    <row r="1047368" customFormat="1" spans="15:15">
      <c r="O1047368" s="36"/>
    </row>
    <row r="1047369" customFormat="1" spans="15:15">
      <c r="O1047369" s="36"/>
    </row>
    <row r="1047370" customFormat="1" spans="15:15">
      <c r="O1047370" s="36"/>
    </row>
    <row r="1047371" customFormat="1" spans="15:15">
      <c r="O1047371" s="36"/>
    </row>
    <row r="1047372" customFormat="1" spans="15:15">
      <c r="O1047372" s="36"/>
    </row>
    <row r="1047373" customFormat="1" spans="15:15">
      <c r="O1047373" s="36"/>
    </row>
    <row r="1047374" customFormat="1" spans="15:15">
      <c r="O1047374" s="36"/>
    </row>
    <row r="1047375" customFormat="1" spans="15:15">
      <c r="O1047375" s="36"/>
    </row>
    <row r="1047376" customFormat="1" spans="15:15">
      <c r="O1047376" s="36"/>
    </row>
    <row r="1047377" customFormat="1" spans="15:15">
      <c r="O1047377" s="36"/>
    </row>
    <row r="1047378" customFormat="1" spans="15:15">
      <c r="O1047378" s="36"/>
    </row>
    <row r="1047379" customFormat="1" spans="15:15">
      <c r="O1047379" s="36"/>
    </row>
    <row r="1047380" customFormat="1" spans="15:15">
      <c r="O1047380" s="36"/>
    </row>
    <row r="1047381" customFormat="1" spans="15:15">
      <c r="O1047381" s="36"/>
    </row>
    <row r="1047382" customFormat="1" spans="15:15">
      <c r="O1047382" s="36"/>
    </row>
    <row r="1047383" customFormat="1" spans="15:15">
      <c r="O1047383" s="36"/>
    </row>
    <row r="1047384" customFormat="1" spans="15:15">
      <c r="O1047384" s="36"/>
    </row>
    <row r="1047385" customFormat="1" spans="15:15">
      <c r="O1047385" s="36"/>
    </row>
    <row r="1047386" customFormat="1" spans="15:15">
      <c r="O1047386" s="36"/>
    </row>
    <row r="1047387" customFormat="1" spans="15:15">
      <c r="O1047387" s="36"/>
    </row>
    <row r="1047388" customFormat="1" spans="15:15">
      <c r="O1047388" s="36"/>
    </row>
    <row r="1047389" customFormat="1" spans="15:15">
      <c r="O1047389" s="36"/>
    </row>
    <row r="1047390" customFormat="1" spans="15:15">
      <c r="O1047390" s="36"/>
    </row>
    <row r="1047391" customFormat="1" spans="15:15">
      <c r="O1047391" s="36"/>
    </row>
    <row r="1047392" customFormat="1" spans="15:15">
      <c r="O1047392" s="36"/>
    </row>
    <row r="1047393" customFormat="1" spans="15:15">
      <c r="O1047393" s="36"/>
    </row>
    <row r="1047394" customFormat="1" spans="15:15">
      <c r="O1047394" s="36"/>
    </row>
    <row r="1047395" customFormat="1" spans="15:15">
      <c r="O1047395" s="36"/>
    </row>
    <row r="1047396" customFormat="1" spans="15:15">
      <c r="O1047396" s="36"/>
    </row>
    <row r="1047397" customFormat="1" spans="15:15">
      <c r="O1047397" s="36"/>
    </row>
    <row r="1047398" customFormat="1" spans="15:15">
      <c r="O1047398" s="36"/>
    </row>
    <row r="1047399" customFormat="1" spans="15:15">
      <c r="O1047399" s="36"/>
    </row>
    <row r="1047400" customFormat="1" spans="15:15">
      <c r="O1047400" s="36"/>
    </row>
    <row r="1047401" customFormat="1" spans="15:15">
      <c r="O1047401" s="36"/>
    </row>
    <row r="1047402" customFormat="1" spans="15:15">
      <c r="O1047402" s="36"/>
    </row>
    <row r="1047403" customFormat="1" spans="15:15">
      <c r="O1047403" s="36"/>
    </row>
    <row r="1047404" customFormat="1" spans="15:15">
      <c r="O1047404" s="36"/>
    </row>
    <row r="1047405" customFormat="1" spans="15:15">
      <c r="O1047405" s="36"/>
    </row>
    <row r="1047406" customFormat="1" spans="15:15">
      <c r="O1047406" s="36"/>
    </row>
    <row r="1047407" customFormat="1" spans="15:15">
      <c r="O1047407" s="36"/>
    </row>
    <row r="1047408" customFormat="1" spans="15:15">
      <c r="O1047408" s="36"/>
    </row>
    <row r="1047409" customFormat="1" spans="15:15">
      <c r="O1047409" s="36"/>
    </row>
    <row r="1047410" customFormat="1" spans="15:15">
      <c r="O1047410" s="36"/>
    </row>
    <row r="1047411" customFormat="1" spans="15:15">
      <c r="O1047411" s="36"/>
    </row>
    <row r="1047412" customFormat="1" spans="15:15">
      <c r="O1047412" s="36"/>
    </row>
    <row r="1047413" customFormat="1" spans="15:15">
      <c r="O1047413" s="36"/>
    </row>
    <row r="1047414" customFormat="1" spans="15:15">
      <c r="O1047414" s="36"/>
    </row>
    <row r="1047415" customFormat="1" spans="15:15">
      <c r="O1047415" s="36"/>
    </row>
    <row r="1047416" customFormat="1" spans="15:15">
      <c r="O1047416" s="36"/>
    </row>
    <row r="1047417" customFormat="1" spans="15:15">
      <c r="O1047417" s="36"/>
    </row>
    <row r="1047418" customFormat="1" spans="15:15">
      <c r="O1047418" s="36"/>
    </row>
    <row r="1047419" customFormat="1" spans="15:15">
      <c r="O1047419" s="36"/>
    </row>
    <row r="1047420" customFormat="1" spans="15:15">
      <c r="O1047420" s="36"/>
    </row>
    <row r="1047421" customFormat="1" spans="15:15">
      <c r="O1047421" s="36"/>
    </row>
    <row r="1047422" customFormat="1" spans="15:15">
      <c r="O1047422" s="36"/>
    </row>
    <row r="1047423" customFormat="1" spans="15:15">
      <c r="O1047423" s="36"/>
    </row>
    <row r="1047424" customFormat="1" spans="15:15">
      <c r="O1047424" s="36"/>
    </row>
    <row r="1047425" customFormat="1" spans="15:15">
      <c r="O1047425" s="36"/>
    </row>
    <row r="1047426" customFormat="1" spans="15:15">
      <c r="O1047426" s="36"/>
    </row>
    <row r="1047427" customFormat="1" spans="15:15">
      <c r="O1047427" s="36"/>
    </row>
    <row r="1047428" customFormat="1" spans="15:15">
      <c r="O1047428" s="36"/>
    </row>
    <row r="1047429" customFormat="1" spans="15:15">
      <c r="O1047429" s="36"/>
    </row>
    <row r="1047430" customFormat="1" spans="15:15">
      <c r="O1047430" s="36"/>
    </row>
    <row r="1047431" customFormat="1" spans="15:15">
      <c r="O1047431" s="36"/>
    </row>
    <row r="1047432" customFormat="1" spans="15:15">
      <c r="O1047432" s="36"/>
    </row>
    <row r="1047433" customFormat="1" spans="15:15">
      <c r="O1047433" s="36"/>
    </row>
    <row r="1047434" customFormat="1" spans="15:15">
      <c r="O1047434" s="36"/>
    </row>
    <row r="1047435" customFormat="1" spans="15:15">
      <c r="O1047435" s="36"/>
    </row>
    <row r="1047436" customFormat="1" spans="15:15">
      <c r="O1047436" s="36"/>
    </row>
    <row r="1047437" customFormat="1" spans="15:15">
      <c r="O1047437" s="36"/>
    </row>
    <row r="1047438" customFormat="1" spans="15:15">
      <c r="O1047438" s="36"/>
    </row>
    <row r="1047439" customFormat="1" spans="15:15">
      <c r="O1047439" s="36"/>
    </row>
    <row r="1047440" customFormat="1" spans="15:15">
      <c r="O1047440" s="36"/>
    </row>
    <row r="1047441" customFormat="1" spans="15:15">
      <c r="O1047441" s="36"/>
    </row>
    <row r="1047442" customFormat="1" spans="15:15">
      <c r="O1047442" s="36"/>
    </row>
    <row r="1047443" customFormat="1" spans="15:15">
      <c r="O1047443" s="36"/>
    </row>
    <row r="1047444" customFormat="1" spans="15:15">
      <c r="O1047444" s="36"/>
    </row>
    <row r="1047445" customFormat="1" spans="15:15">
      <c r="O1047445" s="36"/>
    </row>
    <row r="1047446" customFormat="1" spans="15:15">
      <c r="O1047446" s="36"/>
    </row>
    <row r="1047447" customFormat="1" spans="15:15">
      <c r="O1047447" s="36"/>
    </row>
    <row r="1047448" customFormat="1" spans="15:15">
      <c r="O1047448" s="36"/>
    </row>
    <row r="1047449" customFormat="1" spans="15:15">
      <c r="O1047449" s="36"/>
    </row>
    <row r="1047450" customFormat="1" spans="15:15">
      <c r="O1047450" s="36"/>
    </row>
    <row r="1047451" customFormat="1" spans="15:15">
      <c r="O1047451" s="36"/>
    </row>
    <row r="1047452" customFormat="1" spans="15:15">
      <c r="O1047452" s="36"/>
    </row>
    <row r="1047453" customFormat="1" spans="15:15">
      <c r="O1047453" s="36"/>
    </row>
    <row r="1047454" customFormat="1" spans="15:15">
      <c r="O1047454" s="36"/>
    </row>
    <row r="1047455" customFormat="1" spans="15:15">
      <c r="O1047455" s="36"/>
    </row>
    <row r="1047456" customFormat="1" spans="15:15">
      <c r="O1047456" s="36"/>
    </row>
    <row r="1047457" customFormat="1" spans="15:15">
      <c r="O1047457" s="36"/>
    </row>
    <row r="1047458" customFormat="1" spans="15:15">
      <c r="O1047458" s="36"/>
    </row>
    <row r="1047459" customFormat="1" spans="15:15">
      <c r="O1047459" s="36"/>
    </row>
    <row r="1047460" customFormat="1" spans="15:15">
      <c r="O1047460" s="36"/>
    </row>
    <row r="1047461" customFormat="1" spans="15:15">
      <c r="O1047461" s="36"/>
    </row>
    <row r="1047462" customFormat="1" spans="15:15">
      <c r="O1047462" s="36"/>
    </row>
    <row r="1047463" customFormat="1" spans="15:15">
      <c r="O1047463" s="36"/>
    </row>
    <row r="1047464" customFormat="1" spans="15:15">
      <c r="O1047464" s="36"/>
    </row>
    <row r="1047465" customFormat="1" spans="15:15">
      <c r="O1047465" s="36"/>
    </row>
    <row r="1047466" customFormat="1" spans="15:15">
      <c r="O1047466" s="36"/>
    </row>
    <row r="1047467" customFormat="1" spans="15:15">
      <c r="O1047467" s="36"/>
    </row>
    <row r="1047468" customFormat="1" spans="15:15">
      <c r="O1047468" s="36"/>
    </row>
    <row r="1047469" customFormat="1" spans="15:15">
      <c r="O1047469" s="36"/>
    </row>
    <row r="1047470" customFormat="1" spans="15:15">
      <c r="O1047470" s="36"/>
    </row>
    <row r="1047471" customFormat="1" spans="15:15">
      <c r="O1047471" s="36"/>
    </row>
    <row r="1047472" customFormat="1" spans="15:15">
      <c r="O1047472" s="36"/>
    </row>
    <row r="1047473" customFormat="1" spans="15:15">
      <c r="O1047473" s="36"/>
    </row>
    <row r="1047474" customFormat="1" spans="15:15">
      <c r="O1047474" s="36"/>
    </row>
    <row r="1047475" customFormat="1" spans="15:15">
      <c r="O1047475" s="36"/>
    </row>
    <row r="1047476" customFormat="1" spans="15:15">
      <c r="O1047476" s="36"/>
    </row>
    <row r="1047477" customFormat="1" spans="15:15">
      <c r="O1047477" s="36"/>
    </row>
    <row r="1047478" customFormat="1" spans="15:15">
      <c r="O1047478" s="36"/>
    </row>
    <row r="1047479" customFormat="1" spans="15:15">
      <c r="O1047479" s="36"/>
    </row>
    <row r="1047480" customFormat="1" spans="15:15">
      <c r="O1047480" s="36"/>
    </row>
    <row r="1047481" customFormat="1" spans="15:15">
      <c r="O1047481" s="36"/>
    </row>
    <row r="1047482" customFormat="1" spans="15:15">
      <c r="O1047482" s="36"/>
    </row>
    <row r="1047483" customFormat="1" spans="15:15">
      <c r="O1047483" s="36"/>
    </row>
    <row r="1047484" customFormat="1" spans="15:15">
      <c r="O1047484" s="36"/>
    </row>
    <row r="1047485" customFormat="1" spans="15:15">
      <c r="O1047485" s="36"/>
    </row>
    <row r="1047486" customFormat="1" spans="15:15">
      <c r="O1047486" s="36"/>
    </row>
    <row r="1047487" customFormat="1" spans="15:15">
      <c r="O1047487" s="36"/>
    </row>
    <row r="1047488" customFormat="1" spans="15:15">
      <c r="O1047488" s="36"/>
    </row>
    <row r="1047489" customFormat="1" spans="15:15">
      <c r="O1047489" s="36"/>
    </row>
    <row r="1047490" customFormat="1" spans="15:15">
      <c r="O1047490" s="36"/>
    </row>
    <row r="1047491" customFormat="1" spans="15:15">
      <c r="O1047491" s="36"/>
    </row>
    <row r="1047492" customFormat="1" spans="15:15">
      <c r="O1047492" s="36"/>
    </row>
    <row r="1047493" customFormat="1" spans="15:15">
      <c r="O1047493" s="36"/>
    </row>
    <row r="1047494" customFormat="1" spans="15:15">
      <c r="O1047494" s="36"/>
    </row>
    <row r="1047495" customFormat="1" spans="15:15">
      <c r="O1047495" s="36"/>
    </row>
    <row r="1047496" customFormat="1" spans="15:15">
      <c r="O1047496" s="36"/>
    </row>
    <row r="1047497" customFormat="1" spans="15:15">
      <c r="O1047497" s="36"/>
    </row>
    <row r="1047498" customFormat="1" spans="15:15">
      <c r="O1047498" s="36"/>
    </row>
    <row r="1047499" customFormat="1" spans="15:15">
      <c r="O1047499" s="36"/>
    </row>
    <row r="1047500" customFormat="1" spans="15:15">
      <c r="O1047500" s="36"/>
    </row>
    <row r="1047501" customFormat="1" spans="15:15">
      <c r="O1047501" s="36"/>
    </row>
    <row r="1047502" customFormat="1" spans="15:15">
      <c r="O1047502" s="36"/>
    </row>
    <row r="1047503" customFormat="1" spans="15:15">
      <c r="O1047503" s="36"/>
    </row>
    <row r="1047504" customFormat="1" spans="15:15">
      <c r="O1047504" s="36"/>
    </row>
    <row r="1047505" customFormat="1" spans="15:15">
      <c r="O1047505" s="36"/>
    </row>
    <row r="1047506" customFormat="1" spans="15:15">
      <c r="O1047506" s="36"/>
    </row>
    <row r="1047507" customFormat="1" spans="15:15">
      <c r="O1047507" s="36"/>
    </row>
    <row r="1047508" customFormat="1" spans="15:15">
      <c r="O1047508" s="36"/>
    </row>
    <row r="1047509" customFormat="1" spans="15:15">
      <c r="O1047509" s="36"/>
    </row>
    <row r="1047510" customFormat="1" spans="15:15">
      <c r="O1047510" s="36"/>
    </row>
    <row r="1047511" customFormat="1" spans="15:15">
      <c r="O1047511" s="36"/>
    </row>
    <row r="1047512" customFormat="1" spans="15:15">
      <c r="O1047512" s="36"/>
    </row>
    <row r="1047513" customFormat="1" spans="15:15">
      <c r="O1047513" s="36"/>
    </row>
    <row r="1047514" customFormat="1" spans="15:15">
      <c r="O1047514" s="36"/>
    </row>
    <row r="1047515" customFormat="1" spans="15:15">
      <c r="O1047515" s="36"/>
    </row>
    <row r="1047516" customFormat="1" spans="15:15">
      <c r="O1047516" s="36"/>
    </row>
    <row r="1047517" customFormat="1" spans="15:15">
      <c r="O1047517" s="36"/>
    </row>
    <row r="1047518" customFormat="1" spans="15:15">
      <c r="O1047518" s="36"/>
    </row>
    <row r="1047519" customFormat="1" spans="15:15">
      <c r="O1047519" s="36"/>
    </row>
    <row r="1047520" customFormat="1" spans="15:15">
      <c r="O1047520" s="36"/>
    </row>
    <row r="1047521" customFormat="1" spans="15:15">
      <c r="O1047521" s="36"/>
    </row>
    <row r="1047522" customFormat="1" spans="15:15">
      <c r="O1047522" s="36"/>
    </row>
    <row r="1047523" customFormat="1" spans="15:15">
      <c r="O1047523" s="36"/>
    </row>
    <row r="1047524" customFormat="1" spans="15:15">
      <c r="O1047524" s="36"/>
    </row>
    <row r="1047525" customFormat="1" spans="15:15">
      <c r="O1047525" s="36"/>
    </row>
    <row r="1047526" customFormat="1" spans="15:15">
      <c r="O1047526" s="36"/>
    </row>
    <row r="1047527" customFormat="1" spans="15:15">
      <c r="O1047527" s="36"/>
    </row>
    <row r="1047528" customFormat="1" spans="15:15">
      <c r="O1047528" s="36"/>
    </row>
    <row r="1047529" customFormat="1" spans="15:15">
      <c r="O1047529" s="36"/>
    </row>
    <row r="1047530" customFormat="1" spans="15:15">
      <c r="O1047530" s="36"/>
    </row>
    <row r="1047531" customFormat="1" spans="15:15">
      <c r="O1047531" s="36"/>
    </row>
    <row r="1047532" customFormat="1" spans="15:15">
      <c r="O1047532" s="36"/>
    </row>
    <row r="1047533" customFormat="1" spans="15:15">
      <c r="O1047533" s="36"/>
    </row>
    <row r="1047534" customFormat="1" spans="15:15">
      <c r="O1047534" s="36"/>
    </row>
    <row r="1047535" customFormat="1" spans="15:15">
      <c r="O1047535" s="36"/>
    </row>
    <row r="1047536" customFormat="1" spans="15:15">
      <c r="O1047536" s="36"/>
    </row>
    <row r="1047537" customFormat="1" spans="15:15">
      <c r="O1047537" s="36"/>
    </row>
    <row r="1047538" customFormat="1" spans="15:15">
      <c r="O1047538" s="36"/>
    </row>
    <row r="1047539" customFormat="1" spans="15:15">
      <c r="O1047539" s="36"/>
    </row>
    <row r="1047540" customFormat="1" spans="15:15">
      <c r="O1047540" s="36"/>
    </row>
    <row r="1047541" customFormat="1" spans="15:15">
      <c r="O1047541" s="36"/>
    </row>
    <row r="1047542" customFormat="1" spans="15:15">
      <c r="O1047542" s="36"/>
    </row>
    <row r="1047543" customFormat="1" spans="15:15">
      <c r="O1047543" s="36"/>
    </row>
    <row r="1047544" customFormat="1" spans="15:15">
      <c r="O1047544" s="36"/>
    </row>
    <row r="1047545" customFormat="1" spans="15:15">
      <c r="O1047545" s="36"/>
    </row>
    <row r="1047546" customFormat="1" spans="15:15">
      <c r="O1047546" s="36"/>
    </row>
    <row r="1047547" customFormat="1" spans="15:15">
      <c r="O1047547" s="36"/>
    </row>
    <row r="1047548" customFormat="1" spans="15:15">
      <c r="O1047548" s="36"/>
    </row>
    <row r="1047549" customFormat="1" spans="15:15">
      <c r="O1047549" s="36"/>
    </row>
    <row r="1047550" customFormat="1" spans="15:15">
      <c r="O1047550" s="36"/>
    </row>
    <row r="1047551" customFormat="1" spans="15:15">
      <c r="O1047551" s="36"/>
    </row>
    <row r="1047552" customFormat="1" spans="15:15">
      <c r="O1047552" s="36"/>
    </row>
    <row r="1047553" customFormat="1" spans="15:15">
      <c r="O1047553" s="36"/>
    </row>
    <row r="1047554" customFormat="1" spans="15:15">
      <c r="O1047554" s="36"/>
    </row>
    <row r="1047555" customFormat="1" spans="15:15">
      <c r="O1047555" s="36"/>
    </row>
    <row r="1047556" customFormat="1" spans="15:15">
      <c r="O1047556" s="36"/>
    </row>
    <row r="1047557" customFormat="1" spans="15:15">
      <c r="O1047557" s="36"/>
    </row>
    <row r="1047558" customFormat="1" spans="15:15">
      <c r="O1047558" s="36"/>
    </row>
    <row r="1047559" customFormat="1" spans="15:15">
      <c r="O1047559" s="36"/>
    </row>
    <row r="1047560" customFormat="1" spans="15:15">
      <c r="O1047560" s="36"/>
    </row>
    <row r="1047561" customFormat="1" spans="15:15">
      <c r="O1047561" s="36"/>
    </row>
    <row r="1047562" customFormat="1" spans="15:15">
      <c r="O1047562" s="36"/>
    </row>
    <row r="1047563" customFormat="1" spans="15:15">
      <c r="O1047563" s="36"/>
    </row>
    <row r="1047564" customFormat="1" spans="15:15">
      <c r="O1047564" s="36"/>
    </row>
    <row r="1047565" customFormat="1" spans="15:15">
      <c r="O1047565" s="36"/>
    </row>
    <row r="1047566" customFormat="1" spans="15:15">
      <c r="O1047566" s="36"/>
    </row>
    <row r="1047567" customFormat="1" spans="15:15">
      <c r="O1047567" s="36"/>
    </row>
    <row r="1047568" customFormat="1" spans="15:15">
      <c r="O1047568" s="36"/>
    </row>
    <row r="1047569" customFormat="1" spans="15:15">
      <c r="O1047569" s="36"/>
    </row>
    <row r="1047570" customFormat="1" spans="15:15">
      <c r="O1047570" s="36"/>
    </row>
    <row r="1047571" customFormat="1" spans="15:15">
      <c r="O1047571" s="36"/>
    </row>
    <row r="1047572" customFormat="1" spans="15:15">
      <c r="O1047572" s="36"/>
    </row>
    <row r="1047573" customFormat="1" spans="15:15">
      <c r="O1047573" s="36"/>
    </row>
    <row r="1047574" customFormat="1" spans="15:15">
      <c r="O1047574" s="36"/>
    </row>
    <row r="1047575" customFormat="1" spans="15:15">
      <c r="O1047575" s="36"/>
    </row>
    <row r="1047576" customFormat="1" spans="15:15">
      <c r="O1047576" s="36"/>
    </row>
    <row r="1047577" customFormat="1" spans="15:15">
      <c r="O1047577" s="36"/>
    </row>
    <row r="1047578" customFormat="1" spans="15:15">
      <c r="O1047578" s="36"/>
    </row>
    <row r="1047579" customFormat="1" spans="15:15">
      <c r="O1047579" s="36"/>
    </row>
    <row r="1047580" customFormat="1" spans="15:15">
      <c r="O1047580" s="36"/>
    </row>
    <row r="1047581" customFormat="1" spans="15:15">
      <c r="O1047581" s="36"/>
    </row>
    <row r="1047582" customFormat="1" spans="15:15">
      <c r="O1047582" s="36"/>
    </row>
    <row r="1047583" customFormat="1" spans="15:15">
      <c r="O1047583" s="36"/>
    </row>
    <row r="1047584" customFormat="1" spans="15:15">
      <c r="O1047584" s="36"/>
    </row>
    <row r="1047585" customFormat="1" spans="15:15">
      <c r="O1047585" s="36"/>
    </row>
    <row r="1047586" customFormat="1" spans="15:15">
      <c r="O1047586" s="36"/>
    </row>
    <row r="1047587" customFormat="1" spans="15:15">
      <c r="O1047587" s="36"/>
    </row>
    <row r="1047588" customFormat="1" spans="15:15">
      <c r="O1047588" s="36"/>
    </row>
    <row r="1047589" customFormat="1" spans="15:15">
      <c r="O1047589" s="36"/>
    </row>
    <row r="1047590" customFormat="1" spans="15:15">
      <c r="O1047590" s="36"/>
    </row>
    <row r="1047591" customFormat="1" spans="15:15">
      <c r="O1047591" s="36"/>
    </row>
    <row r="1047592" customFormat="1" spans="15:15">
      <c r="O1047592" s="36"/>
    </row>
    <row r="1047593" customFormat="1" spans="15:15">
      <c r="O1047593" s="36"/>
    </row>
    <row r="1047594" customFormat="1" spans="15:15">
      <c r="O1047594" s="36"/>
    </row>
    <row r="1047595" customFormat="1" spans="15:15">
      <c r="O1047595" s="36"/>
    </row>
    <row r="1047596" customFormat="1" spans="15:15">
      <c r="O1047596" s="36"/>
    </row>
    <row r="1047597" customFormat="1" spans="15:15">
      <c r="O1047597" s="36"/>
    </row>
    <row r="1047598" customFormat="1" spans="15:15">
      <c r="O1047598" s="36"/>
    </row>
    <row r="1047599" customFormat="1" spans="15:15">
      <c r="O1047599" s="36"/>
    </row>
    <row r="1047600" customFormat="1" spans="15:15">
      <c r="O1047600" s="36"/>
    </row>
    <row r="1047601" customFormat="1" spans="15:15">
      <c r="O1047601" s="36"/>
    </row>
    <row r="1047602" customFormat="1" spans="15:15">
      <c r="O1047602" s="36"/>
    </row>
    <row r="1047603" customFormat="1" spans="15:15">
      <c r="O1047603" s="36"/>
    </row>
    <row r="1047604" customFormat="1" spans="15:15">
      <c r="O1047604" s="36"/>
    </row>
    <row r="1047605" customFormat="1" spans="15:15">
      <c r="O1047605" s="36"/>
    </row>
    <row r="1047606" customFormat="1" spans="15:15">
      <c r="O1047606" s="36"/>
    </row>
    <row r="1047607" customFormat="1" spans="15:15">
      <c r="O1047607" s="36"/>
    </row>
    <row r="1047608" customFormat="1" spans="15:15">
      <c r="O1047608" s="36"/>
    </row>
    <row r="1047609" customFormat="1" spans="15:15">
      <c r="O1047609" s="36"/>
    </row>
    <row r="1047610" customFormat="1" spans="15:15">
      <c r="O1047610" s="36"/>
    </row>
    <row r="1047611" customFormat="1" spans="15:15">
      <c r="O1047611" s="36"/>
    </row>
    <row r="1047612" customFormat="1" spans="15:15">
      <c r="O1047612" s="36"/>
    </row>
    <row r="1047613" customFormat="1" spans="15:15">
      <c r="O1047613" s="36"/>
    </row>
    <row r="1047614" customFormat="1" spans="15:15">
      <c r="O1047614" s="36"/>
    </row>
    <row r="1047615" customFormat="1" spans="15:15">
      <c r="O1047615" s="36"/>
    </row>
    <row r="1047616" customFormat="1" spans="15:15">
      <c r="O1047616" s="36"/>
    </row>
    <row r="1047617" customFormat="1" spans="15:15">
      <c r="O1047617" s="36"/>
    </row>
    <row r="1047618" customFormat="1" spans="15:15">
      <c r="O1047618" s="36"/>
    </row>
    <row r="1047619" customFormat="1" spans="15:15">
      <c r="O1047619" s="36"/>
    </row>
    <row r="1047620" customFormat="1" spans="15:15">
      <c r="O1047620" s="36"/>
    </row>
    <row r="1047621" customFormat="1" spans="15:15">
      <c r="O1047621" s="36"/>
    </row>
    <row r="1047622" customFormat="1" spans="15:15">
      <c r="O1047622" s="36"/>
    </row>
    <row r="1047623" customFormat="1" spans="15:15">
      <c r="O1047623" s="36"/>
    </row>
    <row r="1047624" customFormat="1" spans="15:15">
      <c r="O1047624" s="36"/>
    </row>
    <row r="1047625" customFormat="1" spans="15:15">
      <c r="O1047625" s="36"/>
    </row>
    <row r="1047626" customFormat="1" spans="15:15">
      <c r="O1047626" s="36"/>
    </row>
    <row r="1047627" customFormat="1" spans="15:15">
      <c r="O1047627" s="36"/>
    </row>
    <row r="1047628" customFormat="1" spans="15:15">
      <c r="O1047628" s="36"/>
    </row>
    <row r="1047629" customFormat="1" spans="15:15">
      <c r="O1047629" s="36"/>
    </row>
    <row r="1047630" customFormat="1" spans="15:15">
      <c r="O1047630" s="36"/>
    </row>
    <row r="1047631" customFormat="1" spans="15:15">
      <c r="O1047631" s="36"/>
    </row>
    <row r="1047632" customFormat="1" spans="15:15">
      <c r="O1047632" s="36"/>
    </row>
    <row r="1047633" customFormat="1" spans="15:15">
      <c r="O1047633" s="36"/>
    </row>
    <row r="1047634" customFormat="1" spans="15:15">
      <c r="O1047634" s="36"/>
    </row>
    <row r="1047635" customFormat="1" spans="15:15">
      <c r="O1047635" s="36"/>
    </row>
    <row r="1047636" customFormat="1" spans="15:15">
      <c r="O1047636" s="36"/>
    </row>
    <row r="1047637" customFormat="1" spans="15:15">
      <c r="O1047637" s="36"/>
    </row>
    <row r="1047638" customFormat="1" spans="15:15">
      <c r="O1047638" s="36"/>
    </row>
    <row r="1047639" customFormat="1" spans="15:15">
      <c r="O1047639" s="36"/>
    </row>
    <row r="1047640" customFormat="1" spans="15:15">
      <c r="O1047640" s="36"/>
    </row>
    <row r="1047641" customFormat="1" spans="15:15">
      <c r="O1047641" s="36"/>
    </row>
    <row r="1047642" customFormat="1" spans="15:15">
      <c r="O1047642" s="36"/>
    </row>
    <row r="1047643" customFormat="1" spans="15:15">
      <c r="O1047643" s="36"/>
    </row>
    <row r="1047644" customFormat="1" spans="15:15">
      <c r="O1047644" s="36"/>
    </row>
    <row r="1047645" customFormat="1" spans="15:15">
      <c r="O1047645" s="36"/>
    </row>
    <row r="1047646" customFormat="1" spans="15:15">
      <c r="O1047646" s="36"/>
    </row>
    <row r="1047647" customFormat="1" spans="15:15">
      <c r="O1047647" s="36"/>
    </row>
    <row r="1047648" customFormat="1" spans="15:15">
      <c r="O1047648" s="36"/>
    </row>
    <row r="1047649" customFormat="1" spans="15:15">
      <c r="O1047649" s="36"/>
    </row>
    <row r="1047650" customFormat="1" spans="15:15">
      <c r="O1047650" s="36"/>
    </row>
    <row r="1047651" customFormat="1" spans="15:15">
      <c r="O1047651" s="36"/>
    </row>
    <row r="1047652" customFormat="1" spans="15:15">
      <c r="O1047652" s="36"/>
    </row>
    <row r="1047653" customFormat="1" spans="15:15">
      <c r="O1047653" s="36"/>
    </row>
    <row r="1047654" customFormat="1" spans="15:15">
      <c r="O1047654" s="36"/>
    </row>
    <row r="1047655" customFormat="1" spans="15:15">
      <c r="O1047655" s="36"/>
    </row>
    <row r="1047656" customFormat="1" spans="15:15">
      <c r="O1047656" s="36"/>
    </row>
    <row r="1047657" customFormat="1" spans="15:15">
      <c r="O1047657" s="36"/>
    </row>
    <row r="1047658" customFormat="1" spans="15:15">
      <c r="O1047658" s="36"/>
    </row>
    <row r="1047659" customFormat="1" spans="15:15">
      <c r="O1047659" s="36"/>
    </row>
    <row r="1047660" customFormat="1" spans="15:15">
      <c r="O1047660" s="36"/>
    </row>
    <row r="1047661" customFormat="1" spans="15:15">
      <c r="O1047661" s="36"/>
    </row>
    <row r="1047662" customFormat="1" spans="15:15">
      <c r="O1047662" s="36"/>
    </row>
    <row r="1047663" customFormat="1" spans="15:15">
      <c r="O1047663" s="36"/>
    </row>
    <row r="1047664" customFormat="1" spans="15:15">
      <c r="O1047664" s="36"/>
    </row>
    <row r="1047665" customFormat="1" spans="15:15">
      <c r="O1047665" s="36"/>
    </row>
    <row r="1047666" customFormat="1" spans="15:15">
      <c r="O1047666" s="36"/>
    </row>
    <row r="1047667" customFormat="1" spans="15:15">
      <c r="O1047667" s="36"/>
    </row>
    <row r="1047668" customFormat="1" spans="15:15">
      <c r="O1047668" s="36"/>
    </row>
    <row r="1047669" customFormat="1" spans="15:15">
      <c r="O1047669" s="36"/>
    </row>
    <row r="1047670" customFormat="1" spans="15:15">
      <c r="O1047670" s="36"/>
    </row>
    <row r="1047671" customFormat="1" spans="15:15">
      <c r="O1047671" s="36"/>
    </row>
    <row r="1047672" customFormat="1" spans="15:15">
      <c r="O1047672" s="36"/>
    </row>
    <row r="1047673" customFormat="1" spans="15:15">
      <c r="O1047673" s="36"/>
    </row>
    <row r="1047674" customFormat="1" spans="15:15">
      <c r="O1047674" s="36"/>
    </row>
    <row r="1047675" customFormat="1" spans="15:15">
      <c r="O1047675" s="36"/>
    </row>
    <row r="1047676" customFormat="1" spans="15:15">
      <c r="O1047676" s="36"/>
    </row>
    <row r="1047677" customFormat="1" spans="15:15">
      <c r="O1047677" s="36"/>
    </row>
    <row r="1047678" customFormat="1" spans="15:15">
      <c r="O1047678" s="36"/>
    </row>
    <row r="1047679" customFormat="1" spans="15:15">
      <c r="O1047679" s="36"/>
    </row>
    <row r="1047680" customFormat="1" spans="15:15">
      <c r="O1047680" s="36"/>
    </row>
    <row r="1047681" customFormat="1" spans="15:15">
      <c r="O1047681" s="36"/>
    </row>
    <row r="1047682" customFormat="1" spans="15:15">
      <c r="O1047682" s="36"/>
    </row>
    <row r="1047683" customFormat="1" spans="15:15">
      <c r="O1047683" s="36"/>
    </row>
    <row r="1047684" customFormat="1" spans="15:15">
      <c r="O1047684" s="36"/>
    </row>
    <row r="1047685" customFormat="1" spans="15:15">
      <c r="O1047685" s="36"/>
    </row>
    <row r="1047686" customFormat="1" spans="15:15">
      <c r="O1047686" s="36"/>
    </row>
    <row r="1047687" customFormat="1" spans="15:15">
      <c r="O1047687" s="36"/>
    </row>
    <row r="1047688" customFormat="1" spans="15:15">
      <c r="O1047688" s="36"/>
    </row>
    <row r="1047689" customFormat="1" spans="15:15">
      <c r="O1047689" s="36"/>
    </row>
    <row r="1047690" customFormat="1" spans="15:15">
      <c r="O1047690" s="36"/>
    </row>
    <row r="1047691" customFormat="1" spans="15:15">
      <c r="O1047691" s="36"/>
    </row>
    <row r="1047692" customFormat="1" spans="15:15">
      <c r="O1047692" s="36"/>
    </row>
    <row r="1047693" customFormat="1" spans="15:15">
      <c r="O1047693" s="36"/>
    </row>
    <row r="1047694" customFormat="1" spans="15:15">
      <c r="O1047694" s="36"/>
    </row>
    <row r="1047695" customFormat="1" spans="15:15">
      <c r="O1047695" s="36"/>
    </row>
    <row r="1047696" customFormat="1" spans="15:15">
      <c r="O1047696" s="36"/>
    </row>
    <row r="1047697" customFormat="1" spans="15:15">
      <c r="O1047697" s="36"/>
    </row>
    <row r="1047698" customFormat="1" spans="15:15">
      <c r="O1047698" s="36"/>
    </row>
    <row r="1047699" customFormat="1" spans="15:15">
      <c r="O1047699" s="36"/>
    </row>
    <row r="1047700" customFormat="1" spans="15:15">
      <c r="O1047700" s="36"/>
    </row>
    <row r="1047701" customFormat="1" spans="15:15">
      <c r="O1047701" s="36"/>
    </row>
    <row r="1047702" customFormat="1" spans="15:15">
      <c r="O1047702" s="36"/>
    </row>
    <row r="1047703" customFormat="1" spans="15:15">
      <c r="O1047703" s="36"/>
    </row>
    <row r="1047704" customFormat="1" spans="15:15">
      <c r="O1047704" s="36"/>
    </row>
    <row r="1047705" customFormat="1" spans="15:15">
      <c r="O1047705" s="36"/>
    </row>
    <row r="1047706" customFormat="1" spans="15:15">
      <c r="O1047706" s="36"/>
    </row>
    <row r="1047707" customFormat="1" spans="15:15">
      <c r="O1047707" s="36"/>
    </row>
    <row r="1047708" customFormat="1" spans="15:15">
      <c r="O1047708" s="36"/>
    </row>
    <row r="1047709" customFormat="1" spans="15:15">
      <c r="O1047709" s="36"/>
    </row>
    <row r="1047710" customFormat="1" spans="15:15">
      <c r="O1047710" s="36"/>
    </row>
    <row r="1047711" customFormat="1" spans="15:15">
      <c r="O1047711" s="36"/>
    </row>
    <row r="1047712" customFormat="1" spans="15:15">
      <c r="O1047712" s="36"/>
    </row>
    <row r="1047713" customFormat="1" spans="15:15">
      <c r="O1047713" s="36"/>
    </row>
    <row r="1047714" customFormat="1" spans="15:15">
      <c r="O1047714" s="36"/>
    </row>
    <row r="1047715" customFormat="1" spans="15:15">
      <c r="O1047715" s="36"/>
    </row>
    <row r="1047716" customFormat="1" spans="15:15">
      <c r="O1047716" s="36"/>
    </row>
    <row r="1047717" customFormat="1" spans="15:15">
      <c r="O1047717" s="36"/>
    </row>
    <row r="1047718" customFormat="1" spans="15:15">
      <c r="O1047718" s="36"/>
    </row>
    <row r="1047719" customFormat="1" spans="15:15">
      <c r="O1047719" s="36"/>
    </row>
    <row r="1047720" customFormat="1" spans="15:15">
      <c r="O1047720" s="36"/>
    </row>
    <row r="1047721" customFormat="1" spans="15:15">
      <c r="O1047721" s="36"/>
    </row>
    <row r="1047722" customFormat="1" spans="15:15">
      <c r="O1047722" s="36"/>
    </row>
    <row r="1047723" customFormat="1" spans="15:15">
      <c r="O1047723" s="36"/>
    </row>
    <row r="1047724" customFormat="1" spans="15:15">
      <c r="O1047724" s="36"/>
    </row>
    <row r="1047725" customFormat="1" spans="15:15">
      <c r="O1047725" s="36"/>
    </row>
    <row r="1047726" customFormat="1" spans="15:15">
      <c r="O1047726" s="36"/>
    </row>
    <row r="1047727" customFormat="1" spans="15:15">
      <c r="O1047727" s="36"/>
    </row>
    <row r="1047728" customFormat="1" spans="15:15">
      <c r="O1047728" s="36"/>
    </row>
    <row r="1047729" customFormat="1" spans="15:15">
      <c r="O1047729" s="36"/>
    </row>
    <row r="1047730" customFormat="1" spans="15:15">
      <c r="O1047730" s="36"/>
    </row>
    <row r="1047731" customFormat="1" spans="15:15">
      <c r="O1047731" s="36"/>
    </row>
    <row r="1047732" customFormat="1" spans="15:15">
      <c r="O1047732" s="36"/>
    </row>
    <row r="1047733" customFormat="1" spans="15:15">
      <c r="O1047733" s="36"/>
    </row>
    <row r="1047734" customFormat="1" spans="15:15">
      <c r="O1047734" s="36"/>
    </row>
    <row r="1047735" customFormat="1" spans="15:15">
      <c r="O1047735" s="36"/>
    </row>
    <row r="1047736" customFormat="1" spans="15:15">
      <c r="O1047736" s="36"/>
    </row>
    <row r="1047737" customFormat="1" spans="15:15">
      <c r="O1047737" s="36"/>
    </row>
    <row r="1047738" customFormat="1" spans="15:15">
      <c r="O1047738" s="36"/>
    </row>
    <row r="1047739" customFormat="1" spans="15:15">
      <c r="O1047739" s="36"/>
    </row>
    <row r="1047740" customFormat="1" spans="15:15">
      <c r="O1047740" s="36"/>
    </row>
    <row r="1047741" customFormat="1" spans="15:15">
      <c r="O1047741" s="36"/>
    </row>
    <row r="1047742" customFormat="1" spans="15:15">
      <c r="O1047742" s="36"/>
    </row>
    <row r="1047743" customFormat="1" spans="15:15">
      <c r="O1047743" s="36"/>
    </row>
    <row r="1047744" customFormat="1" spans="15:15">
      <c r="O1047744" s="36"/>
    </row>
    <row r="1047745" customFormat="1" spans="15:15">
      <c r="O1047745" s="36"/>
    </row>
    <row r="1047746" customFormat="1" spans="15:15">
      <c r="O1047746" s="36"/>
    </row>
    <row r="1047747" customFormat="1" spans="15:15">
      <c r="O1047747" s="36"/>
    </row>
    <row r="1047748" customFormat="1" spans="15:15">
      <c r="O1047748" s="36"/>
    </row>
    <row r="1047749" customFormat="1" spans="15:15">
      <c r="O1047749" s="36"/>
    </row>
    <row r="1047750" customFormat="1" spans="15:15">
      <c r="O1047750" s="36"/>
    </row>
    <row r="1047751" customFormat="1" spans="15:15">
      <c r="O1047751" s="36"/>
    </row>
    <row r="1047752" customFormat="1" spans="15:15">
      <c r="O1047752" s="36"/>
    </row>
    <row r="1047753" customFormat="1" spans="15:15">
      <c r="O1047753" s="36"/>
    </row>
    <row r="1047754" customFormat="1" spans="15:15">
      <c r="O1047754" s="36"/>
    </row>
    <row r="1047755" customFormat="1" spans="15:15">
      <c r="O1047755" s="36"/>
    </row>
    <row r="1047756" customFormat="1" spans="15:15">
      <c r="O1047756" s="36"/>
    </row>
    <row r="1047757" customFormat="1" spans="15:15">
      <c r="O1047757" s="36"/>
    </row>
    <row r="1047758" customFormat="1" spans="15:15">
      <c r="O1047758" s="36"/>
    </row>
    <row r="1047759" customFormat="1" spans="15:15">
      <c r="O1047759" s="36"/>
    </row>
    <row r="1047760" customFormat="1" spans="15:15">
      <c r="O1047760" s="36"/>
    </row>
    <row r="1047761" customFormat="1" spans="15:15">
      <c r="O1047761" s="36"/>
    </row>
    <row r="1047762" customFormat="1" spans="15:15">
      <c r="O1047762" s="36"/>
    </row>
    <row r="1047763" customFormat="1" spans="15:15">
      <c r="O1047763" s="36"/>
    </row>
    <row r="1047764" customFormat="1" spans="15:15">
      <c r="O1047764" s="36"/>
    </row>
    <row r="1047765" customFormat="1" spans="15:15">
      <c r="O1047765" s="36"/>
    </row>
    <row r="1047766" customFormat="1" spans="15:15">
      <c r="O1047766" s="36"/>
    </row>
    <row r="1047767" customFormat="1" spans="15:15">
      <c r="O1047767" s="36"/>
    </row>
    <row r="1047768" customFormat="1" spans="15:15">
      <c r="O1047768" s="36"/>
    </row>
    <row r="1047769" customFormat="1" spans="15:15">
      <c r="O1047769" s="36"/>
    </row>
    <row r="1047770" customFormat="1" spans="15:15">
      <c r="O1047770" s="36"/>
    </row>
    <row r="1047771" customFormat="1" spans="15:15">
      <c r="O1047771" s="36"/>
    </row>
    <row r="1047772" customFormat="1" spans="15:15">
      <c r="O1047772" s="36"/>
    </row>
    <row r="1047773" customFormat="1" spans="15:15">
      <c r="O1047773" s="36"/>
    </row>
    <row r="1047774" customFormat="1" spans="15:15">
      <c r="O1047774" s="36"/>
    </row>
    <row r="1047775" customFormat="1" spans="15:15">
      <c r="O1047775" s="36"/>
    </row>
    <row r="1047776" customFormat="1" spans="15:15">
      <c r="O1047776" s="36"/>
    </row>
    <row r="1047777" customFormat="1" spans="15:15">
      <c r="O1047777" s="36"/>
    </row>
    <row r="1047778" customFormat="1" spans="15:15">
      <c r="O1047778" s="36"/>
    </row>
    <row r="1047779" customFormat="1" spans="15:15">
      <c r="O1047779" s="36"/>
    </row>
    <row r="1047780" customFormat="1" spans="15:15">
      <c r="O1047780" s="36"/>
    </row>
    <row r="1047781" customFormat="1" spans="15:15">
      <c r="O1047781" s="36"/>
    </row>
    <row r="1047782" customFormat="1" spans="15:15">
      <c r="O1047782" s="36"/>
    </row>
    <row r="1047783" customFormat="1" spans="15:15">
      <c r="O1047783" s="36"/>
    </row>
    <row r="1047784" customFormat="1" spans="15:15">
      <c r="O1047784" s="36"/>
    </row>
    <row r="1047785" customFormat="1" spans="15:15">
      <c r="O1047785" s="36"/>
    </row>
    <row r="1047786" customFormat="1" spans="15:15">
      <c r="O1047786" s="36"/>
    </row>
    <row r="1047787" customFormat="1" spans="15:15">
      <c r="O1047787" s="36"/>
    </row>
    <row r="1047788" customFormat="1" spans="15:15">
      <c r="O1047788" s="36"/>
    </row>
    <row r="1047789" customFormat="1" spans="15:15">
      <c r="O1047789" s="36"/>
    </row>
    <row r="1047790" customFormat="1" spans="15:15">
      <c r="O1047790" s="36"/>
    </row>
    <row r="1047791" customFormat="1" spans="15:15">
      <c r="O1047791" s="36"/>
    </row>
    <row r="1047792" customFormat="1" spans="15:15">
      <c r="O1047792" s="36"/>
    </row>
    <row r="1047793" customFormat="1" spans="15:15">
      <c r="O1047793" s="36"/>
    </row>
    <row r="1047794" customFormat="1" spans="15:15">
      <c r="O1047794" s="36"/>
    </row>
    <row r="1047795" customFormat="1" spans="15:15">
      <c r="O1047795" s="36"/>
    </row>
    <row r="1047796" customFormat="1" spans="15:15">
      <c r="O1047796" s="36"/>
    </row>
    <row r="1047797" customFormat="1" spans="15:15">
      <c r="O1047797" s="36"/>
    </row>
    <row r="1047798" customFormat="1" spans="15:15">
      <c r="O1047798" s="36"/>
    </row>
    <row r="1047799" customFormat="1" spans="15:15">
      <c r="O1047799" s="36"/>
    </row>
    <row r="1047800" customFormat="1" spans="15:15">
      <c r="O1047800" s="36"/>
    </row>
    <row r="1047801" customFormat="1" spans="15:15">
      <c r="O1047801" s="36"/>
    </row>
    <row r="1047802" customFormat="1" spans="15:15">
      <c r="O1047802" s="36"/>
    </row>
    <row r="1047803" customFormat="1" spans="15:15">
      <c r="O1047803" s="36"/>
    </row>
    <row r="1047804" customFormat="1" spans="15:15">
      <c r="O1047804" s="36"/>
    </row>
    <row r="1047805" customFormat="1" spans="15:15">
      <c r="O1047805" s="36"/>
    </row>
    <row r="1047806" customFormat="1" spans="15:15">
      <c r="O1047806" s="36"/>
    </row>
    <row r="1047807" customFormat="1" spans="15:15">
      <c r="O1047807" s="36"/>
    </row>
    <row r="1047808" customFormat="1" spans="15:15">
      <c r="O1047808" s="36"/>
    </row>
    <row r="1047809" customFormat="1" spans="15:15">
      <c r="O1047809" s="36"/>
    </row>
    <row r="1047810" customFormat="1" spans="15:15">
      <c r="O1047810" s="36"/>
    </row>
    <row r="1047811" customFormat="1" spans="15:15">
      <c r="O1047811" s="36"/>
    </row>
    <row r="1047812" customFormat="1" spans="15:15">
      <c r="O1047812" s="36"/>
    </row>
    <row r="1047813" customFormat="1" spans="15:15">
      <c r="O1047813" s="36"/>
    </row>
    <row r="1047814" customFormat="1" spans="15:15">
      <c r="O1047814" s="36"/>
    </row>
    <row r="1047815" customFormat="1" spans="15:15">
      <c r="O1047815" s="36"/>
    </row>
    <row r="1047816" customFormat="1" spans="15:15">
      <c r="O1047816" s="36"/>
    </row>
    <row r="1047817" customFormat="1" spans="15:15">
      <c r="O1047817" s="36"/>
    </row>
    <row r="1047818" customFormat="1" spans="15:15">
      <c r="O1047818" s="36"/>
    </row>
    <row r="1047819" customFormat="1" spans="15:15">
      <c r="O1047819" s="36"/>
    </row>
    <row r="1047820" customFormat="1" spans="15:15">
      <c r="O1047820" s="36"/>
    </row>
    <row r="1047821" customFormat="1" spans="15:15">
      <c r="O1047821" s="36"/>
    </row>
    <row r="1047822" customFormat="1" spans="15:15">
      <c r="O1047822" s="36"/>
    </row>
    <row r="1047823" customFormat="1" spans="15:15">
      <c r="O1047823" s="36"/>
    </row>
    <row r="1047824" customFormat="1" spans="15:15">
      <c r="O1047824" s="36"/>
    </row>
    <row r="1047825" customFormat="1" spans="15:15">
      <c r="O1047825" s="36"/>
    </row>
    <row r="1047826" customFormat="1" spans="15:15">
      <c r="O1047826" s="36"/>
    </row>
    <row r="1047827" customFormat="1" spans="15:15">
      <c r="O1047827" s="36"/>
    </row>
    <row r="1047828" customFormat="1" spans="15:15">
      <c r="O1047828" s="36"/>
    </row>
    <row r="1047829" customFormat="1" spans="15:15">
      <c r="O1047829" s="36"/>
    </row>
    <row r="1047830" customFormat="1" spans="15:15">
      <c r="O1047830" s="36"/>
    </row>
    <row r="1047831" customFormat="1" spans="15:15">
      <c r="O1047831" s="36"/>
    </row>
    <row r="1047832" customFormat="1" spans="15:15">
      <c r="O1047832" s="36"/>
    </row>
    <row r="1047833" customFormat="1" spans="15:15">
      <c r="O1047833" s="36"/>
    </row>
    <row r="1047834" customFormat="1" spans="15:15">
      <c r="O1047834" s="36"/>
    </row>
    <row r="1047835" customFormat="1" spans="15:15">
      <c r="O1047835" s="36"/>
    </row>
    <row r="1047836" customFormat="1" spans="15:15">
      <c r="O1047836" s="36"/>
    </row>
    <row r="1047837" customFormat="1" spans="15:15">
      <c r="O1047837" s="36"/>
    </row>
    <row r="1047838" customFormat="1" spans="15:15">
      <c r="O1047838" s="36"/>
    </row>
    <row r="1047839" customFormat="1" spans="15:15">
      <c r="O1047839" s="36"/>
    </row>
    <row r="1047840" customFormat="1" spans="15:15">
      <c r="O1047840" s="36"/>
    </row>
    <row r="1047841" customFormat="1" spans="15:15">
      <c r="O1047841" s="36"/>
    </row>
    <row r="1047842" customFormat="1" spans="15:15">
      <c r="O1047842" s="36"/>
    </row>
    <row r="1047843" customFormat="1" spans="15:15">
      <c r="O1047843" s="36"/>
    </row>
    <row r="1047844" customFormat="1" spans="15:15">
      <c r="O1047844" s="36"/>
    </row>
    <row r="1047845" customFormat="1" spans="15:15">
      <c r="O1047845" s="36"/>
    </row>
    <row r="1047846" customFormat="1" spans="15:15">
      <c r="O1047846" s="36"/>
    </row>
    <row r="1047847" customFormat="1" spans="15:15">
      <c r="O1047847" s="36"/>
    </row>
    <row r="1047848" customFormat="1" spans="15:15">
      <c r="O1047848" s="36"/>
    </row>
    <row r="1047849" customFormat="1" spans="15:15">
      <c r="O1047849" s="36"/>
    </row>
    <row r="1047850" customFormat="1" spans="15:15">
      <c r="O1047850" s="36"/>
    </row>
    <row r="1047851" customFormat="1" spans="15:15">
      <c r="O1047851" s="36"/>
    </row>
    <row r="1047852" customFormat="1" spans="15:15">
      <c r="O1047852" s="36"/>
    </row>
    <row r="1047853" customFormat="1" spans="15:15">
      <c r="O1047853" s="36"/>
    </row>
    <row r="1047854" customFormat="1" spans="15:15">
      <c r="O1047854" s="36"/>
    </row>
    <row r="1047855" customFormat="1" spans="15:15">
      <c r="O1047855" s="36"/>
    </row>
    <row r="1047856" customFormat="1" spans="15:15">
      <c r="O1047856" s="36"/>
    </row>
    <row r="1047857" customFormat="1" spans="15:15">
      <c r="O1047857" s="36"/>
    </row>
    <row r="1047858" customFormat="1" spans="15:15">
      <c r="O1047858" s="36"/>
    </row>
    <row r="1047859" customFormat="1" spans="15:15">
      <c r="O1047859" s="36"/>
    </row>
    <row r="1047860" customFormat="1" spans="15:15">
      <c r="O1047860" s="36"/>
    </row>
    <row r="1047861" customFormat="1" spans="15:15">
      <c r="O1047861" s="36"/>
    </row>
    <row r="1047862" customFormat="1" spans="15:15">
      <c r="O1047862" s="36"/>
    </row>
    <row r="1047863" customFormat="1" spans="15:15">
      <c r="O1047863" s="36"/>
    </row>
    <row r="1047864" customFormat="1" spans="15:15">
      <c r="O1047864" s="36"/>
    </row>
    <row r="1047865" customFormat="1" spans="15:15">
      <c r="O1047865" s="36"/>
    </row>
    <row r="1047866" customFormat="1" spans="15:15">
      <c r="O1047866" s="36"/>
    </row>
    <row r="1047867" customFormat="1" spans="15:15">
      <c r="O1047867" s="36"/>
    </row>
    <row r="1047868" customFormat="1" spans="15:15">
      <c r="O1047868" s="36"/>
    </row>
    <row r="1047869" customFormat="1" spans="15:15">
      <c r="O1047869" s="36"/>
    </row>
    <row r="1047870" customFormat="1" spans="15:15">
      <c r="O1047870" s="36"/>
    </row>
    <row r="1047871" customFormat="1" spans="15:15">
      <c r="O1047871" s="36"/>
    </row>
    <row r="1047872" customFormat="1" spans="15:15">
      <c r="O1047872" s="36"/>
    </row>
    <row r="1047873" customFormat="1" spans="15:15">
      <c r="O1047873" s="36"/>
    </row>
    <row r="1047874" customFormat="1" spans="15:15">
      <c r="O1047874" s="36"/>
    </row>
    <row r="1047875" customFormat="1" spans="15:15">
      <c r="O1047875" s="36"/>
    </row>
    <row r="1047876" customFormat="1" spans="15:15">
      <c r="O1047876" s="36"/>
    </row>
    <row r="1047877" customFormat="1" spans="15:15">
      <c r="O1047877" s="36"/>
    </row>
    <row r="1047878" customFormat="1" spans="15:15">
      <c r="O1047878" s="36"/>
    </row>
    <row r="1047879" customFormat="1" spans="15:15">
      <c r="O1047879" s="36"/>
    </row>
    <row r="1047880" customFormat="1" spans="15:15">
      <c r="O1047880" s="36"/>
    </row>
    <row r="1047881" customFormat="1" spans="15:15">
      <c r="O1047881" s="36"/>
    </row>
    <row r="1047882" customFormat="1" spans="15:15">
      <c r="O1047882" s="36"/>
    </row>
    <row r="1047883" customFormat="1" spans="15:15">
      <c r="O1047883" s="36"/>
    </row>
    <row r="1047884" customFormat="1" spans="15:15">
      <c r="O1047884" s="36"/>
    </row>
    <row r="1047885" customFormat="1" spans="15:15">
      <c r="O1047885" s="36"/>
    </row>
    <row r="1047886" customFormat="1" spans="15:15">
      <c r="O1047886" s="36"/>
    </row>
    <row r="1047887" customFormat="1" spans="15:15">
      <c r="O1047887" s="36"/>
    </row>
    <row r="1047888" customFormat="1" spans="15:15">
      <c r="O1047888" s="36"/>
    </row>
    <row r="1047889" customFormat="1" spans="15:15">
      <c r="O1047889" s="36"/>
    </row>
    <row r="1047890" customFormat="1" spans="15:15">
      <c r="O1047890" s="36"/>
    </row>
    <row r="1047891" customFormat="1" spans="15:15">
      <c r="O1047891" s="36"/>
    </row>
    <row r="1047892" customFormat="1" spans="15:15">
      <c r="O1047892" s="36"/>
    </row>
    <row r="1047893" customFormat="1" spans="15:15">
      <c r="O1047893" s="36"/>
    </row>
    <row r="1047894" customFormat="1" spans="15:15">
      <c r="O1047894" s="36"/>
    </row>
    <row r="1047895" customFormat="1" spans="15:15">
      <c r="O1047895" s="36"/>
    </row>
    <row r="1047896" customFormat="1" spans="15:15">
      <c r="O1047896" s="36"/>
    </row>
    <row r="1047897" customFormat="1" spans="15:15">
      <c r="O1047897" s="36"/>
    </row>
    <row r="1047898" customFormat="1" spans="15:15">
      <c r="O1047898" s="36"/>
    </row>
    <row r="1047899" customFormat="1" spans="15:15">
      <c r="O1047899" s="36"/>
    </row>
    <row r="1047900" customFormat="1" spans="15:15">
      <c r="O1047900" s="36"/>
    </row>
    <row r="1047901" customFormat="1" spans="15:15">
      <c r="O1047901" s="36"/>
    </row>
    <row r="1047902" customFormat="1" spans="15:15">
      <c r="O1047902" s="36"/>
    </row>
    <row r="1047903" customFormat="1" spans="15:15">
      <c r="O1047903" s="36"/>
    </row>
    <row r="1047904" customFormat="1" spans="15:15">
      <c r="O1047904" s="36"/>
    </row>
    <row r="1047905" customFormat="1" spans="15:15">
      <c r="O1047905" s="36"/>
    </row>
    <row r="1047906" customFormat="1" spans="15:15">
      <c r="O1047906" s="36"/>
    </row>
    <row r="1047907" customFormat="1" spans="15:15">
      <c r="O1047907" s="36"/>
    </row>
    <row r="1047908" customFormat="1" spans="15:15">
      <c r="O1047908" s="36"/>
    </row>
    <row r="1047909" customFormat="1" spans="15:15">
      <c r="O1047909" s="36"/>
    </row>
    <row r="1047910" customFormat="1" spans="15:15">
      <c r="O1047910" s="36"/>
    </row>
    <row r="1047911" customFormat="1" spans="15:15">
      <c r="O1047911" s="36"/>
    </row>
    <row r="1047912" customFormat="1" spans="15:15">
      <c r="O1047912" s="36"/>
    </row>
    <row r="1047913" customFormat="1" spans="15:15">
      <c r="O1047913" s="36"/>
    </row>
    <row r="1047914" customFormat="1" spans="15:15">
      <c r="O1047914" s="36"/>
    </row>
    <row r="1047915" customFormat="1" spans="15:15">
      <c r="O1047915" s="36"/>
    </row>
    <row r="1047916" customFormat="1" spans="15:15">
      <c r="O1047916" s="36"/>
    </row>
    <row r="1047917" customFormat="1" spans="15:15">
      <c r="O1047917" s="36"/>
    </row>
    <row r="1047918" customFormat="1" spans="15:15">
      <c r="O1047918" s="36"/>
    </row>
    <row r="1047919" customFormat="1" spans="15:15">
      <c r="O1047919" s="36"/>
    </row>
    <row r="1047920" customFormat="1" spans="15:15">
      <c r="O1047920" s="36"/>
    </row>
    <row r="1047921" customFormat="1" spans="15:15">
      <c r="O1047921" s="36"/>
    </row>
    <row r="1047922" customFormat="1" spans="15:15">
      <c r="O1047922" s="36"/>
    </row>
    <row r="1047923" customFormat="1" spans="15:15">
      <c r="O1047923" s="36"/>
    </row>
    <row r="1047924" customFormat="1" spans="15:15">
      <c r="O1047924" s="36"/>
    </row>
    <row r="1047925" customFormat="1" spans="15:15">
      <c r="O1047925" s="36"/>
    </row>
    <row r="1047926" customFormat="1" spans="15:15">
      <c r="O1047926" s="36"/>
    </row>
    <row r="1047927" customFormat="1" spans="15:15">
      <c r="O1047927" s="36"/>
    </row>
    <row r="1047928" customFormat="1" spans="15:15">
      <c r="O1047928" s="36"/>
    </row>
    <row r="1047929" customFormat="1" spans="15:15">
      <c r="O1047929" s="36"/>
    </row>
    <row r="1047930" customFormat="1" spans="15:15">
      <c r="O1047930" s="36"/>
    </row>
    <row r="1047931" customFormat="1" spans="15:15">
      <c r="O1047931" s="36"/>
    </row>
    <row r="1047932" customFormat="1" spans="15:15">
      <c r="O1047932" s="36"/>
    </row>
    <row r="1047933" customFormat="1" spans="15:15">
      <c r="O1047933" s="36"/>
    </row>
    <row r="1047934" customFormat="1" spans="15:15">
      <c r="O1047934" s="36"/>
    </row>
    <row r="1047935" customFormat="1" spans="15:15">
      <c r="O1047935" s="36"/>
    </row>
    <row r="1047936" customFormat="1" spans="15:15">
      <c r="O1047936" s="36"/>
    </row>
    <row r="1047937" customFormat="1" spans="15:15">
      <c r="O1047937" s="36"/>
    </row>
    <row r="1047938" customFormat="1" spans="15:15">
      <c r="O1047938" s="36"/>
    </row>
    <row r="1047939" customFormat="1" spans="15:15">
      <c r="O1047939" s="36"/>
    </row>
    <row r="1047940" customFormat="1" spans="15:15">
      <c r="O1047940" s="36"/>
    </row>
    <row r="1047941" customFormat="1" spans="15:15">
      <c r="O1047941" s="36"/>
    </row>
    <row r="1047942" customFormat="1" spans="15:15">
      <c r="O1047942" s="36"/>
    </row>
    <row r="1047943" customFormat="1" spans="15:15">
      <c r="O1047943" s="36"/>
    </row>
    <row r="1047944" customFormat="1" spans="15:15">
      <c r="O1047944" s="36"/>
    </row>
    <row r="1047945" customFormat="1" spans="15:15">
      <c r="O1047945" s="36"/>
    </row>
    <row r="1047946" customFormat="1" spans="15:15">
      <c r="O1047946" s="36"/>
    </row>
    <row r="1047947" customFormat="1" spans="15:15">
      <c r="O1047947" s="36"/>
    </row>
    <row r="1047948" customFormat="1" spans="15:15">
      <c r="O1047948" s="36"/>
    </row>
    <row r="1047949" customFormat="1" spans="15:15">
      <c r="O1047949" s="36"/>
    </row>
    <row r="1047950" customFormat="1" spans="15:15">
      <c r="O1047950" s="36"/>
    </row>
    <row r="1047951" customFormat="1" spans="15:15">
      <c r="O1047951" s="36"/>
    </row>
    <row r="1047952" customFormat="1" spans="15:15">
      <c r="O1047952" s="36"/>
    </row>
    <row r="1047953" customFormat="1" spans="15:15">
      <c r="O1047953" s="36"/>
    </row>
    <row r="1047954" customFormat="1" spans="15:15">
      <c r="O1047954" s="36"/>
    </row>
    <row r="1047955" customFormat="1" spans="15:15">
      <c r="O1047955" s="36"/>
    </row>
    <row r="1047956" customFormat="1" spans="15:15">
      <c r="O1047956" s="36"/>
    </row>
    <row r="1047957" customFormat="1" spans="15:15">
      <c r="O1047957" s="36"/>
    </row>
    <row r="1047958" customFormat="1" spans="15:15">
      <c r="O1047958" s="36"/>
    </row>
    <row r="1047959" customFormat="1" spans="15:15">
      <c r="O1047959" s="36"/>
    </row>
    <row r="1047960" customFormat="1" spans="15:15">
      <c r="O1047960" s="36"/>
    </row>
    <row r="1047961" customFormat="1" spans="15:15">
      <c r="O1047961" s="36"/>
    </row>
    <row r="1047962" customFormat="1" spans="15:15">
      <c r="O1047962" s="36"/>
    </row>
    <row r="1047963" customFormat="1" spans="15:15">
      <c r="O1047963" s="36"/>
    </row>
    <row r="1047964" customFormat="1" spans="15:15">
      <c r="O1047964" s="36"/>
    </row>
    <row r="1047965" customFormat="1" spans="15:15">
      <c r="O1047965" s="36"/>
    </row>
    <row r="1047966" customFormat="1" spans="15:15">
      <c r="O1047966" s="36"/>
    </row>
    <row r="1047967" customFormat="1" spans="15:15">
      <c r="O1047967" s="36"/>
    </row>
    <row r="1047968" customFormat="1" spans="15:15">
      <c r="O1047968" s="36"/>
    </row>
    <row r="1047969" customFormat="1" spans="15:15">
      <c r="O1047969" s="36"/>
    </row>
    <row r="1047970" customFormat="1" spans="15:15">
      <c r="O1047970" s="36"/>
    </row>
    <row r="1047971" customFormat="1" spans="15:15">
      <c r="O1047971" s="36"/>
    </row>
    <row r="1047972" customFormat="1" spans="15:15">
      <c r="O1047972" s="36"/>
    </row>
    <row r="1047973" customFormat="1" spans="15:15">
      <c r="O1047973" s="36"/>
    </row>
    <row r="1047974" customFormat="1" spans="15:15">
      <c r="O1047974" s="36"/>
    </row>
    <row r="1047975" customFormat="1" spans="15:15">
      <c r="O1047975" s="36"/>
    </row>
    <row r="1047976" customFormat="1" spans="15:15">
      <c r="O1047976" s="36"/>
    </row>
    <row r="1047977" customFormat="1" spans="15:15">
      <c r="O1047977" s="36"/>
    </row>
    <row r="1047978" customFormat="1" spans="15:15">
      <c r="O1047978" s="36"/>
    </row>
    <row r="1047979" customFormat="1" spans="15:15">
      <c r="O1047979" s="36"/>
    </row>
    <row r="1047980" customFormat="1" spans="15:15">
      <c r="O1047980" s="36"/>
    </row>
    <row r="1047981" customFormat="1" spans="15:15">
      <c r="O1047981" s="36"/>
    </row>
    <row r="1047982" customFormat="1" spans="15:15">
      <c r="O1047982" s="36"/>
    </row>
    <row r="1047983" customFormat="1" spans="15:15">
      <c r="O1047983" s="36"/>
    </row>
    <row r="1047984" customFormat="1" spans="15:15">
      <c r="O1047984" s="36"/>
    </row>
    <row r="1047985" customFormat="1" spans="15:15">
      <c r="O1047985" s="36"/>
    </row>
    <row r="1047986" customFormat="1" spans="15:15">
      <c r="O1047986" s="36"/>
    </row>
    <row r="1047987" customFormat="1" spans="15:15">
      <c r="O1047987" s="36"/>
    </row>
    <row r="1047988" customFormat="1" spans="15:15">
      <c r="O1047988" s="36"/>
    </row>
    <row r="1047989" customFormat="1" spans="15:15">
      <c r="O1047989" s="36"/>
    </row>
    <row r="1047990" customFormat="1" spans="15:15">
      <c r="O1047990" s="36"/>
    </row>
    <row r="1047991" customFormat="1" spans="15:15">
      <c r="O1047991" s="36"/>
    </row>
    <row r="1047992" customFormat="1" spans="15:15">
      <c r="O1047992" s="36"/>
    </row>
    <row r="1047993" customFormat="1" spans="15:15">
      <c r="O1047993" s="36"/>
    </row>
    <row r="1047994" customFormat="1" spans="15:15">
      <c r="O1047994" s="36"/>
    </row>
    <row r="1047995" customFormat="1" spans="15:15">
      <c r="O1047995" s="36"/>
    </row>
    <row r="1047996" customFormat="1" spans="15:15">
      <c r="O1047996" s="36"/>
    </row>
    <row r="1047997" customFormat="1" spans="15:15">
      <c r="O1047997" s="36"/>
    </row>
    <row r="1047998" customFormat="1" spans="15:15">
      <c r="O1047998" s="36"/>
    </row>
    <row r="1047999" customFormat="1" spans="15:15">
      <c r="O1047999" s="36"/>
    </row>
    <row r="1048000" customFormat="1" spans="15:15">
      <c r="O1048000" s="36"/>
    </row>
    <row r="1048001" customFormat="1" spans="15:15">
      <c r="O1048001" s="36"/>
    </row>
    <row r="1048002" customFormat="1" spans="15:15">
      <c r="O1048002" s="36"/>
    </row>
    <row r="1048003" customFormat="1" spans="15:15">
      <c r="O1048003" s="36"/>
    </row>
    <row r="1048004" customFormat="1" spans="15:15">
      <c r="O1048004" s="36"/>
    </row>
    <row r="1048005" customFormat="1" spans="15:15">
      <c r="O1048005" s="36"/>
    </row>
    <row r="1048006" customFormat="1" spans="15:15">
      <c r="O1048006" s="36"/>
    </row>
    <row r="1048007" customFormat="1" spans="15:15">
      <c r="O1048007" s="36"/>
    </row>
    <row r="1048008" customFormat="1" spans="15:15">
      <c r="O1048008" s="36"/>
    </row>
    <row r="1048009" customFormat="1" spans="15:15">
      <c r="O1048009" s="36"/>
    </row>
    <row r="1048010" customFormat="1" spans="15:15">
      <c r="O1048010" s="36"/>
    </row>
    <row r="1048011" customFormat="1" spans="15:15">
      <c r="O1048011" s="36"/>
    </row>
    <row r="1048012" customFormat="1" spans="15:15">
      <c r="O1048012" s="36"/>
    </row>
    <row r="1048013" customFormat="1" spans="15:15">
      <c r="O1048013" s="36"/>
    </row>
    <row r="1048014" customFormat="1" spans="15:15">
      <c r="O1048014" s="36"/>
    </row>
    <row r="1048015" customFormat="1" spans="15:15">
      <c r="O1048015" s="36"/>
    </row>
    <row r="1048016" customFormat="1" spans="15:15">
      <c r="O1048016" s="36"/>
    </row>
    <row r="1048017" customFormat="1" spans="15:15">
      <c r="O1048017" s="36"/>
    </row>
    <row r="1048018" customFormat="1" spans="15:15">
      <c r="O1048018" s="36"/>
    </row>
    <row r="1048019" customFormat="1" spans="15:15">
      <c r="O1048019" s="36"/>
    </row>
    <row r="1048020" customFormat="1" spans="15:15">
      <c r="O1048020" s="36"/>
    </row>
    <row r="1048021" customFormat="1" spans="15:15">
      <c r="O1048021" s="36"/>
    </row>
    <row r="1048022" customFormat="1" spans="15:15">
      <c r="O1048022" s="36"/>
    </row>
    <row r="1048023" customFormat="1" spans="15:15">
      <c r="O1048023" s="36"/>
    </row>
    <row r="1048024" customFormat="1" spans="15:15">
      <c r="O1048024" s="36"/>
    </row>
    <row r="1048025" customFormat="1" spans="15:15">
      <c r="O1048025" s="36"/>
    </row>
    <row r="1048026" customFormat="1" spans="15:15">
      <c r="O1048026" s="36"/>
    </row>
    <row r="1048027" customFormat="1" spans="15:15">
      <c r="O1048027" s="36"/>
    </row>
    <row r="1048028" customFormat="1" spans="15:15">
      <c r="O1048028" s="36"/>
    </row>
    <row r="1048029" customFormat="1" spans="15:15">
      <c r="O1048029" s="36"/>
    </row>
    <row r="1048030" customFormat="1" spans="15:15">
      <c r="O1048030" s="36"/>
    </row>
    <row r="1048031" customFormat="1" spans="15:15">
      <c r="O1048031" s="36"/>
    </row>
    <row r="1048032" customFormat="1" spans="15:15">
      <c r="O1048032" s="36"/>
    </row>
    <row r="1048033" customFormat="1" spans="15:15">
      <c r="O1048033" s="36"/>
    </row>
    <row r="1048034" customFormat="1" spans="15:15">
      <c r="O1048034" s="36"/>
    </row>
    <row r="1048035" customFormat="1" spans="15:15">
      <c r="O1048035" s="36"/>
    </row>
    <row r="1048036" customFormat="1" spans="15:15">
      <c r="O1048036" s="36"/>
    </row>
    <row r="1048037" customFormat="1" spans="15:15">
      <c r="O1048037" s="36"/>
    </row>
    <row r="1048038" customFormat="1" spans="15:15">
      <c r="O1048038" s="36"/>
    </row>
    <row r="1048039" customFormat="1" spans="15:15">
      <c r="O1048039" s="36"/>
    </row>
    <row r="1048040" customFormat="1" spans="15:15">
      <c r="O1048040" s="36"/>
    </row>
    <row r="1048041" customFormat="1" spans="15:15">
      <c r="O1048041" s="36"/>
    </row>
    <row r="1048042" customFormat="1" spans="15:15">
      <c r="O1048042" s="36"/>
    </row>
    <row r="1048043" customFormat="1" spans="15:15">
      <c r="O1048043" s="36"/>
    </row>
    <row r="1048044" customFormat="1" spans="15:15">
      <c r="O1048044" s="36"/>
    </row>
    <row r="1048045" customFormat="1" spans="15:15">
      <c r="O1048045" s="36"/>
    </row>
    <row r="1048046" customFormat="1" spans="15:15">
      <c r="O1048046" s="36"/>
    </row>
    <row r="1048047" customFormat="1" spans="15:15">
      <c r="O1048047" s="36"/>
    </row>
    <row r="1048048" customFormat="1" spans="15:15">
      <c r="O1048048" s="36"/>
    </row>
    <row r="1048049" customFormat="1" spans="15:15">
      <c r="O1048049" s="36"/>
    </row>
    <row r="1048050" customFormat="1" spans="15:15">
      <c r="O1048050" s="36"/>
    </row>
    <row r="1048051" customFormat="1" spans="15:15">
      <c r="O1048051" s="36"/>
    </row>
    <row r="1048052" customFormat="1" spans="15:15">
      <c r="O1048052" s="36"/>
    </row>
    <row r="1048053" customFormat="1" spans="15:15">
      <c r="O1048053" s="36"/>
    </row>
    <row r="1048054" customFormat="1" spans="15:15">
      <c r="O1048054" s="36"/>
    </row>
    <row r="1048055" customFormat="1" spans="15:15">
      <c r="O1048055" s="36"/>
    </row>
    <row r="1048056" customFormat="1" spans="15:15">
      <c r="O1048056" s="36"/>
    </row>
    <row r="1048057" customFormat="1" spans="15:15">
      <c r="O1048057" s="36"/>
    </row>
    <row r="1048058" customFormat="1" spans="15:15">
      <c r="O1048058" s="36"/>
    </row>
    <row r="1048059" customFormat="1" spans="15:15">
      <c r="O1048059" s="36"/>
    </row>
    <row r="1048060" customFormat="1" spans="15:15">
      <c r="O1048060" s="36"/>
    </row>
    <row r="1048061" customFormat="1" spans="15:15">
      <c r="O1048061" s="36"/>
    </row>
    <row r="1048062" customFormat="1" spans="15:15">
      <c r="O1048062" s="36"/>
    </row>
    <row r="1048063" customFormat="1" spans="15:15">
      <c r="O1048063" s="36"/>
    </row>
    <row r="1048064" customFormat="1" spans="15:15">
      <c r="O1048064" s="36"/>
    </row>
    <row r="1048065" customFormat="1" spans="15:15">
      <c r="O1048065" s="36"/>
    </row>
    <row r="1048066" customFormat="1" spans="15:15">
      <c r="O1048066" s="36"/>
    </row>
    <row r="1048067" customFormat="1" spans="15:15">
      <c r="O1048067" s="36"/>
    </row>
    <row r="1048068" customFormat="1" spans="15:15">
      <c r="O1048068" s="36"/>
    </row>
    <row r="1048069" customFormat="1" spans="15:15">
      <c r="O1048069" s="36"/>
    </row>
    <row r="1048070" customFormat="1" spans="15:15">
      <c r="O1048070" s="36"/>
    </row>
    <row r="1048071" customFormat="1" spans="15:15">
      <c r="O1048071" s="36"/>
    </row>
    <row r="1048072" customFormat="1" spans="15:15">
      <c r="O1048072" s="36"/>
    </row>
    <row r="1048073" customFormat="1" spans="15:15">
      <c r="O1048073" s="36"/>
    </row>
    <row r="1048074" customFormat="1" spans="15:15">
      <c r="O1048074" s="36"/>
    </row>
    <row r="1048075" customFormat="1" spans="15:15">
      <c r="O1048075" s="36"/>
    </row>
    <row r="1048076" customFormat="1" spans="15:15">
      <c r="O1048076" s="36"/>
    </row>
    <row r="1048077" customFormat="1" spans="15:15">
      <c r="O1048077" s="36"/>
    </row>
    <row r="1048078" customFormat="1" spans="15:15">
      <c r="O1048078" s="36"/>
    </row>
    <row r="1048079" customFormat="1" spans="15:15">
      <c r="O1048079" s="36"/>
    </row>
    <row r="1048080" customFormat="1" spans="15:15">
      <c r="O1048080" s="36"/>
    </row>
    <row r="1048081" customFormat="1" spans="15:15">
      <c r="O1048081" s="36"/>
    </row>
    <row r="1048082" customFormat="1" spans="15:15">
      <c r="O1048082" s="36"/>
    </row>
    <row r="1048083" customFormat="1" spans="15:15">
      <c r="O1048083" s="36"/>
    </row>
    <row r="1048084" customFormat="1" spans="15:15">
      <c r="O1048084" s="36"/>
    </row>
    <row r="1048085" customFormat="1" spans="15:15">
      <c r="O1048085" s="36"/>
    </row>
    <row r="1048086" customFormat="1" spans="15:15">
      <c r="O1048086" s="36"/>
    </row>
    <row r="1048087" customFormat="1" spans="15:15">
      <c r="O1048087" s="36"/>
    </row>
    <row r="1048088" customFormat="1" spans="15:15">
      <c r="O1048088" s="36"/>
    </row>
    <row r="1048089" customFormat="1" spans="15:15">
      <c r="O1048089" s="36"/>
    </row>
    <row r="1048090" customFormat="1" spans="15:15">
      <c r="O1048090" s="36"/>
    </row>
    <row r="1048091" customFormat="1" spans="15:15">
      <c r="O1048091" s="36"/>
    </row>
    <row r="1048092" customFormat="1" spans="15:15">
      <c r="O1048092" s="36"/>
    </row>
    <row r="1048093" customFormat="1" spans="15:15">
      <c r="O1048093" s="36"/>
    </row>
    <row r="1048094" customFormat="1" spans="15:15">
      <c r="O1048094" s="36"/>
    </row>
    <row r="1048095" customFormat="1" spans="15:15">
      <c r="O1048095" s="36"/>
    </row>
    <row r="1048096" customFormat="1" spans="15:15">
      <c r="O1048096" s="36"/>
    </row>
    <row r="1048097" customFormat="1" spans="15:15">
      <c r="O1048097" s="36"/>
    </row>
    <row r="1048098" customFormat="1" spans="15:15">
      <c r="O1048098" s="36"/>
    </row>
    <row r="1048099" customFormat="1" spans="15:15">
      <c r="O1048099" s="36"/>
    </row>
    <row r="1048100" customFormat="1" spans="15:15">
      <c r="O1048100" s="36"/>
    </row>
    <row r="1048101" customFormat="1" spans="15:15">
      <c r="O1048101" s="36"/>
    </row>
    <row r="1048102" customFormat="1" spans="15:15">
      <c r="O1048102" s="36"/>
    </row>
    <row r="1048103" customFormat="1" spans="15:15">
      <c r="O1048103" s="36"/>
    </row>
    <row r="1048104" customFormat="1" spans="15:15">
      <c r="O1048104" s="36"/>
    </row>
    <row r="1048105" customFormat="1" spans="15:15">
      <c r="O1048105" s="36"/>
    </row>
    <row r="1048106" customFormat="1" spans="15:15">
      <c r="O1048106" s="36"/>
    </row>
    <row r="1048107" customFormat="1" spans="15:15">
      <c r="O1048107" s="36"/>
    </row>
    <row r="1048108" customFormat="1" spans="15:15">
      <c r="O1048108" s="36"/>
    </row>
    <row r="1048109" customFormat="1" spans="15:15">
      <c r="O1048109" s="36"/>
    </row>
    <row r="1048110" customFormat="1" spans="15:15">
      <c r="O1048110" s="36"/>
    </row>
    <row r="1048111" customFormat="1" spans="15:15">
      <c r="O1048111" s="36"/>
    </row>
    <row r="1048112" customFormat="1" spans="15:15">
      <c r="O1048112" s="36"/>
    </row>
    <row r="1048113" customFormat="1" spans="15:15">
      <c r="O1048113" s="36"/>
    </row>
    <row r="1048114" customFormat="1" spans="15:15">
      <c r="O1048114" s="36"/>
    </row>
    <row r="1048115" customFormat="1" spans="15:15">
      <c r="O1048115" s="36"/>
    </row>
    <row r="1048116" customFormat="1" spans="15:15">
      <c r="O1048116" s="36"/>
    </row>
    <row r="1048117" customFormat="1" spans="15:15">
      <c r="O1048117" s="36"/>
    </row>
    <row r="1048118" customFormat="1" spans="15:15">
      <c r="O1048118" s="36"/>
    </row>
    <row r="1048119" customFormat="1" spans="15:15">
      <c r="O1048119" s="36"/>
    </row>
    <row r="1048120" customFormat="1" spans="15:15">
      <c r="O1048120" s="36"/>
    </row>
    <row r="1048121" customFormat="1" spans="15:15">
      <c r="O1048121" s="36"/>
    </row>
    <row r="1048122" customFormat="1" spans="15:15">
      <c r="O1048122" s="36"/>
    </row>
    <row r="1048123" customFormat="1" spans="15:15">
      <c r="O1048123" s="36"/>
    </row>
    <row r="1048124" customFormat="1" spans="15:15">
      <c r="O1048124" s="36"/>
    </row>
    <row r="1048125" customFormat="1" spans="15:15">
      <c r="O1048125" s="36"/>
    </row>
    <row r="1048126" customFormat="1" spans="15:15">
      <c r="O1048126" s="36"/>
    </row>
    <row r="1048127" customFormat="1" spans="15:15">
      <c r="O1048127" s="36"/>
    </row>
    <row r="1048128" customFormat="1" spans="15:15">
      <c r="O1048128" s="36"/>
    </row>
    <row r="1048129" customFormat="1" spans="15:15">
      <c r="O1048129" s="36"/>
    </row>
    <row r="1048130" customFormat="1" spans="15:15">
      <c r="O1048130" s="36"/>
    </row>
    <row r="1048131" customFormat="1" spans="15:15">
      <c r="O1048131" s="36"/>
    </row>
    <row r="1048132" customFormat="1" spans="15:15">
      <c r="O1048132" s="36"/>
    </row>
    <row r="1048133" customFormat="1" spans="15:15">
      <c r="O1048133" s="36"/>
    </row>
    <row r="1048134" customFormat="1" spans="15:15">
      <c r="O1048134" s="36"/>
    </row>
    <row r="1048135" customFormat="1" spans="15:15">
      <c r="O1048135" s="36"/>
    </row>
    <row r="1048136" customFormat="1" spans="15:15">
      <c r="O1048136" s="36"/>
    </row>
    <row r="1048137" customFormat="1" spans="15:15">
      <c r="O1048137" s="36"/>
    </row>
    <row r="1048138" customFormat="1" spans="15:15">
      <c r="O1048138" s="36"/>
    </row>
    <row r="1048139" customFormat="1" spans="15:15">
      <c r="O1048139" s="36"/>
    </row>
    <row r="1048140" customFormat="1" spans="15:15">
      <c r="O1048140" s="36"/>
    </row>
    <row r="1048141" customFormat="1" spans="15:15">
      <c r="O1048141" s="36"/>
    </row>
    <row r="1048142" customFormat="1" spans="15:15">
      <c r="O1048142" s="36"/>
    </row>
    <row r="1048143" customFormat="1" spans="15:15">
      <c r="O1048143" s="36"/>
    </row>
    <row r="1048144" customFormat="1" spans="15:15">
      <c r="O1048144" s="36"/>
    </row>
    <row r="1048145" customFormat="1" spans="15:15">
      <c r="O1048145" s="36"/>
    </row>
    <row r="1048146" customFormat="1" spans="15:15">
      <c r="O1048146" s="36"/>
    </row>
    <row r="1048147" customFormat="1" spans="15:15">
      <c r="O1048147" s="36"/>
    </row>
    <row r="1048148" customFormat="1" spans="15:15">
      <c r="O1048148" s="36"/>
    </row>
    <row r="1048149" customFormat="1" spans="15:15">
      <c r="O1048149" s="36"/>
    </row>
    <row r="1048150" customFormat="1" spans="15:15">
      <c r="O1048150" s="36"/>
    </row>
    <row r="1048151" customFormat="1" spans="15:15">
      <c r="O1048151" s="36"/>
    </row>
    <row r="1048152" customFormat="1" spans="15:15">
      <c r="O1048152" s="36"/>
    </row>
    <row r="1048153" customFormat="1" spans="15:15">
      <c r="O1048153" s="36"/>
    </row>
    <row r="1048154" customFormat="1" spans="15:15">
      <c r="O1048154" s="36"/>
    </row>
    <row r="1048155" customFormat="1" spans="15:15">
      <c r="O1048155" s="36"/>
    </row>
    <row r="1048156" customFormat="1" spans="15:15">
      <c r="O1048156" s="36"/>
    </row>
    <row r="1048157" customFormat="1" spans="15:15">
      <c r="O1048157" s="36"/>
    </row>
    <row r="1048158" customFormat="1" spans="15:15">
      <c r="O1048158" s="36"/>
    </row>
    <row r="1048159" customFormat="1" spans="15:15">
      <c r="O1048159" s="36"/>
    </row>
    <row r="1048160" customFormat="1" spans="15:15">
      <c r="O1048160" s="36"/>
    </row>
    <row r="1048161" customFormat="1" spans="15:15">
      <c r="O1048161" s="36"/>
    </row>
    <row r="1048162" customFormat="1" spans="15:15">
      <c r="O1048162" s="36"/>
    </row>
    <row r="1048163" customFormat="1" spans="15:15">
      <c r="O1048163" s="36"/>
    </row>
    <row r="1048164" customFormat="1" spans="15:15">
      <c r="O1048164" s="36"/>
    </row>
    <row r="1048165" customFormat="1" spans="15:15">
      <c r="O1048165" s="36"/>
    </row>
    <row r="1048166" customFormat="1" spans="15:15">
      <c r="O1048166" s="36"/>
    </row>
    <row r="1048167" customFormat="1" spans="15:15">
      <c r="O1048167" s="36"/>
    </row>
    <row r="1048168" customFormat="1" spans="15:15">
      <c r="O1048168" s="36"/>
    </row>
    <row r="1048169" customFormat="1" spans="15:15">
      <c r="O1048169" s="36"/>
    </row>
    <row r="1048170" customFormat="1" spans="15:15">
      <c r="O1048170" s="36"/>
    </row>
    <row r="1048171" customFormat="1" spans="15:15">
      <c r="O1048171" s="36"/>
    </row>
    <row r="1048172" customFormat="1" spans="15:15">
      <c r="O1048172" s="36"/>
    </row>
    <row r="1048173" customFormat="1" spans="15:15">
      <c r="O1048173" s="36"/>
    </row>
    <row r="1048174" customFormat="1" spans="15:15">
      <c r="O1048174" s="36"/>
    </row>
    <row r="1048175" customFormat="1" spans="15:15">
      <c r="O1048175" s="36"/>
    </row>
    <row r="1048176" customFormat="1" spans="15:15">
      <c r="O1048176" s="36"/>
    </row>
    <row r="1048177" customFormat="1" spans="15:15">
      <c r="O1048177" s="36"/>
    </row>
    <row r="1048178" customFormat="1" spans="15:15">
      <c r="O1048178" s="36"/>
    </row>
    <row r="1048179" customFormat="1" spans="15:15">
      <c r="O1048179" s="36"/>
    </row>
    <row r="1048180" customFormat="1" spans="15:15">
      <c r="O1048180" s="36"/>
    </row>
    <row r="1048181" customFormat="1" spans="15:15">
      <c r="O1048181" s="36"/>
    </row>
    <row r="1048182" customFormat="1" spans="15:15">
      <c r="O1048182" s="36"/>
    </row>
    <row r="1048183" customFormat="1" spans="15:15">
      <c r="O1048183" s="36"/>
    </row>
    <row r="1048184" customFormat="1" spans="15:15">
      <c r="O1048184" s="36"/>
    </row>
    <row r="1048185" customFormat="1" spans="15:15">
      <c r="O1048185" s="36"/>
    </row>
    <row r="1048186" customFormat="1" spans="15:15">
      <c r="O1048186" s="36"/>
    </row>
    <row r="1048187" customFormat="1" spans="15:15">
      <c r="O1048187" s="36"/>
    </row>
    <row r="1048188" customFormat="1" spans="15:15">
      <c r="O1048188" s="36"/>
    </row>
    <row r="1048189" customFormat="1" spans="15:15">
      <c r="O1048189" s="36"/>
    </row>
    <row r="1048190" customFormat="1" spans="15:15">
      <c r="O1048190" s="36"/>
    </row>
    <row r="1048191" customFormat="1" spans="15:15">
      <c r="O1048191" s="36"/>
    </row>
    <row r="1048192" customFormat="1" spans="15:15">
      <c r="O1048192" s="36"/>
    </row>
    <row r="1048193" customFormat="1" spans="15:15">
      <c r="O1048193" s="36"/>
    </row>
    <row r="1048194" customFormat="1" spans="15:15">
      <c r="O1048194" s="36"/>
    </row>
    <row r="1048195" customFormat="1" spans="15:15">
      <c r="O1048195" s="36"/>
    </row>
    <row r="1048196" customFormat="1" spans="15:15">
      <c r="O1048196" s="36"/>
    </row>
    <row r="1048197" customFormat="1" spans="15:15">
      <c r="O1048197" s="36"/>
    </row>
    <row r="1048198" customFormat="1" spans="15:15">
      <c r="O1048198" s="36"/>
    </row>
    <row r="1048199" customFormat="1" spans="15:15">
      <c r="O1048199" s="36"/>
    </row>
    <row r="1048200" customFormat="1" spans="15:15">
      <c r="O1048200" s="36"/>
    </row>
    <row r="1048201" customFormat="1" spans="15:15">
      <c r="O1048201" s="36"/>
    </row>
    <row r="1048202" customFormat="1" spans="15:15">
      <c r="O1048202" s="36"/>
    </row>
    <row r="1048203" customFormat="1" spans="15:15">
      <c r="O1048203" s="36"/>
    </row>
    <row r="1048204" customFormat="1" spans="15:15">
      <c r="O1048204" s="36"/>
    </row>
    <row r="1048205" customFormat="1" spans="15:15">
      <c r="O1048205" s="36"/>
    </row>
    <row r="1048206" customFormat="1" spans="15:15">
      <c r="O1048206" s="36"/>
    </row>
    <row r="1048207" customFormat="1" spans="15:15">
      <c r="O1048207" s="36"/>
    </row>
    <row r="1048208" customFormat="1" spans="15:15">
      <c r="O1048208" s="36"/>
    </row>
    <row r="1048209" customFormat="1" spans="15:15">
      <c r="O1048209" s="36"/>
    </row>
    <row r="1048210" customFormat="1" spans="15:15">
      <c r="O1048210" s="36"/>
    </row>
    <row r="1048211" customFormat="1" spans="15:15">
      <c r="O1048211" s="36"/>
    </row>
    <row r="1048212" customFormat="1" spans="15:15">
      <c r="O1048212" s="36"/>
    </row>
    <row r="1048213" customFormat="1" spans="15:15">
      <c r="O1048213" s="36"/>
    </row>
    <row r="1048214" customFormat="1" spans="15:15">
      <c r="O1048214" s="36"/>
    </row>
    <row r="1048215" customFormat="1" spans="15:15">
      <c r="O1048215" s="36"/>
    </row>
    <row r="1048216" customFormat="1" spans="15:15">
      <c r="O1048216" s="36"/>
    </row>
    <row r="1048217" customFormat="1" spans="15:15">
      <c r="O1048217" s="36"/>
    </row>
    <row r="1048218" customFormat="1" spans="15:15">
      <c r="O1048218" s="36"/>
    </row>
    <row r="1048219" customFormat="1" spans="15:15">
      <c r="O1048219" s="36"/>
    </row>
    <row r="1048220" customFormat="1" spans="15:15">
      <c r="O1048220" s="36"/>
    </row>
    <row r="1048221" customFormat="1" spans="15:15">
      <c r="O1048221" s="36"/>
    </row>
    <row r="1048222" customFormat="1" spans="15:15">
      <c r="O1048222" s="36"/>
    </row>
    <row r="1048223" customFormat="1" spans="15:15">
      <c r="O1048223" s="36"/>
    </row>
    <row r="1048224" customFormat="1" spans="15:15">
      <c r="O1048224" s="36"/>
    </row>
    <row r="1048225" customFormat="1" spans="15:15">
      <c r="O1048225" s="36"/>
    </row>
    <row r="1048226" customFormat="1" spans="15:15">
      <c r="O1048226" s="36"/>
    </row>
    <row r="1048227" customFormat="1" spans="15:15">
      <c r="O1048227" s="36"/>
    </row>
    <row r="1048228" customFormat="1" spans="15:15">
      <c r="O1048228" s="36"/>
    </row>
    <row r="1048229" customFormat="1" spans="15:15">
      <c r="O1048229" s="36"/>
    </row>
    <row r="1048230" customFormat="1" spans="15:15">
      <c r="O1048230" s="36"/>
    </row>
    <row r="1048231" customFormat="1" spans="15:15">
      <c r="O1048231" s="36"/>
    </row>
    <row r="1048232" customFormat="1" spans="15:15">
      <c r="O1048232" s="36"/>
    </row>
    <row r="1048233" customFormat="1" spans="15:15">
      <c r="O1048233" s="36"/>
    </row>
    <row r="1048234" customFormat="1" spans="15:15">
      <c r="O1048234" s="36"/>
    </row>
    <row r="1048235" customFormat="1" spans="15:15">
      <c r="O1048235" s="36"/>
    </row>
    <row r="1048236" customFormat="1" spans="15:15">
      <c r="O1048236" s="36"/>
    </row>
    <row r="1048237" customFormat="1" spans="15:15">
      <c r="O1048237" s="36"/>
    </row>
    <row r="1048238" customFormat="1" spans="15:15">
      <c r="O1048238" s="36"/>
    </row>
    <row r="1048239" customFormat="1" spans="15:15">
      <c r="O1048239" s="36"/>
    </row>
    <row r="1048240" customFormat="1" spans="15:15">
      <c r="O1048240" s="36"/>
    </row>
    <row r="1048241" customFormat="1" spans="15:15">
      <c r="O1048241" s="36"/>
    </row>
    <row r="1048242" customFormat="1" spans="15:15">
      <c r="O1048242" s="36"/>
    </row>
    <row r="1048243" customFormat="1" spans="15:15">
      <c r="O1048243" s="36"/>
    </row>
    <row r="1048244" customFormat="1" spans="15:15">
      <c r="O1048244" s="36"/>
    </row>
    <row r="1048245" customFormat="1" spans="15:15">
      <c r="O1048245" s="36"/>
    </row>
    <row r="1048246" customFormat="1" spans="15:15">
      <c r="O1048246" s="36"/>
    </row>
    <row r="1048247" customFormat="1" spans="15:15">
      <c r="O1048247" s="36"/>
    </row>
    <row r="1048248" customFormat="1" spans="15:15">
      <c r="O1048248" s="36"/>
    </row>
    <row r="1048249" customFormat="1" spans="15:15">
      <c r="O1048249" s="36"/>
    </row>
    <row r="1048250" customFormat="1" spans="15:15">
      <c r="O1048250" s="36"/>
    </row>
    <row r="1048251" customFormat="1" spans="15:15">
      <c r="O1048251" s="36"/>
    </row>
    <row r="1048252" customFormat="1" spans="15:15">
      <c r="O1048252" s="36"/>
    </row>
    <row r="1048253" customFormat="1" spans="15:15">
      <c r="O1048253" s="36"/>
    </row>
    <row r="1048254" customFormat="1" spans="15:15">
      <c r="O1048254" s="36"/>
    </row>
    <row r="1048255" customFormat="1" spans="15:15">
      <c r="O1048255" s="36"/>
    </row>
    <row r="1048256" customFormat="1" spans="15:15">
      <c r="O1048256" s="36"/>
    </row>
    <row r="1048257" customFormat="1" spans="15:15">
      <c r="O1048257" s="36"/>
    </row>
    <row r="1048258" customFormat="1" spans="15:15">
      <c r="O1048258" s="36"/>
    </row>
    <row r="1048259" customFormat="1" spans="15:15">
      <c r="O1048259" s="36"/>
    </row>
    <row r="1048260" customFormat="1" spans="15:15">
      <c r="O1048260" s="36"/>
    </row>
    <row r="1048261" customFormat="1" spans="15:15">
      <c r="O1048261" s="36"/>
    </row>
    <row r="1048262" customFormat="1" spans="15:15">
      <c r="O1048262" s="36"/>
    </row>
    <row r="1048263" customFormat="1" spans="15:15">
      <c r="O1048263" s="36"/>
    </row>
    <row r="1048264" customFormat="1" spans="15:15">
      <c r="O1048264" s="36"/>
    </row>
    <row r="1048265" customFormat="1" spans="15:15">
      <c r="O1048265" s="36"/>
    </row>
    <row r="1048266" customFormat="1" spans="15:15">
      <c r="O1048266" s="36"/>
    </row>
    <row r="1048267" customFormat="1" spans="15:15">
      <c r="O1048267" s="36"/>
    </row>
    <row r="1048268" customFormat="1" spans="15:15">
      <c r="O1048268" s="36"/>
    </row>
    <row r="1048269" customFormat="1" spans="15:15">
      <c r="O1048269" s="36"/>
    </row>
    <row r="1048270" customFormat="1" spans="15:15">
      <c r="O1048270" s="36"/>
    </row>
    <row r="1048271" customFormat="1" spans="15:15">
      <c r="O1048271" s="36"/>
    </row>
    <row r="1048272" customFormat="1" spans="15:15">
      <c r="O1048272" s="36"/>
    </row>
    <row r="1048273" customFormat="1" spans="15:15">
      <c r="O1048273" s="36"/>
    </row>
    <row r="1048274" customFormat="1" spans="15:15">
      <c r="O1048274" s="36"/>
    </row>
    <row r="1048275" customFormat="1" spans="15:15">
      <c r="O1048275" s="36"/>
    </row>
    <row r="1048276" customFormat="1" spans="15:15">
      <c r="O1048276" s="36"/>
    </row>
    <row r="1048277" customFormat="1" spans="15:15">
      <c r="O1048277" s="36"/>
    </row>
    <row r="1048278" customFormat="1" spans="15:15">
      <c r="O1048278" s="36"/>
    </row>
    <row r="1048279" customFormat="1" spans="15:15">
      <c r="O1048279" s="36"/>
    </row>
    <row r="1048280" customFormat="1" spans="15:15">
      <c r="O1048280" s="36"/>
    </row>
    <row r="1048281" customFormat="1" spans="15:15">
      <c r="O1048281" s="36"/>
    </row>
    <row r="1048282" customFormat="1" spans="15:15">
      <c r="O1048282" s="36"/>
    </row>
    <row r="1048283" customFormat="1" spans="15:15">
      <c r="O1048283" s="36"/>
    </row>
    <row r="1048284" customFormat="1" spans="15:15">
      <c r="O1048284" s="36"/>
    </row>
    <row r="1048285" customFormat="1" spans="15:15">
      <c r="O1048285" s="36"/>
    </row>
    <row r="1048286" customFormat="1" spans="15:15">
      <c r="O1048286" s="36"/>
    </row>
    <row r="1048287" customFormat="1" spans="15:15">
      <c r="O1048287" s="36"/>
    </row>
    <row r="1048288" customFormat="1" spans="15:15">
      <c r="O1048288" s="36"/>
    </row>
    <row r="1048289" customFormat="1" spans="15:15">
      <c r="O1048289" s="36"/>
    </row>
    <row r="1048290" customFormat="1" spans="15:15">
      <c r="O1048290" s="36"/>
    </row>
    <row r="1048291" customFormat="1" spans="15:15">
      <c r="O1048291" s="36"/>
    </row>
    <row r="1048292" customFormat="1" spans="15:15">
      <c r="O1048292" s="36"/>
    </row>
    <row r="1048293" customFormat="1" spans="15:15">
      <c r="O1048293" s="36"/>
    </row>
    <row r="1048294" customFormat="1" spans="15:15">
      <c r="O1048294" s="36"/>
    </row>
    <row r="1048295" customFormat="1" spans="15:15">
      <c r="O1048295" s="36"/>
    </row>
    <row r="1048296" customFormat="1" spans="15:15">
      <c r="O1048296" s="36"/>
    </row>
    <row r="1048297" customFormat="1" spans="15:15">
      <c r="O1048297" s="36"/>
    </row>
    <row r="1048298" customFormat="1" spans="15:15">
      <c r="O1048298" s="36"/>
    </row>
    <row r="1048299" customFormat="1" spans="15:15">
      <c r="O1048299" s="36"/>
    </row>
    <row r="1048300" customFormat="1" spans="15:15">
      <c r="O1048300" s="36"/>
    </row>
    <row r="1048301" customFormat="1" spans="15:15">
      <c r="O1048301" s="36"/>
    </row>
    <row r="1048302" customFormat="1" spans="15:15">
      <c r="O1048302" s="36"/>
    </row>
    <row r="1048303" customFormat="1" spans="15:15">
      <c r="O1048303" s="36"/>
    </row>
    <row r="1048304" customFormat="1" spans="15:15">
      <c r="O1048304" s="36"/>
    </row>
    <row r="1048305" customFormat="1" spans="15:15">
      <c r="O1048305" s="36"/>
    </row>
    <row r="1048306" customFormat="1" spans="15:15">
      <c r="O1048306" s="36"/>
    </row>
    <row r="1048307" customFormat="1" spans="15:15">
      <c r="O1048307" s="36"/>
    </row>
    <row r="1048308" customFormat="1" spans="15:15">
      <c r="O1048308" s="36"/>
    </row>
    <row r="1048309" customFormat="1" spans="15:15">
      <c r="O1048309" s="36"/>
    </row>
    <row r="1048310" customFormat="1" spans="15:15">
      <c r="O1048310" s="36"/>
    </row>
    <row r="1048311" customFormat="1" spans="15:15">
      <c r="O1048311" s="36"/>
    </row>
    <row r="1048312" customFormat="1" spans="15:15">
      <c r="O1048312" s="36"/>
    </row>
    <row r="1048313" customFormat="1" spans="15:15">
      <c r="O1048313" s="36"/>
    </row>
    <row r="1048314" customFormat="1" spans="15:15">
      <c r="O1048314" s="36"/>
    </row>
    <row r="1048315" customFormat="1" spans="15:15">
      <c r="O1048315" s="36"/>
    </row>
    <row r="1048316" customFormat="1" spans="15:15">
      <c r="O1048316" s="36"/>
    </row>
    <row r="1048317" customFormat="1" spans="15:15">
      <c r="O1048317" s="36"/>
    </row>
    <row r="1048318" customFormat="1" spans="15:15">
      <c r="O1048318" s="36"/>
    </row>
    <row r="1048319" customFormat="1" spans="15:15">
      <c r="O1048319" s="36"/>
    </row>
    <row r="1048320" customFormat="1" spans="15:15">
      <c r="O1048320" s="36"/>
    </row>
    <row r="1048321" customFormat="1" spans="15:15">
      <c r="O1048321" s="36"/>
    </row>
    <row r="1048322" customFormat="1" spans="15:15">
      <c r="O1048322" s="36"/>
    </row>
    <row r="1048323" customFormat="1" spans="15:15">
      <c r="O1048323" s="36"/>
    </row>
    <row r="1048324" customFormat="1" spans="15:15">
      <c r="O1048324" s="36"/>
    </row>
    <row r="1048325" customFormat="1" spans="15:15">
      <c r="O1048325" s="36"/>
    </row>
    <row r="1048326" customFormat="1" spans="15:15">
      <c r="O1048326" s="36"/>
    </row>
    <row r="1048327" customFormat="1" spans="15:15">
      <c r="O1048327" s="36"/>
    </row>
    <row r="1048328" customFormat="1" spans="15:15">
      <c r="O1048328" s="36"/>
    </row>
    <row r="1048329" customFormat="1" spans="15:15">
      <c r="O1048329" s="36"/>
    </row>
    <row r="1048330" customFormat="1" spans="15:15">
      <c r="O1048330" s="36"/>
    </row>
    <row r="1048331" customFormat="1" spans="15:15">
      <c r="O1048331" s="36"/>
    </row>
    <row r="1048332" customFormat="1" spans="15:15">
      <c r="O1048332" s="36"/>
    </row>
    <row r="1048333" customFormat="1" spans="15:15">
      <c r="O1048333" s="36"/>
    </row>
    <row r="1048334" customFormat="1" spans="15:15">
      <c r="O1048334" s="36"/>
    </row>
    <row r="1048335" customFormat="1" spans="15:15">
      <c r="O1048335" s="36"/>
    </row>
    <row r="1048336" customFormat="1" spans="15:15">
      <c r="O1048336" s="36"/>
    </row>
    <row r="1048337" customFormat="1" spans="15:15">
      <c r="O1048337" s="36"/>
    </row>
    <row r="1048338" customFormat="1" spans="15:15">
      <c r="O1048338" s="36"/>
    </row>
    <row r="1048339" customFormat="1" spans="15:15">
      <c r="O1048339" s="36"/>
    </row>
    <row r="1048340" customFormat="1" spans="15:15">
      <c r="O1048340" s="36"/>
    </row>
    <row r="1048341" customFormat="1" spans="15:15">
      <c r="O1048341" s="36"/>
    </row>
    <row r="1048342" customFormat="1" spans="15:15">
      <c r="O1048342" s="36"/>
    </row>
    <row r="1048343" customFormat="1" spans="15:15">
      <c r="O1048343" s="36"/>
    </row>
    <row r="1048344" customFormat="1" spans="15:15">
      <c r="O1048344" s="36"/>
    </row>
    <row r="1048345" customFormat="1" spans="15:15">
      <c r="O1048345" s="36"/>
    </row>
    <row r="1048346" customFormat="1" spans="15:15">
      <c r="O1048346" s="36"/>
    </row>
    <row r="1048347" customFormat="1" spans="15:15">
      <c r="O1048347" s="36"/>
    </row>
    <row r="1048348" customFormat="1" spans="15:15">
      <c r="O1048348" s="36"/>
    </row>
    <row r="1048349" customFormat="1" spans="15:15">
      <c r="O1048349" s="36"/>
    </row>
    <row r="1048350" customFormat="1" spans="15:15">
      <c r="O1048350" s="36"/>
    </row>
    <row r="1048351" customFormat="1" spans="15:15">
      <c r="O1048351" s="36"/>
    </row>
    <row r="1048352" customFormat="1" spans="15:15">
      <c r="O1048352" s="36"/>
    </row>
    <row r="1048353" customFormat="1" spans="15:15">
      <c r="O1048353" s="36"/>
    </row>
    <row r="1048354" customFormat="1" spans="15:15">
      <c r="O1048354" s="36"/>
    </row>
    <row r="1048355" customFormat="1" spans="15:15">
      <c r="O1048355" s="36"/>
    </row>
    <row r="1048356" customFormat="1" spans="15:15">
      <c r="O1048356" s="36"/>
    </row>
    <row r="1048357" customFormat="1" spans="15:15">
      <c r="O1048357" s="36"/>
    </row>
    <row r="1048358" customFormat="1" spans="15:15">
      <c r="O1048358" s="36"/>
    </row>
    <row r="1048359" customFormat="1" spans="15:15">
      <c r="O1048359" s="36"/>
    </row>
    <row r="1048360" customFormat="1" spans="15:15">
      <c r="O1048360" s="36"/>
    </row>
    <row r="1048361" customFormat="1" spans="15:15">
      <c r="O1048361" s="36"/>
    </row>
    <row r="1048362" customFormat="1" spans="15:15">
      <c r="O1048362" s="36"/>
    </row>
    <row r="1048363" customFormat="1" spans="15:15">
      <c r="O1048363" s="36"/>
    </row>
    <row r="1048364" customFormat="1" spans="15:15">
      <c r="O1048364" s="36"/>
    </row>
    <row r="1048365" customFormat="1" spans="15:15">
      <c r="O1048365" s="36"/>
    </row>
    <row r="1048366" customFormat="1" spans="15:15">
      <c r="O1048366" s="36"/>
    </row>
    <row r="1048367" customFormat="1" spans="15:15">
      <c r="O1048367" s="36"/>
    </row>
    <row r="1048368" customFormat="1" spans="15:15">
      <c r="O1048368" s="36"/>
    </row>
    <row r="1048369" customFormat="1" spans="15:15">
      <c r="O1048369" s="36"/>
    </row>
    <row r="1048370" customFormat="1" spans="15:15">
      <c r="O1048370" s="36"/>
    </row>
    <row r="1048371" customFormat="1" spans="15:15">
      <c r="O1048371" s="36"/>
    </row>
    <row r="1048372" customFormat="1" spans="15:15">
      <c r="O1048372" s="36"/>
    </row>
    <row r="1048373" customFormat="1" spans="15:15">
      <c r="O1048373" s="36"/>
    </row>
    <row r="1048374" customFormat="1" spans="15:15">
      <c r="O1048374" s="36"/>
    </row>
    <row r="1048375" customFormat="1" spans="15:15">
      <c r="O1048375" s="36"/>
    </row>
    <row r="1048376" customFormat="1" spans="15:15">
      <c r="O1048376" s="36"/>
    </row>
    <row r="1048377" customFormat="1" spans="15:15">
      <c r="O1048377" s="36"/>
    </row>
    <row r="1048378" customFormat="1" spans="15:15">
      <c r="O1048378" s="36"/>
    </row>
    <row r="1048379" customFormat="1" spans="15:15">
      <c r="O1048379" s="36"/>
    </row>
    <row r="1048380" customFormat="1" spans="15:15">
      <c r="O1048380" s="36"/>
    </row>
    <row r="1048381" customFormat="1" spans="15:15">
      <c r="O1048381" s="36"/>
    </row>
    <row r="1048382" customFormat="1" spans="15:15">
      <c r="O1048382" s="36"/>
    </row>
    <row r="1048383" customFormat="1" spans="15:15">
      <c r="O1048383" s="36"/>
    </row>
    <row r="1048384" customFormat="1" spans="15:15">
      <c r="O1048384" s="36"/>
    </row>
    <row r="1048385" customFormat="1" spans="15:15">
      <c r="O1048385" s="36"/>
    </row>
    <row r="1048386" customFormat="1" spans="15:15">
      <c r="O1048386" s="36"/>
    </row>
    <row r="1048387" customFormat="1" spans="15:15">
      <c r="O1048387" s="36"/>
    </row>
    <row r="1048388" customFormat="1" spans="15:15">
      <c r="O1048388" s="36"/>
    </row>
    <row r="1048389" customFormat="1" spans="15:15">
      <c r="O1048389" s="36"/>
    </row>
    <row r="1048390" customFormat="1" spans="15:15">
      <c r="O1048390" s="36"/>
    </row>
    <row r="1048391" customFormat="1" spans="15:15">
      <c r="O1048391" s="36"/>
    </row>
    <row r="1048392" customFormat="1" spans="15:15">
      <c r="O1048392" s="36"/>
    </row>
    <row r="1048393" customFormat="1" spans="15:15">
      <c r="O1048393" s="36"/>
    </row>
    <row r="1048394" customFormat="1" spans="15:15">
      <c r="O1048394" s="36"/>
    </row>
    <row r="1048395" customFormat="1" spans="15:15">
      <c r="O1048395" s="36"/>
    </row>
    <row r="1048396" customFormat="1" spans="15:15">
      <c r="O1048396" s="36"/>
    </row>
    <row r="1048397" customFormat="1" spans="15:15">
      <c r="O1048397" s="36"/>
    </row>
    <row r="1048398" customFormat="1" spans="15:15">
      <c r="O1048398" s="36"/>
    </row>
    <row r="1048399" customFormat="1" spans="15:15">
      <c r="O1048399" s="36"/>
    </row>
    <row r="1048400" customFormat="1" spans="15:15">
      <c r="O1048400" s="36"/>
    </row>
    <row r="1048401" customFormat="1" spans="15:15">
      <c r="O1048401" s="36"/>
    </row>
    <row r="1048402" customFormat="1" spans="15:15">
      <c r="O1048402" s="36"/>
    </row>
    <row r="1048403" customFormat="1" spans="15:15">
      <c r="O1048403" s="36"/>
    </row>
    <row r="1048404" customFormat="1" spans="15:15">
      <c r="O1048404" s="36"/>
    </row>
    <row r="1048405" customFormat="1" spans="15:15">
      <c r="O1048405" s="36"/>
    </row>
    <row r="1048406" customFormat="1" spans="15:15">
      <c r="O1048406" s="36"/>
    </row>
    <row r="1048407" customFormat="1" spans="15:15">
      <c r="O1048407" s="36"/>
    </row>
    <row r="1048408" customFormat="1" spans="15:15">
      <c r="O1048408" s="36"/>
    </row>
    <row r="1048409" customFormat="1" spans="15:15">
      <c r="O1048409" s="36"/>
    </row>
    <row r="1048410" customFormat="1" spans="15:15">
      <c r="O1048410" s="36"/>
    </row>
    <row r="1048411" customFormat="1" spans="15:15">
      <c r="O1048411" s="36"/>
    </row>
    <row r="1048412" customFormat="1" spans="15:15">
      <c r="O1048412" s="36"/>
    </row>
    <row r="1048413" customFormat="1" spans="15:15">
      <c r="O1048413" s="36"/>
    </row>
    <row r="1048414" customFormat="1" spans="15:15">
      <c r="O1048414" s="36"/>
    </row>
    <row r="1048415" customFormat="1" spans="15:15">
      <c r="O1048415" s="36"/>
    </row>
    <row r="1048416" customFormat="1" spans="15:15">
      <c r="O1048416" s="36"/>
    </row>
    <row r="1048417" customFormat="1" spans="15:15">
      <c r="O1048417" s="36"/>
    </row>
    <row r="1048418" customFormat="1" spans="15:15">
      <c r="O1048418" s="36"/>
    </row>
    <row r="1048419" customFormat="1" spans="15:15">
      <c r="O1048419" s="36"/>
    </row>
    <row r="1048420" customFormat="1" spans="15:15">
      <c r="O1048420" s="36"/>
    </row>
    <row r="1048421" customFormat="1" spans="15:15">
      <c r="O1048421" s="36"/>
    </row>
    <row r="1048422" customFormat="1" spans="15:15">
      <c r="O1048422" s="36"/>
    </row>
    <row r="1048423" customFormat="1" spans="15:15">
      <c r="O1048423" s="36"/>
    </row>
    <row r="1048424" customFormat="1" spans="15:15">
      <c r="O1048424" s="36"/>
    </row>
    <row r="1048425" customFormat="1" spans="15:15">
      <c r="O1048425" s="36"/>
    </row>
    <row r="1048426" customFormat="1" spans="15:15">
      <c r="O1048426" s="36"/>
    </row>
    <row r="1048427" customFormat="1" spans="15:15">
      <c r="O1048427" s="36"/>
    </row>
    <row r="1048428" customFormat="1" spans="15:15">
      <c r="O1048428" s="36"/>
    </row>
    <row r="1048429" customFormat="1" spans="15:15">
      <c r="O1048429" s="36"/>
    </row>
    <row r="1048430" customFormat="1" spans="15:15">
      <c r="O1048430" s="36"/>
    </row>
    <row r="1048431" customFormat="1" spans="15:15">
      <c r="O1048431" s="36"/>
    </row>
    <row r="1048432" customFormat="1" spans="15:15">
      <c r="O1048432" s="36"/>
    </row>
    <row r="1048433" customFormat="1" spans="15:15">
      <c r="O1048433" s="36"/>
    </row>
    <row r="1048434" customFormat="1" spans="15:15">
      <c r="O1048434" s="36"/>
    </row>
    <row r="1048435" customFormat="1" spans="15:15">
      <c r="O1048435" s="36"/>
    </row>
    <row r="1048436" customFormat="1" spans="15:15">
      <c r="O1048436" s="36"/>
    </row>
    <row r="1048437" customFormat="1" spans="15:15">
      <c r="O1048437" s="36"/>
    </row>
    <row r="1048438" customFormat="1" spans="15:15">
      <c r="O1048438" s="36"/>
    </row>
    <row r="1048439" customFormat="1" spans="15:15">
      <c r="O1048439" s="36"/>
    </row>
    <row r="1048440" customFormat="1" spans="15:15">
      <c r="O1048440" s="36"/>
    </row>
    <row r="1048441" customFormat="1" spans="15:15">
      <c r="O1048441" s="36"/>
    </row>
    <row r="1048442" customFormat="1" spans="15:15">
      <c r="O1048442" s="36"/>
    </row>
    <row r="1048443" customFormat="1" spans="15:15">
      <c r="O1048443" s="36"/>
    </row>
    <row r="1048444" customFormat="1" spans="15:15">
      <c r="O1048444" s="36"/>
    </row>
    <row r="1048445" customFormat="1" spans="15:15">
      <c r="O1048445" s="36"/>
    </row>
    <row r="1048446" customFormat="1" spans="15:15">
      <c r="O1048446" s="36"/>
    </row>
    <row r="1048447" customFormat="1" spans="15:15">
      <c r="O1048447" s="36"/>
    </row>
    <row r="1048448" customFormat="1" spans="15:15">
      <c r="O1048448" s="36"/>
    </row>
    <row r="1048449" customFormat="1" spans="15:15">
      <c r="O1048449" s="36"/>
    </row>
    <row r="1048450" customFormat="1" spans="15:15">
      <c r="O1048450" s="36"/>
    </row>
    <row r="1048451" customFormat="1" spans="15:15">
      <c r="O1048451" s="36"/>
    </row>
    <row r="1048452" customFormat="1" spans="15:15">
      <c r="O1048452" s="36"/>
    </row>
    <row r="1048453" customFormat="1" spans="15:15">
      <c r="O1048453" s="36"/>
    </row>
    <row r="1048454" customFormat="1" spans="15:15">
      <c r="O1048454" s="36"/>
    </row>
    <row r="1048455" customFormat="1" spans="15:15">
      <c r="O1048455" s="36"/>
    </row>
    <row r="1048456" customFormat="1" spans="15:15">
      <c r="O1048456" s="36"/>
    </row>
    <row r="1048457" customFormat="1" spans="15:15">
      <c r="O1048457" s="36"/>
    </row>
    <row r="1048458" customFormat="1" spans="15:15">
      <c r="O1048458" s="36"/>
    </row>
    <row r="1048459" customFormat="1" spans="15:15">
      <c r="O1048459" s="36"/>
    </row>
    <row r="1048460" customFormat="1" spans="15:15">
      <c r="O1048460" s="36"/>
    </row>
    <row r="1048461" customFormat="1" spans="15:15">
      <c r="O1048461" s="36"/>
    </row>
    <row r="1048462" customFormat="1" spans="15:15">
      <c r="O1048462" s="36"/>
    </row>
    <row r="1048463" customFormat="1" spans="15:15">
      <c r="O1048463" s="36"/>
    </row>
    <row r="1048464" customFormat="1" spans="15:15">
      <c r="O1048464" s="36"/>
    </row>
    <row r="1048465" customFormat="1" spans="15:15">
      <c r="O1048465" s="36"/>
    </row>
    <row r="1048466" customFormat="1" spans="15:15">
      <c r="O1048466" s="36"/>
    </row>
    <row r="1048467" customFormat="1" spans="15:15">
      <c r="O1048467" s="36"/>
    </row>
    <row r="1048468" customFormat="1" spans="15:15">
      <c r="O1048468" s="36"/>
    </row>
    <row r="1048469" customFormat="1" spans="15:15">
      <c r="O1048469" s="36"/>
    </row>
    <row r="1048470" customFormat="1" spans="15:15">
      <c r="O1048470" s="36"/>
    </row>
    <row r="1048471" customFormat="1" spans="15:15">
      <c r="O1048471" s="36"/>
    </row>
    <row r="1048472" customFormat="1" spans="15:15">
      <c r="O1048472" s="36"/>
    </row>
    <row r="1048473" customFormat="1" spans="15:15">
      <c r="O1048473" s="36"/>
    </row>
    <row r="1048474" customFormat="1" spans="15:15">
      <c r="O1048474" s="36"/>
    </row>
    <row r="1048475" customFormat="1" spans="15:15">
      <c r="O1048475" s="36"/>
    </row>
    <row r="1048476" customFormat="1" spans="15:15">
      <c r="O1048476" s="36"/>
    </row>
    <row r="1048477" customFormat="1" spans="15:15">
      <c r="O1048477" s="36"/>
    </row>
    <row r="1048478" customFormat="1" spans="15:15">
      <c r="O1048478" s="36"/>
    </row>
    <row r="1048479" customFormat="1" spans="15:15">
      <c r="O1048479" s="36"/>
    </row>
    <row r="1048480" customFormat="1" spans="15:15">
      <c r="O1048480" s="36"/>
    </row>
    <row r="1048481" customFormat="1" spans="15:15">
      <c r="O1048481" s="36"/>
    </row>
    <row r="1048482" customFormat="1" spans="15:15">
      <c r="O1048482" s="36"/>
    </row>
    <row r="1048483" customFormat="1" spans="15:15">
      <c r="O1048483" s="36"/>
    </row>
    <row r="1048484" customFormat="1" spans="15:15">
      <c r="O1048484" s="36"/>
    </row>
    <row r="1048485" customFormat="1" spans="15:15">
      <c r="O1048485" s="36"/>
    </row>
    <row r="1048486" customFormat="1" spans="15:15">
      <c r="O1048486" s="36"/>
    </row>
    <row r="1048487" customFormat="1" spans="15:15">
      <c r="O1048487" s="36"/>
    </row>
    <row r="1048488" customFormat="1" spans="15:15">
      <c r="O1048488" s="36"/>
    </row>
    <row r="1048489" customFormat="1" spans="15:15">
      <c r="O1048489" s="36"/>
    </row>
    <row r="1048490" customFormat="1" spans="15:15">
      <c r="O1048490" s="36"/>
    </row>
    <row r="1048491" customFormat="1" spans="15:15">
      <c r="O1048491" s="36"/>
    </row>
    <row r="1048492" customFormat="1" spans="15:15">
      <c r="O1048492" s="36"/>
    </row>
    <row r="1048493" customFormat="1" spans="15:15">
      <c r="O1048493" s="36"/>
    </row>
    <row r="1048494" customFormat="1" spans="15:15">
      <c r="O1048494" s="36"/>
    </row>
    <row r="1048495" customFormat="1" spans="15:15">
      <c r="O1048495" s="36"/>
    </row>
    <row r="1048496" customFormat="1" spans="15:15">
      <c r="O1048496" s="36"/>
    </row>
    <row r="1048497" customFormat="1" spans="15:15">
      <c r="O1048497" s="36"/>
    </row>
    <row r="1048498" customFormat="1" spans="15:15">
      <c r="O1048498" s="36"/>
    </row>
    <row r="1048499" customFormat="1" spans="15:15">
      <c r="O1048499" s="36"/>
    </row>
    <row r="1048500" customFormat="1" spans="15:15">
      <c r="O1048500" s="36"/>
    </row>
    <row r="1048501" customFormat="1" spans="15:15">
      <c r="O1048501" s="36"/>
    </row>
    <row r="1048502" customFormat="1" spans="15:15">
      <c r="O1048502" s="36"/>
    </row>
    <row r="1048503" customFormat="1" spans="15:15">
      <c r="O1048503" s="36"/>
    </row>
    <row r="1048504" customFormat="1" spans="15:15">
      <c r="O1048504" s="36"/>
    </row>
    <row r="1048505" customFormat="1" spans="15:15">
      <c r="O1048505" s="36"/>
    </row>
    <row r="1048506" customFormat="1" spans="15:15">
      <c r="O1048506" s="36"/>
    </row>
    <row r="1048507" customFormat="1" spans="15:15">
      <c r="O1048507" s="36"/>
    </row>
    <row r="1048508" customFormat="1" spans="15:15">
      <c r="O1048508" s="36"/>
    </row>
    <row r="1048509" customFormat="1" spans="15:15">
      <c r="O1048509" s="36"/>
    </row>
    <row r="1048510" customFormat="1" spans="15:15">
      <c r="O1048510" s="36"/>
    </row>
    <row r="1048511" customFormat="1" spans="15:15">
      <c r="O1048511" s="36"/>
    </row>
    <row r="1048512" customFormat="1" spans="15:15">
      <c r="O1048512" s="36"/>
    </row>
    <row r="1048513" customFormat="1" spans="15:15">
      <c r="O1048513" s="36"/>
    </row>
    <row r="1048514" customFormat="1" spans="15:15">
      <c r="O1048514" s="36"/>
    </row>
    <row r="1048515" customFormat="1" spans="15:15">
      <c r="O1048515" s="36"/>
    </row>
    <row r="1048516" customFormat="1" spans="15:15">
      <c r="O1048516" s="36"/>
    </row>
    <row r="1048517" customFormat="1" spans="15:15">
      <c r="O1048517" s="36"/>
    </row>
    <row r="1048518" customFormat="1" spans="15:15">
      <c r="O1048518" s="36"/>
    </row>
    <row r="1048519" customFormat="1" spans="15:15">
      <c r="O1048519" s="36"/>
    </row>
    <row r="1048520" customFormat="1" spans="15:15">
      <c r="O1048520" s="36"/>
    </row>
    <row r="1048521" customFormat="1" spans="15:15">
      <c r="O1048521" s="36"/>
    </row>
    <row r="1048522" customFormat="1" spans="15:15">
      <c r="O1048522" s="36"/>
    </row>
    <row r="1048523" customFormat="1" spans="15:15">
      <c r="O1048523" s="36"/>
    </row>
    <row r="1048524" customFormat="1" spans="15:15">
      <c r="O1048524" s="36"/>
    </row>
    <row r="1048525" customFormat="1" spans="15:15">
      <c r="O1048525" s="36"/>
    </row>
    <row r="1048526" customFormat="1" spans="15:15">
      <c r="O1048526" s="36"/>
    </row>
    <row r="1048527" customFormat="1" spans="15:15">
      <c r="O1048527" s="36"/>
    </row>
    <row r="1048528" customFormat="1" spans="15:15">
      <c r="O1048528" s="36"/>
    </row>
    <row r="1048529" customFormat="1" spans="15:15">
      <c r="O1048529" s="36"/>
    </row>
    <row r="1048530" customFormat="1" spans="15:15">
      <c r="O1048530" s="36"/>
    </row>
    <row r="1048531" customFormat="1" spans="15:15">
      <c r="O1048531" s="36"/>
    </row>
    <row r="1048532" customFormat="1" spans="15:15">
      <c r="O1048532" s="36"/>
    </row>
    <row r="1048533" customFormat="1" spans="15:15">
      <c r="O1048533" s="36"/>
    </row>
    <row r="1048534" customFormat="1" spans="15:15">
      <c r="O1048534" s="36"/>
    </row>
    <row r="1048535" customFormat="1" spans="15:15">
      <c r="O1048535" s="36"/>
    </row>
    <row r="1048536" customFormat="1" spans="15:15">
      <c r="O1048536" s="36"/>
    </row>
    <row r="1048537" customFormat="1" spans="15:15">
      <c r="O1048537" s="36"/>
    </row>
    <row r="1048538" customFormat="1" spans="15:15">
      <c r="O1048538" s="36"/>
    </row>
    <row r="1048539" customFormat="1" spans="15:15">
      <c r="O1048539" s="36"/>
    </row>
    <row r="1048540" customFormat="1" spans="15:15">
      <c r="O1048540" s="36"/>
    </row>
    <row r="1048541" customFormat="1" spans="15:15">
      <c r="O1048541" s="36"/>
    </row>
    <row r="1048542" customFormat="1" spans="15:15">
      <c r="O1048542" s="36"/>
    </row>
    <row r="1048543" customFormat="1" spans="15:15">
      <c r="O1048543" s="36"/>
    </row>
    <row r="1048544" customFormat="1" spans="15:15">
      <c r="O1048544" s="36"/>
    </row>
    <row r="1048545" customFormat="1" spans="15:15">
      <c r="O1048545" s="36"/>
    </row>
    <row r="1048546" customFormat="1" spans="15:15">
      <c r="O1048546" s="36"/>
    </row>
    <row r="1048547" customFormat="1" spans="15:15">
      <c r="O1048547" s="36"/>
    </row>
    <row r="1048548" customFormat="1" spans="15:15">
      <c r="O1048548" s="36"/>
    </row>
    <row r="1048549" customFormat="1" spans="15:15">
      <c r="O1048549" s="36"/>
    </row>
    <row r="1048550" customFormat="1" spans="15:15">
      <c r="O1048550" s="36"/>
    </row>
    <row r="1048551" customFormat="1" spans="15:15">
      <c r="O1048551" s="36"/>
    </row>
    <row r="1048552" customFormat="1" spans="15:15">
      <c r="O1048552" s="36"/>
    </row>
    <row r="1048553" customFormat="1" spans="15:15">
      <c r="O1048553" s="36"/>
    </row>
    <row r="1048554" customFormat="1" spans="15:15">
      <c r="O1048554" s="36"/>
    </row>
    <row r="1048555" customFormat="1" spans="15:15">
      <c r="O1048555" s="36"/>
    </row>
    <row r="1048556" customFormat="1" spans="15:15">
      <c r="O1048556" s="36"/>
    </row>
    <row r="1048557" customFormat="1" spans="15:15">
      <c r="O1048557" s="36"/>
    </row>
    <row r="1048558" customFormat="1" spans="15:15">
      <c r="O1048558" s="36"/>
    </row>
    <row r="1048559" customFormat="1" spans="15:15">
      <c r="O1048559" s="36"/>
    </row>
    <row r="1048560" customFormat="1" spans="15:15">
      <c r="O1048560" s="36"/>
    </row>
    <row r="1048561" customFormat="1" spans="15:15">
      <c r="O1048561" s="36"/>
    </row>
    <row r="1048562" customFormat="1" spans="15:15">
      <c r="O1048562" s="36"/>
    </row>
    <row r="1048563" customFormat="1" spans="15:15">
      <c r="O1048563" s="36"/>
    </row>
    <row r="1048564" customFormat="1" spans="15:15">
      <c r="O1048564" s="36"/>
    </row>
    <row r="1048565" customFormat="1" spans="15:15">
      <c r="O1048565" s="36"/>
    </row>
    <row r="1048566" customFormat="1" spans="15:15">
      <c r="O1048566" s="36"/>
    </row>
    <row r="1048567" customFormat="1" spans="15:15">
      <c r="O1048567" s="36"/>
    </row>
    <row r="1048568" customFormat="1" spans="15:15">
      <c r="O1048568" s="36"/>
    </row>
    <row r="1048569" customFormat="1" spans="15:15">
      <c r="O1048569" s="36"/>
    </row>
    <row r="1048570" customFormat="1" spans="15:15">
      <c r="O1048570" s="36"/>
    </row>
    <row r="1048571" customFormat="1" spans="15:15">
      <c r="O1048571" s="36"/>
    </row>
    <row r="1048572" customFormat="1" spans="15:15">
      <c r="O1048572" s="36"/>
    </row>
    <row r="1048573" customFormat="1" spans="15:15">
      <c r="O1048573" s="36"/>
    </row>
    <row r="1048574" customFormat="1" spans="15:15">
      <c r="O1048574" s="36"/>
    </row>
    <row r="1048575" customFormat="1" spans="15:15">
      <c r="O1048575" s="36"/>
    </row>
    <row r="1048576" customFormat="1" spans="15:15">
      <c r="O1048576" s="36"/>
    </row>
  </sheetData>
  <autoFilter xmlns:etc="http://www.wps.cn/officeDocument/2017/etCustomData" ref="A1:XDS656" etc:filterBottomFollowUsedRange="0">
    <extLst/>
  </autoFilter>
  <pageMargins left="0" right="0" top="0" bottom="0" header="0" footer="0"/>
  <pageSetup paperSize="9" scale="70" orientation="landscape" horizontalDpi="6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opLeftCell="A7" workbookViewId="0">
      <selection activeCell="G16" sqref="G16:G24"/>
    </sheetView>
  </sheetViews>
  <sheetFormatPr defaultColWidth="9.14285714285714" defaultRowHeight="12.75"/>
  <cols>
    <col min="1" max="1" width="4.57142857142857" customWidth="1"/>
    <col min="2" max="2" width="6.71428571428571" customWidth="1"/>
    <col min="3" max="4" width="7.28571428571429" customWidth="1"/>
    <col min="5" max="5" width="11.4285714285714" customWidth="1"/>
    <col min="6" max="6" width="12" customWidth="1"/>
    <col min="7" max="7" width="7.42857142857143" customWidth="1"/>
    <col min="8" max="8" width="11.5714285714286" customWidth="1"/>
    <col min="11" max="11" width="5.85714285714286" customWidth="1"/>
    <col min="12" max="12" width="7.42857142857143" customWidth="1"/>
  </cols>
  <sheetData>
    <row r="1" ht="13.5" spans="1:18">
      <c r="A1" s="1" t="s">
        <v>3045</v>
      </c>
      <c r="B1" s="1" t="s">
        <v>3046</v>
      </c>
      <c r="C1" s="1" t="s">
        <v>3047</v>
      </c>
      <c r="D1" s="1" t="s">
        <v>3048</v>
      </c>
      <c r="E1" s="1" t="s">
        <v>3049</v>
      </c>
      <c r="F1" s="1" t="s">
        <v>3050</v>
      </c>
      <c r="G1" s="1" t="s">
        <v>3051</v>
      </c>
      <c r="H1" s="1" t="s">
        <v>3052</v>
      </c>
      <c r="I1" s="1" t="s">
        <v>3053</v>
      </c>
      <c r="J1" s="1" t="s">
        <v>3054</v>
      </c>
      <c r="K1" s="1" t="s">
        <v>3055</v>
      </c>
      <c r="L1" s="1" t="s">
        <v>3056</v>
      </c>
      <c r="M1" s="1" t="s">
        <v>3057</v>
      </c>
      <c r="N1" s="1" t="s">
        <v>3058</v>
      </c>
      <c r="O1" s="1" t="s">
        <v>3059</v>
      </c>
      <c r="P1" s="1" t="s">
        <v>42</v>
      </c>
      <c r="Q1" s="19"/>
      <c r="R1" s="19"/>
    </row>
    <row r="2" ht="13.5" spans="1:18">
      <c r="A2" s="2">
        <v>4</v>
      </c>
      <c r="B2" s="2" t="s">
        <v>3060</v>
      </c>
      <c r="C2" s="2" t="s">
        <v>3061</v>
      </c>
      <c r="D2" s="3">
        <v>45561</v>
      </c>
      <c r="E2" s="2" t="s">
        <v>3062</v>
      </c>
      <c r="F2" s="2" t="s">
        <v>3063</v>
      </c>
      <c r="G2" s="2" t="s">
        <v>3064</v>
      </c>
      <c r="H2" s="2" t="s">
        <v>3065</v>
      </c>
      <c r="I2" s="2" t="s">
        <v>3066</v>
      </c>
      <c r="J2" s="2">
        <v>204</v>
      </c>
      <c r="K2" s="2">
        <v>5</v>
      </c>
      <c r="L2" s="2">
        <v>12</v>
      </c>
      <c r="M2" s="2">
        <f t="shared" ref="M2:M13" si="0">K2*L2</f>
        <v>60</v>
      </c>
      <c r="N2" s="2" t="s">
        <v>3067</v>
      </c>
      <c r="O2" s="2" t="s">
        <v>3068</v>
      </c>
      <c r="P2" s="2" t="s">
        <v>3069</v>
      </c>
      <c r="Q2" s="20" t="s">
        <v>3070</v>
      </c>
      <c r="R2" s="20" t="s">
        <v>3071</v>
      </c>
    </row>
    <row r="3" ht="13.5" spans="1:18">
      <c r="A3" s="2">
        <v>4</v>
      </c>
      <c r="B3" s="2" t="s">
        <v>3060</v>
      </c>
      <c r="C3" s="2" t="s">
        <v>3061</v>
      </c>
      <c r="D3" s="3">
        <v>45561</v>
      </c>
      <c r="E3" s="2" t="s">
        <v>3072</v>
      </c>
      <c r="F3" s="2" t="s">
        <v>3073</v>
      </c>
      <c r="G3" s="2" t="s">
        <v>3064</v>
      </c>
      <c r="H3" s="2" t="s">
        <v>3074</v>
      </c>
      <c r="I3" s="2" t="s">
        <v>3075</v>
      </c>
      <c r="J3" s="2">
        <v>500</v>
      </c>
      <c r="K3" s="2">
        <v>1</v>
      </c>
      <c r="L3" s="2">
        <v>100</v>
      </c>
      <c r="M3" s="2">
        <f t="shared" si="0"/>
        <v>100</v>
      </c>
      <c r="N3" s="2" t="s">
        <v>3067</v>
      </c>
      <c r="O3" s="2" t="s">
        <v>3068</v>
      </c>
      <c r="P3" s="2" t="s">
        <v>3069</v>
      </c>
      <c r="Q3" s="20" t="s">
        <v>3076</v>
      </c>
      <c r="R3" s="20">
        <f>100*0.25*2+100*0.35*2+1*2*0.45</f>
        <v>120.9</v>
      </c>
    </row>
    <row r="4" ht="13.5" spans="1:18">
      <c r="A4" s="2">
        <v>4</v>
      </c>
      <c r="B4" s="2" t="s">
        <v>3060</v>
      </c>
      <c r="C4" s="2" t="s">
        <v>3061</v>
      </c>
      <c r="D4" s="3">
        <v>45561</v>
      </c>
      <c r="E4" s="2" t="s">
        <v>3077</v>
      </c>
      <c r="F4" s="2" t="s">
        <v>3078</v>
      </c>
      <c r="G4" s="2" t="s">
        <v>3064</v>
      </c>
      <c r="H4" s="2" t="s">
        <v>3079</v>
      </c>
      <c r="I4" s="2" t="s">
        <v>3080</v>
      </c>
      <c r="J4" s="2">
        <v>300</v>
      </c>
      <c r="K4" s="2">
        <v>1</v>
      </c>
      <c r="L4" s="2">
        <v>50</v>
      </c>
      <c r="M4" s="2">
        <f t="shared" si="0"/>
        <v>50</v>
      </c>
      <c r="N4" s="2" t="s">
        <v>3067</v>
      </c>
      <c r="O4" s="2" t="s">
        <v>3068</v>
      </c>
      <c r="P4" s="2" t="s">
        <v>3069</v>
      </c>
      <c r="Q4" s="20" t="s">
        <v>3081</v>
      </c>
      <c r="R4" s="20" t="s">
        <v>3071</v>
      </c>
    </row>
    <row r="5" ht="13.5" spans="1:18">
      <c r="A5" s="2">
        <v>4</v>
      </c>
      <c r="B5" s="2" t="s">
        <v>3060</v>
      </c>
      <c r="C5" s="2" t="s">
        <v>3061</v>
      </c>
      <c r="D5" s="3">
        <v>45561</v>
      </c>
      <c r="E5" s="2" t="s">
        <v>3082</v>
      </c>
      <c r="F5" s="2" t="s">
        <v>3083</v>
      </c>
      <c r="G5" s="2" t="s">
        <v>3064</v>
      </c>
      <c r="H5" s="2" t="s">
        <v>3084</v>
      </c>
      <c r="I5" s="2" t="s">
        <v>3080</v>
      </c>
      <c r="J5" s="2">
        <v>275</v>
      </c>
      <c r="K5" s="2">
        <v>1</v>
      </c>
      <c r="L5" s="2">
        <v>55</v>
      </c>
      <c r="M5" s="2">
        <f t="shared" si="0"/>
        <v>55</v>
      </c>
      <c r="N5" s="2" t="s">
        <v>3067</v>
      </c>
      <c r="O5" s="2" t="s">
        <v>3068</v>
      </c>
      <c r="P5" s="2" t="s">
        <v>3069</v>
      </c>
      <c r="Q5" s="20" t="s">
        <v>3085</v>
      </c>
      <c r="R5" s="20">
        <f>M4*0.25*2+M4*0.35*2+1*0.45*2</f>
        <v>60.9</v>
      </c>
    </row>
    <row r="6" ht="13.5" spans="1:18">
      <c r="A6" s="2">
        <v>4</v>
      </c>
      <c r="B6" s="2" t="s">
        <v>3060</v>
      </c>
      <c r="C6" s="2" t="s">
        <v>3061</v>
      </c>
      <c r="D6" s="3">
        <v>45561</v>
      </c>
      <c r="E6" s="2" t="s">
        <v>3086</v>
      </c>
      <c r="F6" s="2" t="s">
        <v>3087</v>
      </c>
      <c r="G6" s="2" t="s">
        <v>3064</v>
      </c>
      <c r="H6" s="2" t="s">
        <v>3088</v>
      </c>
      <c r="I6" s="2" t="s">
        <v>3080</v>
      </c>
      <c r="J6" s="2">
        <v>165</v>
      </c>
      <c r="K6" s="2">
        <v>1</v>
      </c>
      <c r="L6" s="2">
        <v>55</v>
      </c>
      <c r="M6" s="2">
        <f t="shared" si="0"/>
        <v>55</v>
      </c>
      <c r="N6" s="2" t="s">
        <v>3067</v>
      </c>
      <c r="O6" s="2" t="s">
        <v>3068</v>
      </c>
      <c r="P6" s="2" t="s">
        <v>3069</v>
      </c>
      <c r="Q6" s="20" t="s">
        <v>3089</v>
      </c>
      <c r="R6" s="20">
        <f>M5*0.25*2+M5*0.35*2+1*0.45*2</f>
        <v>66.9</v>
      </c>
    </row>
    <row r="7" ht="13.5" spans="1:18">
      <c r="A7" s="2">
        <v>4</v>
      </c>
      <c r="B7" s="2" t="s">
        <v>3060</v>
      </c>
      <c r="C7" s="2" t="s">
        <v>3061</v>
      </c>
      <c r="D7" s="3">
        <v>45561</v>
      </c>
      <c r="E7" s="2" t="s">
        <v>3090</v>
      </c>
      <c r="F7" s="2" t="s">
        <v>3091</v>
      </c>
      <c r="G7" s="2" t="s">
        <v>3064</v>
      </c>
      <c r="H7" s="2" t="s">
        <v>3092</v>
      </c>
      <c r="I7" s="2" t="s">
        <v>3093</v>
      </c>
      <c r="J7" s="2">
        <v>50</v>
      </c>
      <c r="K7" s="2">
        <v>1</v>
      </c>
      <c r="L7" s="2">
        <v>50</v>
      </c>
      <c r="M7" s="2">
        <f t="shared" si="0"/>
        <v>50</v>
      </c>
      <c r="N7" s="2" t="s">
        <v>3067</v>
      </c>
      <c r="O7" s="2" t="s">
        <v>3068</v>
      </c>
      <c r="P7" s="2" t="s">
        <v>3069</v>
      </c>
      <c r="Q7" s="20" t="s">
        <v>3094</v>
      </c>
      <c r="R7" s="20">
        <f>M6*0.25*2+M6*0.35*2+1*0.45*2</f>
        <v>66.9</v>
      </c>
    </row>
    <row r="8" ht="13.5" spans="1:18">
      <c r="A8" s="2">
        <v>4</v>
      </c>
      <c r="B8" s="2" t="s">
        <v>3060</v>
      </c>
      <c r="C8" s="2" t="s">
        <v>3061</v>
      </c>
      <c r="D8" s="3">
        <v>45561</v>
      </c>
      <c r="E8" s="2" t="s">
        <v>3095</v>
      </c>
      <c r="F8" s="2" t="s">
        <v>3096</v>
      </c>
      <c r="G8" s="2" t="s">
        <v>3064</v>
      </c>
      <c r="H8" s="2" t="s">
        <v>3097</v>
      </c>
      <c r="I8" s="2" t="s">
        <v>3093</v>
      </c>
      <c r="J8" s="2">
        <v>50</v>
      </c>
      <c r="K8" s="2">
        <v>1</v>
      </c>
      <c r="L8" s="2">
        <v>50</v>
      </c>
      <c r="M8" s="2">
        <f t="shared" si="0"/>
        <v>50</v>
      </c>
      <c r="N8" s="2" t="s">
        <v>3067</v>
      </c>
      <c r="O8" s="2" t="s">
        <v>3068</v>
      </c>
      <c r="P8" s="2" t="s">
        <v>3069</v>
      </c>
      <c r="Q8" s="20" t="s">
        <v>3098</v>
      </c>
      <c r="R8" s="20">
        <f>M7*0.25*2+M7*0.35*2+3*0.45*2</f>
        <v>62.7</v>
      </c>
    </row>
    <row r="9" ht="13.5" spans="1:18">
      <c r="A9" s="2">
        <v>4</v>
      </c>
      <c r="B9" s="2" t="s">
        <v>3060</v>
      </c>
      <c r="C9" s="2" t="s">
        <v>3061</v>
      </c>
      <c r="D9" s="3">
        <v>45561</v>
      </c>
      <c r="E9" s="2" t="s">
        <v>3099</v>
      </c>
      <c r="F9" s="2" t="s">
        <v>3100</v>
      </c>
      <c r="G9" s="2" t="s">
        <v>3064</v>
      </c>
      <c r="H9" s="2" t="s">
        <v>3101</v>
      </c>
      <c r="I9" s="2" t="s">
        <v>3102</v>
      </c>
      <c r="J9" s="2">
        <v>50</v>
      </c>
      <c r="K9" s="2">
        <v>3</v>
      </c>
      <c r="L9" s="2">
        <v>10</v>
      </c>
      <c r="M9" s="2">
        <f t="shared" si="0"/>
        <v>30</v>
      </c>
      <c r="N9" s="2" t="s">
        <v>3067</v>
      </c>
      <c r="O9" s="2" t="s">
        <v>3068</v>
      </c>
      <c r="P9" s="2" t="s">
        <v>3069</v>
      </c>
      <c r="Q9" s="20" t="s">
        <v>3103</v>
      </c>
      <c r="R9" s="20" t="s">
        <v>3071</v>
      </c>
    </row>
    <row r="10" ht="13.5" spans="1:18">
      <c r="A10" s="2">
        <v>4</v>
      </c>
      <c r="B10" s="2" t="s">
        <v>3060</v>
      </c>
      <c r="C10" s="2" t="s">
        <v>3061</v>
      </c>
      <c r="D10" s="3">
        <v>45561</v>
      </c>
      <c r="E10" s="2" t="s">
        <v>3104</v>
      </c>
      <c r="F10" s="2" t="s">
        <v>3105</v>
      </c>
      <c r="G10" s="2" t="s">
        <v>3064</v>
      </c>
      <c r="H10" s="2" t="s">
        <v>3106</v>
      </c>
      <c r="I10" s="2" t="s">
        <v>3107</v>
      </c>
      <c r="J10" s="2">
        <v>90</v>
      </c>
      <c r="K10" s="2">
        <v>4</v>
      </c>
      <c r="L10" s="2">
        <v>10</v>
      </c>
      <c r="M10" s="2">
        <f t="shared" si="0"/>
        <v>40</v>
      </c>
      <c r="N10" s="2" t="s">
        <v>3067</v>
      </c>
      <c r="O10" s="2" t="s">
        <v>3068</v>
      </c>
      <c r="P10" s="2" t="s">
        <v>3069</v>
      </c>
      <c r="Q10" s="20" t="s">
        <v>3108</v>
      </c>
      <c r="R10" s="20">
        <f>M10*0.25*2+M10*0.35*2+4*2*0.45</f>
        <v>51.6</v>
      </c>
    </row>
    <row r="11" ht="13.5" spans="1:18">
      <c r="A11" s="2">
        <v>4</v>
      </c>
      <c r="B11" s="2" t="s">
        <v>3060</v>
      </c>
      <c r="C11" s="2" t="s">
        <v>3061</v>
      </c>
      <c r="D11" s="3">
        <v>45561</v>
      </c>
      <c r="E11" s="2" t="s">
        <v>3109</v>
      </c>
      <c r="F11" s="2" t="s">
        <v>3110</v>
      </c>
      <c r="G11" s="2" t="s">
        <v>3064</v>
      </c>
      <c r="H11" s="2" t="s">
        <v>3111</v>
      </c>
      <c r="I11" s="2" t="s">
        <v>3112</v>
      </c>
      <c r="J11" s="2">
        <v>60</v>
      </c>
      <c r="K11" s="2">
        <v>2</v>
      </c>
      <c r="L11" s="2">
        <v>10</v>
      </c>
      <c r="M11" s="2">
        <f t="shared" si="0"/>
        <v>20</v>
      </c>
      <c r="N11" s="2" t="s">
        <v>3067</v>
      </c>
      <c r="O11" s="2" t="s">
        <v>3068</v>
      </c>
      <c r="P11" s="2" t="s">
        <v>3069</v>
      </c>
      <c r="Q11" s="20" t="s">
        <v>3113</v>
      </c>
      <c r="R11" s="20" t="s">
        <v>3071</v>
      </c>
    </row>
    <row r="12" ht="13.5" spans="1:18">
      <c r="A12" s="2">
        <v>4</v>
      </c>
      <c r="B12" s="2" t="s">
        <v>3060</v>
      </c>
      <c r="C12" s="2" t="s">
        <v>3061</v>
      </c>
      <c r="D12" s="3">
        <v>45561</v>
      </c>
      <c r="E12" s="2" t="s">
        <v>3114</v>
      </c>
      <c r="F12" s="2" t="s">
        <v>3115</v>
      </c>
      <c r="G12" s="2" t="s">
        <v>3064</v>
      </c>
      <c r="H12" s="2" t="s">
        <v>3116</v>
      </c>
      <c r="I12" s="2" t="s">
        <v>3117</v>
      </c>
      <c r="J12" s="2">
        <v>191</v>
      </c>
      <c r="K12" s="2">
        <v>3</v>
      </c>
      <c r="L12" s="2">
        <v>10</v>
      </c>
      <c r="M12" s="2">
        <f t="shared" si="0"/>
        <v>30</v>
      </c>
      <c r="N12" s="2" t="s">
        <v>3067</v>
      </c>
      <c r="O12" s="2" t="s">
        <v>3068</v>
      </c>
      <c r="P12" s="2" t="s">
        <v>3069</v>
      </c>
      <c r="Q12" s="20" t="s">
        <v>3118</v>
      </c>
      <c r="R12" s="20"/>
    </row>
    <row r="13" ht="13.5" spans="1:18">
      <c r="A13" s="2">
        <v>4</v>
      </c>
      <c r="B13" s="2" t="s">
        <v>3060</v>
      </c>
      <c r="C13" s="2" t="s">
        <v>3061</v>
      </c>
      <c r="D13" s="3">
        <v>45561</v>
      </c>
      <c r="E13" s="2" t="s">
        <v>3119</v>
      </c>
      <c r="F13" s="2" t="s">
        <v>3120</v>
      </c>
      <c r="G13" s="2" t="s">
        <v>3064</v>
      </c>
      <c r="H13" s="2" t="s">
        <v>3121</v>
      </c>
      <c r="I13" s="2" t="s">
        <v>3117</v>
      </c>
      <c r="J13" s="2">
        <v>80</v>
      </c>
      <c r="K13" s="2">
        <v>3</v>
      </c>
      <c r="L13" s="2">
        <v>10</v>
      </c>
      <c r="M13" s="2">
        <f t="shared" si="0"/>
        <v>30</v>
      </c>
      <c r="N13" s="2" t="s">
        <v>3067</v>
      </c>
      <c r="O13" s="2" t="s">
        <v>3068</v>
      </c>
      <c r="P13" s="2" t="s">
        <v>3069</v>
      </c>
      <c r="Q13" s="20" t="s">
        <v>3122</v>
      </c>
      <c r="R13" s="20"/>
    </row>
    <row r="15" ht="14.25" spans="1:11">
      <c r="A15" s="4" t="s">
        <v>3049</v>
      </c>
      <c r="B15" s="4" t="s">
        <v>3123</v>
      </c>
      <c r="C15" s="4" t="s">
        <v>3124</v>
      </c>
      <c r="D15" s="4" t="s">
        <v>3052</v>
      </c>
      <c r="E15" s="4" t="s">
        <v>3125</v>
      </c>
      <c r="F15" s="4" t="s">
        <v>3055</v>
      </c>
      <c r="G15" s="4" t="s">
        <v>3057</v>
      </c>
      <c r="H15" s="5" t="s">
        <v>3058</v>
      </c>
      <c r="I15" s="4" t="s">
        <v>3059</v>
      </c>
      <c r="J15" s="4" t="s">
        <v>3126</v>
      </c>
      <c r="K15" s="4" t="s">
        <v>42</v>
      </c>
    </row>
    <row r="16" ht="14.25" spans="1:11">
      <c r="A16" s="6" t="s">
        <v>3127</v>
      </c>
      <c r="B16" s="6" t="s">
        <v>3128</v>
      </c>
      <c r="C16" s="7" t="s">
        <v>3129</v>
      </c>
      <c r="D16" s="8" t="s">
        <v>3130</v>
      </c>
      <c r="E16" s="9">
        <v>80</v>
      </c>
      <c r="F16" s="9">
        <v>1</v>
      </c>
      <c r="G16" s="9">
        <f t="shared" ref="G16:G39" si="1">F16*E16</f>
        <v>80</v>
      </c>
      <c r="H16" s="10" t="s">
        <v>3131</v>
      </c>
      <c r="I16" s="9" t="s">
        <v>3132</v>
      </c>
      <c r="J16" s="9" t="s">
        <v>3133</v>
      </c>
      <c r="K16" s="7" t="s">
        <v>3134</v>
      </c>
    </row>
    <row r="17" ht="14.25" spans="1:11">
      <c r="A17" s="6" t="s">
        <v>3135</v>
      </c>
      <c r="B17" s="6" t="s">
        <v>3136</v>
      </c>
      <c r="C17" s="7" t="s">
        <v>3137</v>
      </c>
      <c r="D17" s="8" t="s">
        <v>3138</v>
      </c>
      <c r="E17" s="9">
        <v>16</v>
      </c>
      <c r="F17" s="9">
        <v>4</v>
      </c>
      <c r="G17" s="9">
        <f t="shared" si="1"/>
        <v>64</v>
      </c>
      <c r="H17" s="10" t="s">
        <v>3131</v>
      </c>
      <c r="I17" s="9" t="s">
        <v>3132</v>
      </c>
      <c r="J17" s="9" t="s">
        <v>3133</v>
      </c>
      <c r="K17" s="7" t="s">
        <v>3139</v>
      </c>
    </row>
    <row r="18" ht="14.25" spans="1:11">
      <c r="A18" s="6" t="s">
        <v>3140</v>
      </c>
      <c r="B18" s="6" t="s">
        <v>3141</v>
      </c>
      <c r="C18" s="7" t="s">
        <v>3142</v>
      </c>
      <c r="D18" s="8" t="s">
        <v>3143</v>
      </c>
      <c r="E18" s="9">
        <v>36</v>
      </c>
      <c r="F18" s="9">
        <v>2</v>
      </c>
      <c r="G18" s="9">
        <f t="shared" si="1"/>
        <v>72</v>
      </c>
      <c r="H18" s="10" t="s">
        <v>3131</v>
      </c>
      <c r="I18" s="9" t="s">
        <v>3132</v>
      </c>
      <c r="J18" s="9" t="s">
        <v>3133</v>
      </c>
      <c r="K18" s="7" t="s">
        <v>3144</v>
      </c>
    </row>
    <row r="19" ht="14.25" spans="1:11">
      <c r="A19" s="6" t="s">
        <v>3145</v>
      </c>
      <c r="B19" s="6" t="s">
        <v>3146</v>
      </c>
      <c r="C19" s="7" t="s">
        <v>3147</v>
      </c>
      <c r="D19" s="8" t="s">
        <v>3148</v>
      </c>
      <c r="E19" s="9">
        <v>40</v>
      </c>
      <c r="F19" s="9">
        <v>2</v>
      </c>
      <c r="G19" s="9">
        <f t="shared" si="1"/>
        <v>80</v>
      </c>
      <c r="H19" s="10" t="s">
        <v>3131</v>
      </c>
      <c r="I19" s="9" t="s">
        <v>3132</v>
      </c>
      <c r="J19" s="9" t="s">
        <v>3133</v>
      </c>
      <c r="K19" s="7" t="s">
        <v>3149</v>
      </c>
    </row>
    <row r="20" ht="14.25" spans="1:11">
      <c r="A20" s="6" t="s">
        <v>3150</v>
      </c>
      <c r="B20" s="6" t="s">
        <v>3151</v>
      </c>
      <c r="C20" s="7" t="s">
        <v>3152</v>
      </c>
      <c r="D20" s="8" t="s">
        <v>3153</v>
      </c>
      <c r="E20" s="9">
        <v>30</v>
      </c>
      <c r="F20" s="9">
        <v>2</v>
      </c>
      <c r="G20" s="9">
        <f t="shared" si="1"/>
        <v>60</v>
      </c>
      <c r="H20" s="10" t="s">
        <v>3131</v>
      </c>
      <c r="I20" s="9" t="s">
        <v>3132</v>
      </c>
      <c r="J20" s="9" t="s">
        <v>3133</v>
      </c>
      <c r="K20" s="7" t="s">
        <v>3154</v>
      </c>
    </row>
    <row r="21" ht="57" spans="1:11">
      <c r="A21" s="6" t="s">
        <v>3155</v>
      </c>
      <c r="B21" s="6" t="s">
        <v>3156</v>
      </c>
      <c r="C21" s="11" t="s">
        <v>3157</v>
      </c>
      <c r="D21" s="12" t="s">
        <v>3158</v>
      </c>
      <c r="E21" s="9">
        <v>50</v>
      </c>
      <c r="F21" s="9">
        <v>2</v>
      </c>
      <c r="G21" s="9">
        <f t="shared" si="1"/>
        <v>100</v>
      </c>
      <c r="H21" s="10" t="s">
        <v>3131</v>
      </c>
      <c r="I21" s="9" t="s">
        <v>3132</v>
      </c>
      <c r="J21" s="9" t="s">
        <v>3133</v>
      </c>
      <c r="K21" s="7" t="s">
        <v>3159</v>
      </c>
    </row>
    <row r="22" ht="14.25" spans="1:11">
      <c r="A22" s="6" t="s">
        <v>3160</v>
      </c>
      <c r="B22" s="6" t="s">
        <v>3161</v>
      </c>
      <c r="C22" s="7" t="s">
        <v>3162</v>
      </c>
      <c r="D22" s="8" t="s">
        <v>3163</v>
      </c>
      <c r="E22" s="9">
        <v>100</v>
      </c>
      <c r="F22" s="9">
        <v>2</v>
      </c>
      <c r="G22" s="9">
        <f t="shared" si="1"/>
        <v>200</v>
      </c>
      <c r="H22" s="10" t="s">
        <v>3131</v>
      </c>
      <c r="I22" s="9" t="s">
        <v>3132</v>
      </c>
      <c r="J22" s="9" t="s">
        <v>3133</v>
      </c>
      <c r="K22" s="7" t="s">
        <v>3164</v>
      </c>
    </row>
    <row r="23" ht="14.25" spans="1:11">
      <c r="A23" s="6" t="s">
        <v>3165</v>
      </c>
      <c r="B23" s="6" t="s">
        <v>3166</v>
      </c>
      <c r="C23" s="7" t="s">
        <v>3167</v>
      </c>
      <c r="D23" s="8" t="s">
        <v>3168</v>
      </c>
      <c r="E23" s="9">
        <v>40</v>
      </c>
      <c r="F23" s="9">
        <v>1</v>
      </c>
      <c r="G23" s="9">
        <f t="shared" si="1"/>
        <v>40</v>
      </c>
      <c r="H23" s="10" t="s">
        <v>3131</v>
      </c>
      <c r="I23" s="9" t="s">
        <v>3132</v>
      </c>
      <c r="J23" s="9" t="s">
        <v>3133</v>
      </c>
      <c r="K23" s="7" t="s">
        <v>3169</v>
      </c>
    </row>
    <row r="24" ht="14.25" spans="1:11">
      <c r="A24" s="6" t="s">
        <v>3170</v>
      </c>
      <c r="B24" s="6" t="s">
        <v>3151</v>
      </c>
      <c r="C24" s="7" t="s">
        <v>3171</v>
      </c>
      <c r="D24" s="8" t="s">
        <v>3172</v>
      </c>
      <c r="E24" s="9">
        <v>30</v>
      </c>
      <c r="F24" s="9">
        <v>3</v>
      </c>
      <c r="G24" s="9">
        <f t="shared" si="1"/>
        <v>90</v>
      </c>
      <c r="H24" s="10" t="s">
        <v>3131</v>
      </c>
      <c r="I24" s="9" t="s">
        <v>3132</v>
      </c>
      <c r="J24" s="9" t="s">
        <v>3133</v>
      </c>
      <c r="K24" s="7" t="s">
        <v>3173</v>
      </c>
    </row>
    <row r="25" ht="14.25" spans="1:11">
      <c r="A25" s="6" t="s">
        <v>3174</v>
      </c>
      <c r="B25" s="6" t="s">
        <v>3175</v>
      </c>
      <c r="C25" s="13" t="s">
        <v>3176</v>
      </c>
      <c r="D25" s="14" t="s">
        <v>3177</v>
      </c>
      <c r="E25" s="15">
        <v>10</v>
      </c>
      <c r="F25" s="15">
        <v>8</v>
      </c>
      <c r="G25" s="15">
        <f t="shared" si="1"/>
        <v>80</v>
      </c>
      <c r="H25" s="15" t="s">
        <v>3178</v>
      </c>
      <c r="I25" s="15" t="s">
        <v>3179</v>
      </c>
      <c r="J25" s="15" t="s">
        <v>3133</v>
      </c>
      <c r="K25" s="13" t="s">
        <v>3180</v>
      </c>
    </row>
    <row r="26" ht="14.25" spans="1:11">
      <c r="A26" s="6" t="s">
        <v>3181</v>
      </c>
      <c r="B26" s="6" t="s">
        <v>3175</v>
      </c>
      <c r="C26" s="13" t="s">
        <v>3182</v>
      </c>
      <c r="D26" s="14" t="s">
        <v>3183</v>
      </c>
      <c r="E26" s="15">
        <v>10</v>
      </c>
      <c r="F26" s="15">
        <v>3</v>
      </c>
      <c r="G26" s="15">
        <f t="shared" si="1"/>
        <v>30</v>
      </c>
      <c r="H26" s="15" t="s">
        <v>3178</v>
      </c>
      <c r="I26" s="15" t="s">
        <v>3179</v>
      </c>
      <c r="J26" s="15" t="s">
        <v>3133</v>
      </c>
      <c r="K26" s="13" t="s">
        <v>3184</v>
      </c>
    </row>
    <row r="27" ht="14.25" spans="1:11">
      <c r="A27" s="6" t="s">
        <v>3185</v>
      </c>
      <c r="B27" s="6" t="s">
        <v>3175</v>
      </c>
      <c r="C27" s="13" t="s">
        <v>3186</v>
      </c>
      <c r="D27" s="14" t="s">
        <v>3187</v>
      </c>
      <c r="E27" s="15">
        <v>10</v>
      </c>
      <c r="F27" s="15">
        <v>1</v>
      </c>
      <c r="G27" s="15">
        <f t="shared" si="1"/>
        <v>10</v>
      </c>
      <c r="H27" s="15" t="s">
        <v>3178</v>
      </c>
      <c r="I27" s="15" t="s">
        <v>3179</v>
      </c>
      <c r="J27" s="15" t="s">
        <v>3133</v>
      </c>
      <c r="K27" s="13" t="s">
        <v>3188</v>
      </c>
    </row>
    <row r="28" ht="14.25" spans="1:11">
      <c r="A28" s="6" t="s">
        <v>3189</v>
      </c>
      <c r="B28" s="6" t="s">
        <v>3190</v>
      </c>
      <c r="C28" s="13" t="s">
        <v>3191</v>
      </c>
      <c r="D28" s="14" t="s">
        <v>3192</v>
      </c>
      <c r="E28" s="15">
        <v>4</v>
      </c>
      <c r="F28" s="15">
        <v>5</v>
      </c>
      <c r="G28" s="15">
        <f t="shared" si="1"/>
        <v>20</v>
      </c>
      <c r="H28" s="15" t="s">
        <v>3178</v>
      </c>
      <c r="I28" s="15" t="s">
        <v>3179</v>
      </c>
      <c r="J28" s="15" t="s">
        <v>3133</v>
      </c>
      <c r="K28" s="13" t="s">
        <v>3193</v>
      </c>
    </row>
    <row r="29" ht="14.25" spans="1:11">
      <c r="A29" s="6" t="s">
        <v>3194</v>
      </c>
      <c r="B29" s="6" t="s">
        <v>3195</v>
      </c>
      <c r="C29" s="13" t="s">
        <v>3196</v>
      </c>
      <c r="D29" s="14" t="s">
        <v>3197</v>
      </c>
      <c r="E29" s="15">
        <v>3</v>
      </c>
      <c r="F29" s="15">
        <v>6</v>
      </c>
      <c r="G29" s="15">
        <f t="shared" si="1"/>
        <v>18</v>
      </c>
      <c r="H29" s="15" t="s">
        <v>3178</v>
      </c>
      <c r="I29" s="15" t="s">
        <v>3179</v>
      </c>
      <c r="J29" s="15" t="s">
        <v>3133</v>
      </c>
      <c r="K29" s="13" t="s">
        <v>3198</v>
      </c>
    </row>
    <row r="30" ht="14.25" spans="1:11">
      <c r="A30" s="6" t="s">
        <v>3199</v>
      </c>
      <c r="B30" s="6" t="s">
        <v>3190</v>
      </c>
      <c r="C30" s="13" t="s">
        <v>3200</v>
      </c>
      <c r="D30" s="14" t="s">
        <v>3201</v>
      </c>
      <c r="E30" s="15">
        <v>4</v>
      </c>
      <c r="F30" s="15">
        <v>2</v>
      </c>
      <c r="G30" s="15">
        <f t="shared" si="1"/>
        <v>8</v>
      </c>
      <c r="H30" s="15" t="s">
        <v>3178</v>
      </c>
      <c r="I30" s="15" t="s">
        <v>3179</v>
      </c>
      <c r="J30" s="15" t="s">
        <v>3133</v>
      </c>
      <c r="K30" s="13" t="s">
        <v>3202</v>
      </c>
    </row>
    <row r="31" ht="14.25" spans="1:11">
      <c r="A31" s="6" t="s">
        <v>3203</v>
      </c>
      <c r="B31" s="6" t="s">
        <v>3190</v>
      </c>
      <c r="C31" s="13" t="s">
        <v>3204</v>
      </c>
      <c r="D31" s="14" t="s">
        <v>3205</v>
      </c>
      <c r="E31" s="15">
        <v>4</v>
      </c>
      <c r="F31" s="15">
        <v>3</v>
      </c>
      <c r="G31" s="15">
        <f t="shared" si="1"/>
        <v>12</v>
      </c>
      <c r="H31" s="15" t="s">
        <v>3178</v>
      </c>
      <c r="I31" s="15" t="s">
        <v>3179</v>
      </c>
      <c r="J31" s="15" t="s">
        <v>3133</v>
      </c>
      <c r="K31" s="13" t="s">
        <v>3206</v>
      </c>
    </row>
    <row r="32" ht="14.25" spans="1:11">
      <c r="A32" s="6" t="s">
        <v>3207</v>
      </c>
      <c r="B32" s="6" t="s">
        <v>3208</v>
      </c>
      <c r="C32" s="16" t="s">
        <v>3209</v>
      </c>
      <c r="D32" s="17" t="s">
        <v>3210</v>
      </c>
      <c r="E32" s="18">
        <v>100</v>
      </c>
      <c r="F32" s="18">
        <v>1</v>
      </c>
      <c r="G32" s="18">
        <f t="shared" si="1"/>
        <v>100</v>
      </c>
      <c r="H32" s="18" t="s">
        <v>3211</v>
      </c>
      <c r="I32" s="18" t="s">
        <v>3212</v>
      </c>
      <c r="J32" s="18" t="s">
        <v>3133</v>
      </c>
      <c r="K32" s="16" t="s">
        <v>3134</v>
      </c>
    </row>
    <row r="33" ht="14.25" spans="1:11">
      <c r="A33" s="6" t="s">
        <v>3213</v>
      </c>
      <c r="B33" s="6" t="s">
        <v>3214</v>
      </c>
      <c r="C33" s="16" t="s">
        <v>3215</v>
      </c>
      <c r="D33" s="17" t="s">
        <v>3216</v>
      </c>
      <c r="E33" s="18">
        <v>6</v>
      </c>
      <c r="F33" s="18">
        <v>5</v>
      </c>
      <c r="G33" s="18">
        <f t="shared" si="1"/>
        <v>30</v>
      </c>
      <c r="H33" s="18" t="s">
        <v>3211</v>
      </c>
      <c r="I33" s="18" t="s">
        <v>3212</v>
      </c>
      <c r="J33" s="18" t="s">
        <v>3133</v>
      </c>
      <c r="K33" s="16" t="s">
        <v>3217</v>
      </c>
    </row>
    <row r="34" ht="14.25" spans="1:11">
      <c r="A34" s="6" t="s">
        <v>3218</v>
      </c>
      <c r="B34" s="6" t="s">
        <v>3214</v>
      </c>
      <c r="C34" s="16" t="s">
        <v>3219</v>
      </c>
      <c r="D34" s="17" t="s">
        <v>3220</v>
      </c>
      <c r="E34" s="18">
        <v>6</v>
      </c>
      <c r="F34" s="18">
        <v>5</v>
      </c>
      <c r="G34" s="18">
        <f t="shared" si="1"/>
        <v>30</v>
      </c>
      <c r="H34" s="18" t="s">
        <v>3211</v>
      </c>
      <c r="I34" s="18" t="s">
        <v>3212</v>
      </c>
      <c r="J34" s="18" t="s">
        <v>3133</v>
      </c>
      <c r="K34" s="16" t="s">
        <v>3221</v>
      </c>
    </row>
    <row r="35" ht="14.25" spans="1:11">
      <c r="A35" s="6" t="s">
        <v>3222</v>
      </c>
      <c r="B35" s="6" t="s">
        <v>3214</v>
      </c>
      <c r="C35" s="16" t="s">
        <v>3223</v>
      </c>
      <c r="D35" s="17" t="s">
        <v>3224</v>
      </c>
      <c r="E35" s="18">
        <v>24</v>
      </c>
      <c r="F35" s="18">
        <v>3</v>
      </c>
      <c r="G35" s="18">
        <f t="shared" si="1"/>
        <v>72</v>
      </c>
      <c r="H35" s="18" t="s">
        <v>3211</v>
      </c>
      <c r="I35" s="18" t="s">
        <v>3212</v>
      </c>
      <c r="J35" s="18" t="s">
        <v>3133</v>
      </c>
      <c r="K35" s="16" t="s">
        <v>3225</v>
      </c>
    </row>
    <row r="36" ht="14.25" spans="1:11">
      <c r="A36" s="6" t="s">
        <v>3226</v>
      </c>
      <c r="B36" s="6" t="s">
        <v>3227</v>
      </c>
      <c r="C36" s="16" t="s">
        <v>3228</v>
      </c>
      <c r="D36" s="17" t="s">
        <v>3229</v>
      </c>
      <c r="E36" s="18">
        <v>6</v>
      </c>
      <c r="F36" s="18">
        <v>3</v>
      </c>
      <c r="G36" s="18">
        <f t="shared" si="1"/>
        <v>18</v>
      </c>
      <c r="H36" s="18" t="s">
        <v>3211</v>
      </c>
      <c r="I36" s="18" t="s">
        <v>3212</v>
      </c>
      <c r="J36" s="18" t="s">
        <v>3133</v>
      </c>
      <c r="K36" s="16" t="s">
        <v>3230</v>
      </c>
    </row>
    <row r="37" ht="14.25" spans="1:11">
      <c r="A37" s="6" t="s">
        <v>3231</v>
      </c>
      <c r="B37" s="6" t="s">
        <v>3227</v>
      </c>
      <c r="C37" s="16" t="s">
        <v>3232</v>
      </c>
      <c r="D37" s="17" t="s">
        <v>3233</v>
      </c>
      <c r="E37" s="18">
        <v>6</v>
      </c>
      <c r="F37" s="18">
        <v>3</v>
      </c>
      <c r="G37" s="18">
        <f t="shared" si="1"/>
        <v>18</v>
      </c>
      <c r="H37" s="18" t="s">
        <v>3211</v>
      </c>
      <c r="I37" s="18" t="s">
        <v>3212</v>
      </c>
      <c r="J37" s="18" t="s">
        <v>3133</v>
      </c>
      <c r="K37" s="16" t="s">
        <v>3234</v>
      </c>
    </row>
    <row r="38" ht="14.25" spans="1:11">
      <c r="A38" s="6" t="s">
        <v>3235</v>
      </c>
      <c r="B38" s="6" t="s">
        <v>3227</v>
      </c>
      <c r="C38" s="16" t="s">
        <v>3236</v>
      </c>
      <c r="D38" s="17" t="s">
        <v>3237</v>
      </c>
      <c r="E38" s="18">
        <v>6</v>
      </c>
      <c r="F38" s="18">
        <v>3</v>
      </c>
      <c r="G38" s="18">
        <f t="shared" si="1"/>
        <v>18</v>
      </c>
      <c r="H38" s="18" t="s">
        <v>3211</v>
      </c>
      <c r="I38" s="18" t="s">
        <v>3212</v>
      </c>
      <c r="J38" s="18" t="s">
        <v>3133</v>
      </c>
      <c r="K38" s="16" t="s">
        <v>3238</v>
      </c>
    </row>
    <row r="39" ht="14.25" spans="1:11">
      <c r="A39" s="6" t="s">
        <v>3239</v>
      </c>
      <c r="B39" s="6" t="s">
        <v>3227</v>
      </c>
      <c r="C39" s="16" t="s">
        <v>3240</v>
      </c>
      <c r="D39" s="17" t="s">
        <v>3241</v>
      </c>
      <c r="E39" s="18">
        <v>6</v>
      </c>
      <c r="F39" s="18">
        <v>3</v>
      </c>
      <c r="G39" s="18">
        <f t="shared" si="1"/>
        <v>18</v>
      </c>
      <c r="H39" s="18" t="s">
        <v>3211</v>
      </c>
      <c r="I39" s="18" t="s">
        <v>3212</v>
      </c>
      <c r="J39" s="18" t="s">
        <v>3133</v>
      </c>
      <c r="K39" s="16" t="s">
        <v>3242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T006明细</vt:lpstr>
      <vt:lpstr>FBA产品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刘程英</cp:lastModifiedBy>
  <cp:revision>0</cp:revision>
  <dcterms:created xsi:type="dcterms:W3CDTF">2024-08-05T15:44:00Z</dcterms:created>
  <dcterms:modified xsi:type="dcterms:W3CDTF">2024-11-13T03:24:41Z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6AD8571C74DA48EAB24D727EABE631D6_13</vt:lpwstr>
  </property>
  <property fmtid="{D5CDD505-2E9C-101B-9397-08002B2CF9AE}" pid="3" name="KSOProductBuildVer">
    <vt:lpwstr>2052-12.1.0.18608</vt:lpwstr>
  </property>
</Properties>
</file>