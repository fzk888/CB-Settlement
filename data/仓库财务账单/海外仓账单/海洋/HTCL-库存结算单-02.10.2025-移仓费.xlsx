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51"/>
  </bookViews>
  <sheets>
    <sheet name="帐单" sheetId="2" r:id="rId1"/>
    <sheet name="SKU 详情" sheetId="1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<sst xmlns="http://schemas.openxmlformats.org/spreadsheetml/2006/main" count="55" uniqueCount="54">
  <si>
    <r>
      <rPr>
        <b/>
        <sz val="24"/>
        <color theme="0"/>
        <rFont val="SimSun"/>
        <charset val="134"/>
      </rPr>
      <t>海洋国际</t>
    </r>
    <r>
      <rPr>
        <b/>
        <sz val="24"/>
        <color theme="0"/>
        <rFont val="Times New Roman"/>
        <charset val="134"/>
      </rPr>
      <t xml:space="preserve"> </t>
    </r>
    <r>
      <rPr>
        <b/>
        <sz val="24"/>
        <color theme="0"/>
        <rFont val="SimSun"/>
        <charset val="134"/>
      </rPr>
      <t>英国</t>
    </r>
    <r>
      <rPr>
        <b/>
        <sz val="24"/>
        <color theme="0"/>
        <rFont val="Times New Roman"/>
        <charset val="134"/>
      </rPr>
      <t xml:space="preserve"> </t>
    </r>
    <r>
      <rPr>
        <b/>
        <sz val="24"/>
        <color theme="0"/>
        <rFont val="SimSun"/>
        <charset val="134"/>
      </rPr>
      <t>海运卸柜　</t>
    </r>
    <r>
      <rPr>
        <b/>
        <sz val="24"/>
        <color theme="0"/>
        <rFont val="Times New Roman"/>
        <charset val="134"/>
      </rPr>
      <t>FBA</t>
    </r>
    <r>
      <rPr>
        <b/>
        <sz val="24"/>
        <color theme="0"/>
        <rFont val="SimSun"/>
        <charset val="134"/>
      </rPr>
      <t>转运 FBA退货换标</t>
    </r>
  </si>
  <si>
    <t>本表格用于计算功能，确切报价请参考报价单和包车价格表</t>
  </si>
  <si>
    <r>
      <rPr>
        <sz val="16"/>
        <color rgb="FF000000"/>
        <rFont val="SimSun"/>
        <charset val="134"/>
      </rPr>
      <t xml:space="preserve">              HTCL orders</t>
    </r>
    <r>
      <rPr>
        <sz val="16"/>
        <color rgb="FF000000"/>
        <rFont val="Times New Roman"/>
        <charset val="134"/>
      </rPr>
      <t xml:space="preserve"> -02.10.2025</t>
    </r>
  </si>
  <si>
    <t>Description</t>
  </si>
  <si>
    <t>Day</t>
  </si>
  <si>
    <t>Qty</t>
  </si>
  <si>
    <t>Rate</t>
  </si>
  <si>
    <t>VAT %</t>
  </si>
  <si>
    <t>VAT</t>
  </si>
  <si>
    <t>Gross</t>
  </si>
  <si>
    <t>小结</t>
  </si>
  <si>
    <t>已打款</t>
  </si>
  <si>
    <t xml:space="preserve">小结 </t>
  </si>
  <si>
    <t xml:space="preserve">欠款 </t>
  </si>
  <si>
    <t>预交费用</t>
  </si>
  <si>
    <t>装箱单</t>
  </si>
  <si>
    <r>
      <rPr>
        <sz val="16"/>
        <color rgb="FF000000"/>
        <rFont val="SimSun"/>
        <charset val="134"/>
      </rPr>
      <t>重新打托费</t>
    </r>
    <r>
      <rPr>
        <sz val="16"/>
        <color rgb="FF000000"/>
        <rFont val="Times New Roman"/>
        <charset val="134"/>
      </rPr>
      <t xml:space="preserve"> </t>
    </r>
  </si>
  <si>
    <t xml:space="preserve">出仓 拣货费 </t>
  </si>
  <si>
    <t>仓租</t>
  </si>
  <si>
    <r>
      <rPr>
        <sz val="12"/>
        <color theme="1"/>
        <rFont val="SimSun"/>
        <charset val="134"/>
      </rPr>
      <t>仓租计算至</t>
    </r>
    <r>
      <rPr>
        <sz val="12"/>
        <color theme="1"/>
        <rFont val="Arial Black"/>
        <charset val="134"/>
      </rPr>
      <t>08/10/2025</t>
    </r>
    <r>
      <rPr>
        <sz val="12"/>
        <color theme="1"/>
        <rFont val="SimSun"/>
        <charset val="134"/>
      </rPr>
      <t>，如果10月8日未派送，每天的仓租为5.702英镑</t>
    </r>
  </si>
  <si>
    <t>出仓费</t>
  </si>
  <si>
    <t>派送费</t>
  </si>
  <si>
    <r>
      <rPr>
        <sz val="16"/>
        <color rgb="FF000000"/>
        <rFont val="SimSun"/>
        <charset val="134"/>
      </rPr>
      <t>注意：</t>
    </r>
    <r>
      <rPr>
        <sz val="16"/>
        <color rgb="FF000000"/>
        <rFont val="Times New Roman"/>
        <charset val="134"/>
      </rPr>
      <t xml:space="preserve"> </t>
    </r>
    <r>
      <rPr>
        <sz val="16"/>
        <color rgb="FF000000"/>
        <rFont val="SimSun"/>
        <charset val="134"/>
      </rPr>
      <t>报价结算单位为英镑，客户可以直接付款至海洋国际英国公账，如为英国本土公司支付需在总额基础上加收</t>
    </r>
    <r>
      <rPr>
        <sz val="16"/>
        <color rgb="FF000000"/>
        <rFont val="Times New Roman"/>
        <charset val="134"/>
      </rPr>
      <t>20%VAT</t>
    </r>
    <r>
      <rPr>
        <sz val="16"/>
        <color rgb="FF000000"/>
        <rFont val="SimSun"/>
        <charset val="134"/>
      </rPr>
      <t>，我司可为客户开具</t>
    </r>
    <r>
      <rPr>
        <sz val="16"/>
        <color rgb="FF000000"/>
        <rFont val="Times New Roman"/>
        <charset val="134"/>
      </rPr>
      <t>VAT</t>
    </r>
    <r>
      <rPr>
        <sz val="16"/>
        <color rgb="FF000000"/>
        <rFont val="SimSun"/>
        <charset val="134"/>
      </rPr>
      <t>发票，用于客户做账及抵扣税金。如需付款至国内账号，请联系我司负责人确认当日汇率后，计算出双方认可的人民币付款总额再行付款。</t>
    </r>
  </si>
  <si>
    <r>
      <rPr>
        <sz val="11"/>
        <color theme="1"/>
        <rFont val="宋体"/>
        <charset val="134"/>
      </rPr>
      <t>产品</t>
    </r>
    <r>
      <rPr>
        <sz val="11"/>
        <color theme="1"/>
        <rFont val="Times New Roman"/>
        <charset val="134"/>
      </rPr>
      <t>sku</t>
    </r>
  </si>
  <si>
    <r>
      <rPr>
        <sz val="11"/>
        <color theme="1"/>
        <rFont val="宋体"/>
        <charset val="134"/>
      </rPr>
      <t>重量</t>
    </r>
  </si>
  <si>
    <r>
      <rPr>
        <sz val="11"/>
        <color theme="1"/>
        <rFont val="宋体"/>
        <charset val="134"/>
      </rPr>
      <t>数量</t>
    </r>
  </si>
  <si>
    <t>单价</t>
  </si>
  <si>
    <t>总价</t>
  </si>
  <si>
    <t>HTCL-B01GEXE74Q</t>
  </si>
  <si>
    <t>HTCL-B07H3YXL4J</t>
  </si>
  <si>
    <t>HTCL-B07H3XWDV2</t>
  </si>
  <si>
    <t>HTCL-B07XGMPQ4X</t>
  </si>
  <si>
    <t>HTCL-B06XJYMP2J</t>
  </si>
  <si>
    <t>HTCL-B07S5JB9YH</t>
  </si>
  <si>
    <t>HTCL-B01GM35TJU</t>
  </si>
  <si>
    <t>HTCL-B01GM35S6Y</t>
  </si>
  <si>
    <t>HTCL-B075RFC6YT</t>
  </si>
  <si>
    <t>HTCL-B087V8JHSD</t>
  </si>
  <si>
    <t>HTCL-B01N199WJ1</t>
  </si>
  <si>
    <t>HTCL-B073BQKHPR</t>
  </si>
  <si>
    <t>HTCL-B08S5F7MM5</t>
  </si>
  <si>
    <t>HTCL-B06Y1VM9RT</t>
  </si>
  <si>
    <t>HTCL-B00J4FVZU6</t>
  </si>
  <si>
    <t>HTCL-B07NKPKJR7</t>
  </si>
  <si>
    <t>HTCL-B00FUZLT78</t>
  </si>
  <si>
    <t>HTCL-B012X2ZNOA</t>
  </si>
  <si>
    <t>HTCL-B08MFSSN8Q</t>
  </si>
  <si>
    <t>HTCL-B010MVAJZ2</t>
  </si>
  <si>
    <t>HTCL-B08Z4J89K3</t>
  </si>
  <si>
    <t>HTCL-B0722CY615</t>
  </si>
  <si>
    <t>HTCL-B01HFKUJEY</t>
  </si>
  <si>
    <t>HTCL-B0858C3FZQ</t>
  </si>
  <si>
    <t>HTCL-B00S2AAWD0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</si>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</sst>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7" formatCode="&quot;£&quot;#,##0.00;\-&quot;£&quot;#,##0.00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_ "/>
    <numFmt numFmtId="177" formatCode="0_ "/>
    <numFmt numFmtId="178" formatCode="&quot;£ &quot;#,##0.00"/>
    <numFmt numFmtId="179" formatCode="&quot;£&quot;#,##0.00"/>
  </numFmts>
  <fonts count="4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SimSun"/>
      <charset val="134"/>
    </font>
    <font>
      <sz val="11"/>
      <color theme="1"/>
      <name val="Arial Black"/>
      <charset val="134"/>
    </font>
    <font>
      <sz val="16"/>
      <color theme="1"/>
      <name val="Times New Roman"/>
      <charset val="134"/>
    </font>
    <font>
      <b/>
      <sz val="24"/>
      <color theme="0"/>
      <name val="SimSun"/>
      <charset val="134"/>
    </font>
    <font>
      <b/>
      <sz val="24"/>
      <color theme="0"/>
      <name val="Arial Black"/>
      <charset val="134"/>
    </font>
    <font>
      <b/>
      <sz val="24"/>
      <color theme="0"/>
      <name val="Times New Roman"/>
      <charset val="134"/>
    </font>
    <font>
      <sz val="16"/>
      <color rgb="FF000000"/>
      <name val="SimSun"/>
      <charset val="134"/>
    </font>
    <font>
      <sz val="20"/>
      <color rgb="FF000000"/>
      <name val="Arial Black"/>
      <charset val="134"/>
    </font>
    <font>
      <sz val="10"/>
      <color theme="1"/>
      <name val="Arial Black"/>
      <charset val="134"/>
    </font>
    <font>
      <sz val="16"/>
      <name val="SimSun"/>
      <charset val="134"/>
    </font>
    <font>
      <sz val="14"/>
      <name val="Arial Black"/>
      <charset val="134"/>
    </font>
    <font>
      <i/>
      <sz val="12"/>
      <name val="Arial Black"/>
      <charset val="134"/>
    </font>
    <font>
      <sz val="12"/>
      <name val="Arial Black"/>
      <charset val="134"/>
    </font>
    <font>
      <sz val="12"/>
      <color rgb="FF000000"/>
      <name val="Arial Black"/>
      <charset val="134"/>
    </font>
    <font>
      <sz val="12"/>
      <color theme="9" tint="-0.249977111117893"/>
      <name val="Arial Black"/>
      <charset val="134"/>
    </font>
    <font>
      <sz val="14"/>
      <color rgb="FF000000"/>
      <name val="Arial Black"/>
      <charset val="134"/>
    </font>
    <font>
      <sz val="12"/>
      <color theme="1"/>
      <name val="Arial Black"/>
      <charset val="134"/>
    </font>
    <font>
      <sz val="11"/>
      <name val="Arial Black"/>
      <charset val="134"/>
    </font>
    <font>
      <sz val="12"/>
      <color theme="1"/>
      <name val="SimSun"/>
      <charset val="134"/>
    </font>
    <font>
      <sz val="12"/>
      <color theme="1" tint="0.499984740745262"/>
      <name val="Arial Black"/>
      <charset val="134"/>
    </font>
    <font>
      <sz val="11"/>
      <color theme="1" tint="0.499984740745262"/>
      <name val="Arial Blac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color rgb="FF000000"/>
      <name val="Times New Roman"/>
      <charset val="134"/>
    </font>
    <font>
      <sz val="11"/>
      <color theme="1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6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2" borderId="10" applyNumberFormat="0" applyAlignment="0" applyProtection="0">
      <alignment vertical="center"/>
    </xf>
    <xf numFmtId="0" fontId="32" fillId="13" borderId="11" applyNumberFormat="0" applyAlignment="0" applyProtection="0">
      <alignment vertical="center"/>
    </xf>
    <xf numFmtId="0" fontId="33" fillId="13" borderId="10" applyNumberFormat="0" applyAlignment="0" applyProtection="0">
      <alignment vertical="center"/>
    </xf>
    <xf numFmtId="0" fontId="34" fillId="14" borderId="12" applyNumberFormat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7" fontId="1" fillId="0" borderId="1" xfId="0" applyNumberFormat="1" applyFont="1" applyBorder="1">
      <alignment vertical="center"/>
    </xf>
    <xf numFmtId="176" fontId="1" fillId="0" borderId="1" xfId="0" applyNumberFormat="1" applyFont="1" applyBorder="1" applyAlignment="1">
      <alignment horizontal="center" vertical="center"/>
    </xf>
    <xf numFmtId="7" fontId="1" fillId="0" borderId="2" xfId="0" applyNumberFormat="1" applyFont="1" applyBorder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177" fontId="3" fillId="0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7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7" fontId="6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177" fontId="5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8" fillId="0" borderId="0" xfId="0" applyFont="1" applyFill="1" applyBorder="1" applyAlignment="1">
      <alignment horizontal="left" vertical="center" wrapText="1"/>
    </xf>
    <xf numFmtId="177" fontId="9" fillId="0" borderId="0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left" vertical="center" wrapText="1"/>
    </xf>
    <xf numFmtId="177" fontId="10" fillId="3" borderId="0" xfId="0" applyNumberFormat="1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178" fontId="11" fillId="4" borderId="1" xfId="0" applyNumberFormat="1" applyFont="1" applyFill="1" applyBorder="1" applyAlignment="1">
      <alignment horizontal="left" vertical="center" wrapText="1"/>
    </xf>
    <xf numFmtId="177" fontId="12" fillId="0" borderId="1" xfId="0" applyNumberFormat="1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179" fontId="13" fillId="0" borderId="1" xfId="0" applyNumberFormat="1" applyFont="1" applyFill="1" applyBorder="1" applyAlignment="1">
      <alignment horizontal="center" vertical="center" wrapText="1"/>
    </xf>
    <xf numFmtId="179" fontId="14" fillId="0" borderId="1" xfId="0" applyNumberFormat="1" applyFont="1" applyFill="1" applyBorder="1" applyAlignment="1">
      <alignment horizontal="center" vertical="center" wrapText="1"/>
    </xf>
    <xf numFmtId="4" fontId="15" fillId="6" borderId="1" xfId="0" applyNumberFormat="1" applyFont="1" applyFill="1" applyBorder="1" applyAlignment="1">
      <alignment horizontal="center" vertical="center" wrapText="1"/>
    </xf>
    <xf numFmtId="179" fontId="16" fillId="6" borderId="1" xfId="0" applyNumberFormat="1" applyFont="1" applyFill="1" applyBorder="1" applyAlignment="1">
      <alignment horizontal="center" vertical="center" wrapText="1"/>
    </xf>
    <xf numFmtId="179" fontId="15" fillId="7" borderId="1" xfId="0" applyNumberFormat="1" applyFont="1" applyFill="1" applyBorder="1" applyAlignment="1">
      <alignment horizontal="center" vertical="center" wrapText="1"/>
    </xf>
    <xf numFmtId="178" fontId="8" fillId="4" borderId="1" xfId="0" applyNumberFormat="1" applyFont="1" applyFill="1" applyBorder="1" applyAlignment="1">
      <alignment horizontal="left" vertical="center" wrapText="1"/>
    </xf>
    <xf numFmtId="177" fontId="17" fillId="0" borderId="1" xfId="0" applyNumberFormat="1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178" fontId="11" fillId="8" borderId="1" xfId="0" applyNumberFormat="1" applyFont="1" applyFill="1" applyBorder="1" applyAlignment="1">
      <alignment horizontal="left" vertical="center" wrapText="1"/>
    </xf>
    <xf numFmtId="177" fontId="12" fillId="0" borderId="3" xfId="0" applyNumberFormat="1" applyFont="1" applyFill="1" applyBorder="1" applyAlignment="1">
      <alignment horizontal="center" vertical="center" wrapText="1"/>
    </xf>
    <xf numFmtId="178" fontId="11" fillId="8" borderId="3" xfId="0" applyNumberFormat="1" applyFont="1" applyFill="1" applyBorder="1" applyAlignment="1">
      <alignment horizontal="left" vertical="center" wrapText="1"/>
    </xf>
    <xf numFmtId="0" fontId="14" fillId="5" borderId="3" xfId="0" applyFont="1" applyFill="1" applyBorder="1" applyAlignment="1">
      <alignment horizontal="center" vertical="center"/>
    </xf>
    <xf numFmtId="179" fontId="14" fillId="0" borderId="3" xfId="0" applyNumberFormat="1" applyFont="1" applyFill="1" applyBorder="1" applyAlignment="1">
      <alignment horizontal="center" vertical="center" wrapText="1"/>
    </xf>
    <xf numFmtId="4" fontId="15" fillId="6" borderId="3" xfId="0" applyNumberFormat="1" applyFont="1" applyFill="1" applyBorder="1" applyAlignment="1">
      <alignment horizontal="center" vertical="center" wrapText="1"/>
    </xf>
    <xf numFmtId="178" fontId="8" fillId="0" borderId="4" xfId="0" applyNumberFormat="1" applyFont="1" applyFill="1" applyBorder="1" applyAlignment="1">
      <alignment horizontal="center" vertical="center" wrapText="1"/>
    </xf>
    <xf numFmtId="178" fontId="8" fillId="0" borderId="5" xfId="0" applyNumberFormat="1" applyFont="1" applyFill="1" applyBorder="1" applyAlignment="1">
      <alignment horizontal="center" vertical="center" wrapText="1"/>
    </xf>
    <xf numFmtId="178" fontId="8" fillId="0" borderId="6" xfId="0" applyNumberFormat="1" applyFont="1" applyFill="1" applyBorder="1" applyAlignment="1">
      <alignment horizontal="center" vertical="center" wrapText="1"/>
    </xf>
    <xf numFmtId="179" fontId="3" fillId="9" borderId="1" xfId="0" applyNumberFormat="1" applyFont="1" applyFill="1" applyBorder="1" applyAlignment="1">
      <alignment horizontal="center" vertical="center"/>
    </xf>
    <xf numFmtId="179" fontId="18" fillId="7" borderId="1" xfId="0" applyNumberFormat="1" applyFont="1" applyFill="1" applyBorder="1" applyAlignment="1">
      <alignment horizontal="center" vertical="center"/>
    </xf>
    <xf numFmtId="44" fontId="10" fillId="3" borderId="0" xfId="0" applyNumberFormat="1" applyFont="1" applyFill="1" applyBorder="1" applyAlignment="1">
      <alignment horizontal="center" vertical="center" wrapText="1"/>
    </xf>
    <xf numFmtId="44" fontId="18" fillId="0" borderId="1" xfId="0" applyNumberFormat="1" applyFont="1" applyFill="1" applyBorder="1" applyAlignment="1">
      <alignment horizontal="center" vertical="center"/>
    </xf>
    <xf numFmtId="179" fontId="18" fillId="0" borderId="1" xfId="0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/>
    </xf>
    <xf numFmtId="179" fontId="20" fillId="10" borderId="4" xfId="0" applyNumberFormat="1" applyFont="1" applyFill="1" applyBorder="1" applyAlignment="1">
      <alignment horizontal="center" vertical="center"/>
    </xf>
    <xf numFmtId="179" fontId="20" fillId="10" borderId="5" xfId="0" applyNumberFormat="1" applyFont="1" applyFill="1" applyBorder="1" applyAlignment="1">
      <alignment horizontal="center" vertical="center"/>
    </xf>
    <xf numFmtId="179" fontId="20" fillId="10" borderId="6" xfId="0" applyNumberFormat="1" applyFont="1" applyFill="1" applyBorder="1" applyAlignment="1">
      <alignment horizontal="center" vertical="center"/>
    </xf>
    <xf numFmtId="44" fontId="21" fillId="0" borderId="1" xfId="0" applyNumberFormat="1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179" fontId="3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47.75.102.66:8080/product/product/javascript:void(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1048576"/>
  <sheetViews>
    <sheetView tabSelected="1" zoomScale="75" zoomScaleNormal="75" workbookViewId="0">
      <selection activeCell="M14" sqref="A1:M14"/>
    </sheetView>
  </sheetViews>
  <sheetFormatPr defaultColWidth="8.61261261261261" defaultRowHeight="20.1"/>
  <cols>
    <col min="1" max="1" width="28.7297297297297" style="11" customWidth="1"/>
    <col min="2" max="2" width="11.5855855855856" style="12" customWidth="1"/>
    <col min="3" max="7" width="11.5855855855856" style="10" customWidth="1"/>
    <col min="8" max="8" width="16.7477477477477" style="10" customWidth="1"/>
    <col min="9" max="9" width="25.1081081081081" style="10" customWidth="1"/>
    <col min="10" max="13" width="11.5855855855856" style="10" customWidth="1"/>
    <col min="14" max="14" width="8.61261261261261" style="10"/>
    <col min="15" max="15" width="9.66666666666667" style="10"/>
    <col min="16" max="16" width="8.61261261261261" style="10"/>
    <col min="17" max="17" width="11.0630630630631" style="10"/>
    <col min="18" max="16384" width="8.61261261261261" style="10"/>
  </cols>
  <sheetData>
    <row r="1" s="10" customFormat="1" ht="14.45" customHeight="1" spans="1:13">
      <c r="A1" s="13" t="s">
        <v>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="10" customFormat="1" ht="14.45" customHeight="1" spans="1:13">
      <c r="A2" s="16"/>
      <c r="B2" s="17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="10" customFormat="1" ht="14.45" customHeight="1" spans="1:13">
      <c r="A3" s="16"/>
      <c r="B3" s="17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="10" customFormat="1" ht="17.55" spans="1:13">
      <c r="A4" s="16"/>
      <c r="B4" s="17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  <row r="5" s="10" customFormat="1" ht="30.4" spans="1:13">
      <c r="A5" s="18" t="s">
        <v>1</v>
      </c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</row>
    <row r="6" s="10" customFormat="1" ht="27.75" customHeight="1" spans="1:13">
      <c r="A6" s="21" t="s">
        <v>2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</row>
    <row r="7" s="10" customFormat="1" ht="14.45" customHeight="1" spans="1:13">
      <c r="A7" s="24" t="s">
        <v>3</v>
      </c>
      <c r="B7" s="25" t="s">
        <v>4</v>
      </c>
      <c r="C7" s="26" t="s">
        <v>5</v>
      </c>
      <c r="D7" s="26" t="s">
        <v>6</v>
      </c>
      <c r="E7" s="26"/>
      <c r="F7" s="26" t="s">
        <v>7</v>
      </c>
      <c r="G7" s="26" t="s">
        <v>8</v>
      </c>
      <c r="H7" s="26" t="s">
        <v>9</v>
      </c>
      <c r="I7" s="26" t="s">
        <v>10</v>
      </c>
      <c r="J7" s="50" t="s">
        <v>11</v>
      </c>
      <c r="K7" s="26" t="s">
        <v>12</v>
      </c>
      <c r="L7" s="26" t="s">
        <v>13</v>
      </c>
      <c r="M7" s="26" t="s">
        <v>14</v>
      </c>
    </row>
    <row r="8" s="10" customFormat="1" ht="44.25" customHeight="1" spans="1:13">
      <c r="A8" s="27" t="s">
        <v>15</v>
      </c>
      <c r="B8" s="28">
        <v>1</v>
      </c>
      <c r="C8" s="29">
        <v>2164</v>
      </c>
      <c r="D8" s="30">
        <v>0.05</v>
      </c>
      <c r="E8" s="31"/>
      <c r="F8" s="32">
        <v>0</v>
      </c>
      <c r="G8" s="33">
        <v>0</v>
      </c>
      <c r="H8" s="34">
        <f t="shared" ref="H8:H13" si="0">C8*B8*D8</f>
        <v>108.2</v>
      </c>
      <c r="I8" s="49"/>
      <c r="J8" s="51"/>
      <c r="K8" s="52"/>
      <c r="L8" s="52"/>
      <c r="M8" s="53"/>
    </row>
    <row r="9" s="10" customFormat="1" ht="44.25" customHeight="1" spans="1:13">
      <c r="A9" s="35" t="s">
        <v>16</v>
      </c>
      <c r="B9" s="36">
        <v>1</v>
      </c>
      <c r="C9" s="37">
        <v>4</v>
      </c>
      <c r="D9" s="38">
        <v>8.5</v>
      </c>
      <c r="E9" s="31"/>
      <c r="F9" s="32">
        <v>0</v>
      </c>
      <c r="G9" s="33">
        <v>0</v>
      </c>
      <c r="H9" s="34">
        <f t="shared" si="0"/>
        <v>34</v>
      </c>
      <c r="I9" s="54"/>
      <c r="J9" s="51"/>
      <c r="K9" s="38"/>
      <c r="L9" s="38"/>
      <c r="M9" s="38"/>
    </row>
    <row r="10" s="10" customFormat="1" ht="44.25" customHeight="1" spans="1:13">
      <c r="A10" s="39" t="s">
        <v>17</v>
      </c>
      <c r="B10" s="40">
        <v>1</v>
      </c>
      <c r="C10" s="29">
        <v>1</v>
      </c>
      <c r="D10" s="30">
        <v>914.4</v>
      </c>
      <c r="E10" s="31"/>
      <c r="F10" s="32">
        <v>0</v>
      </c>
      <c r="G10" s="33">
        <v>0</v>
      </c>
      <c r="H10" s="34">
        <f t="shared" si="0"/>
        <v>914.4</v>
      </c>
      <c r="I10" s="49"/>
      <c r="J10" s="51"/>
      <c r="K10" s="52"/>
      <c r="L10" s="52"/>
      <c r="M10" s="53"/>
    </row>
    <row r="11" s="10" customFormat="1" ht="44.25" customHeight="1" spans="1:13">
      <c r="A11" s="39" t="s">
        <v>18</v>
      </c>
      <c r="B11" s="40">
        <v>1</v>
      </c>
      <c r="C11" s="29">
        <v>1</v>
      </c>
      <c r="D11" s="30">
        <v>55.39</v>
      </c>
      <c r="E11" s="31"/>
      <c r="F11" s="32">
        <v>0</v>
      </c>
      <c r="G11" s="33">
        <v>0</v>
      </c>
      <c r="H11" s="34">
        <f t="shared" si="0"/>
        <v>55.39</v>
      </c>
      <c r="I11" s="55" t="s">
        <v>19</v>
      </c>
      <c r="J11" s="56"/>
      <c r="K11" s="56"/>
      <c r="L11" s="56"/>
      <c r="M11" s="57"/>
    </row>
    <row r="12" s="10" customFormat="1" ht="44.25" customHeight="1" spans="1:13">
      <c r="A12" s="39" t="s">
        <v>20</v>
      </c>
      <c r="B12" s="40">
        <v>1</v>
      </c>
      <c r="C12" s="29">
        <v>4</v>
      </c>
      <c r="D12" s="30">
        <v>3</v>
      </c>
      <c r="E12" s="31"/>
      <c r="F12" s="32">
        <v>0</v>
      </c>
      <c r="G12" s="33">
        <v>0</v>
      </c>
      <c r="H12" s="34">
        <f t="shared" si="0"/>
        <v>12</v>
      </c>
      <c r="I12" s="49"/>
      <c r="J12" s="51"/>
      <c r="K12" s="52"/>
      <c r="L12" s="52"/>
      <c r="M12" s="53"/>
    </row>
    <row r="13" s="10" customFormat="1" ht="44.25" customHeight="1" spans="1:13">
      <c r="A13" s="41" t="s">
        <v>21</v>
      </c>
      <c r="B13" s="40">
        <v>1</v>
      </c>
      <c r="C13" s="42">
        <v>0</v>
      </c>
      <c r="D13" s="43">
        <v>0</v>
      </c>
      <c r="E13" s="43"/>
      <c r="F13" s="44">
        <v>0</v>
      </c>
      <c r="G13" s="33">
        <v>0</v>
      </c>
      <c r="H13" s="34">
        <f t="shared" si="0"/>
        <v>0</v>
      </c>
      <c r="I13" s="49"/>
      <c r="J13" s="58"/>
      <c r="K13" s="59"/>
      <c r="L13" s="59"/>
      <c r="M13" s="60"/>
    </row>
    <row r="14" s="10" customFormat="1" ht="138" customHeight="1" spans="1:9">
      <c r="A14" s="45" t="s">
        <v>22</v>
      </c>
      <c r="B14" s="46"/>
      <c r="C14" s="46"/>
      <c r="D14" s="46"/>
      <c r="E14" s="46"/>
      <c r="F14" s="47"/>
      <c r="G14" s="48"/>
      <c r="H14" s="49">
        <f>SUM(H8:H13)</f>
        <v>1123.99</v>
      </c>
      <c r="I14" s="61"/>
    </row>
    <row r="1048537" customFormat="1" ht="14.1"/>
    <row r="1048538" customFormat="1" ht="14.1"/>
    <row r="1048539" customFormat="1" ht="14.1"/>
    <row r="1048540" customFormat="1" ht="14.1"/>
    <row r="1048541" customFormat="1" ht="14.1"/>
    <row r="1048542" customFormat="1" ht="14.1"/>
    <row r="1048543" customFormat="1" ht="14.1"/>
    <row r="1048544" customFormat="1" ht="14.1"/>
    <row r="1048545" customFormat="1" ht="14.1"/>
    <row r="1048546" customFormat="1" ht="14.1"/>
    <row r="1048547" customFormat="1" ht="14.1"/>
    <row r="1048548" customFormat="1" ht="14.1"/>
    <row r="1048549" customFormat="1" ht="14.1"/>
    <row r="1048550" customFormat="1" ht="14.1"/>
    <row r="1048551" customFormat="1" ht="14.1"/>
    <row r="1048552" customFormat="1" ht="14.1"/>
    <row r="1048553" customFormat="1" ht="14.1"/>
    <row r="1048554" customFormat="1" ht="14.1"/>
    <row r="1048555" customFormat="1" ht="14.1"/>
    <row r="1048556" customFormat="1" ht="14.1"/>
    <row r="1048557" customFormat="1" ht="14.1"/>
    <row r="1048558" customFormat="1" ht="14.1"/>
    <row r="1048559" customFormat="1" ht="14.1"/>
    <row r="1048560" customFormat="1" ht="14.1"/>
    <row r="1048561" customFormat="1" ht="14.1"/>
    <row r="1048562" customFormat="1" ht="14.1"/>
    <row r="1048563" customFormat="1" ht="14.1"/>
    <row r="1048564" customFormat="1" ht="14.1"/>
    <row r="1048565" customFormat="1" ht="14.1"/>
    <row r="1048566" customFormat="1" ht="14.1"/>
    <row r="1048567" customFormat="1" ht="14.1"/>
    <row r="1048568" customFormat="1" ht="14.1"/>
    <row r="1048569" customFormat="1" ht="14.1"/>
    <row r="1048570" customFormat="1" ht="14.1"/>
    <row r="1048571" customFormat="1" ht="14.1"/>
    <row r="1048572" customFormat="1" ht="14.1"/>
    <row r="1048573" customFormat="1" ht="14.1"/>
    <row r="1048574" customFormat="1" ht="14.1"/>
    <row r="1048575" customFormat="1" ht="14.1"/>
    <row r="1048576" customFormat="1" ht="14.1"/>
  </sheetData>
  <mergeCells count="5">
    <mergeCell ref="A5:M5"/>
    <mergeCell ref="A6:M6"/>
    <mergeCell ref="I11:M11"/>
    <mergeCell ref="A14:F14"/>
    <mergeCell ref="A1:M4"/>
  </mergeCells>
  <pageMargins left="0.25" right="0.25" top="0.75" bottom="0.75" header="0.298611111111111" footer="0.298611111111111"/>
  <pageSetup paperSize="1" scale="73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opLeftCell="A23" workbookViewId="0">
      <selection activeCell="C29" sqref="C29"/>
    </sheetView>
  </sheetViews>
  <sheetFormatPr defaultColWidth="8.61261261261261" defaultRowHeight="14.1" outlineLevelCol="4"/>
  <cols>
    <col min="1" max="1" width="17.9099099099099" style="1" customWidth="1"/>
    <col min="2" max="2" width="16.3693693693694" style="2" customWidth="1"/>
    <col min="3" max="3" width="15.7477477477477" style="2" customWidth="1"/>
    <col min="4" max="4" width="14.5135135135135" style="1" customWidth="1"/>
    <col min="5" max="5" width="16.0540540540541" style="1" customWidth="1"/>
  </cols>
  <sheetData>
    <row r="1" ht="20" customHeight="1" spans="1:5">
      <c r="A1" s="3" t="s">
        <v>23</v>
      </c>
      <c r="B1" s="4" t="s">
        <v>24</v>
      </c>
      <c r="C1" s="4" t="s">
        <v>25</v>
      </c>
      <c r="D1" s="5" t="s">
        <v>26</v>
      </c>
      <c r="E1" s="5" t="s">
        <v>27</v>
      </c>
    </row>
    <row r="2" ht="20" customHeight="1" spans="1:5">
      <c r="A2" s="6" t="s">
        <v>28</v>
      </c>
      <c r="B2" s="4">
        <v>6.592</v>
      </c>
      <c r="C2" s="4">
        <v>336</v>
      </c>
      <c r="D2" s="7">
        <f>(B2-1)*0.07+0.4</f>
        <v>0.79144</v>
      </c>
      <c r="E2" s="7">
        <f>C2*D2</f>
        <v>265.92384</v>
      </c>
    </row>
    <row r="3" ht="20" customHeight="1" spans="1:5">
      <c r="A3" s="6" t="s">
        <v>29</v>
      </c>
      <c r="B3" s="4">
        <v>0.118</v>
      </c>
      <c r="C3" s="4">
        <v>99</v>
      </c>
      <c r="D3" s="7">
        <f t="shared" ref="D3:D27" si="0">(B3-1)*0.07+0.4</f>
        <v>0.33826</v>
      </c>
      <c r="E3" s="7">
        <f t="shared" ref="E3:E27" si="1">C3*D3</f>
        <v>33.48774</v>
      </c>
    </row>
    <row r="4" ht="20" customHeight="1" spans="1:5">
      <c r="A4" s="6" t="s">
        <v>30</v>
      </c>
      <c r="B4" s="4">
        <v>0.086</v>
      </c>
      <c r="C4" s="4">
        <v>94</v>
      </c>
      <c r="D4" s="7">
        <f t="shared" si="0"/>
        <v>0.33602</v>
      </c>
      <c r="E4" s="7">
        <f t="shared" si="1"/>
        <v>31.58588</v>
      </c>
    </row>
    <row r="5" ht="20" customHeight="1" spans="1:5">
      <c r="A5" s="6" t="s">
        <v>31</v>
      </c>
      <c r="B5" s="4">
        <v>0.173</v>
      </c>
      <c r="C5" s="4">
        <v>97</v>
      </c>
      <c r="D5" s="7">
        <f t="shared" si="0"/>
        <v>0.34211</v>
      </c>
      <c r="E5" s="7">
        <f t="shared" si="1"/>
        <v>33.18467</v>
      </c>
    </row>
    <row r="6" ht="20" customHeight="1" spans="1:5">
      <c r="A6" s="6" t="s">
        <v>32</v>
      </c>
      <c r="B6" s="4">
        <v>0.145</v>
      </c>
      <c r="C6" s="4">
        <v>98</v>
      </c>
      <c r="D6" s="7">
        <f t="shared" si="0"/>
        <v>0.34015</v>
      </c>
      <c r="E6" s="7">
        <f t="shared" si="1"/>
        <v>33.3347</v>
      </c>
    </row>
    <row r="7" ht="20" customHeight="1" spans="1:5">
      <c r="A7" s="6" t="s">
        <v>33</v>
      </c>
      <c r="B7" s="4">
        <v>0.154</v>
      </c>
      <c r="C7" s="4">
        <v>97</v>
      </c>
      <c r="D7" s="7">
        <f t="shared" si="0"/>
        <v>0.34078</v>
      </c>
      <c r="E7" s="7">
        <f t="shared" si="1"/>
        <v>33.05566</v>
      </c>
    </row>
    <row r="8" ht="20" customHeight="1" spans="1:5">
      <c r="A8" s="6" t="s">
        <v>34</v>
      </c>
      <c r="B8" s="4">
        <v>0.06</v>
      </c>
      <c r="C8" s="4">
        <v>33</v>
      </c>
      <c r="D8" s="7">
        <f t="shared" si="0"/>
        <v>0.3342</v>
      </c>
      <c r="E8" s="7">
        <f t="shared" si="1"/>
        <v>11.0286</v>
      </c>
    </row>
    <row r="9" ht="20" customHeight="1" spans="1:5">
      <c r="A9" s="6" t="s">
        <v>35</v>
      </c>
      <c r="B9" s="4">
        <v>0.568</v>
      </c>
      <c r="C9" s="4">
        <v>55</v>
      </c>
      <c r="D9" s="7">
        <f t="shared" si="0"/>
        <v>0.36976</v>
      </c>
      <c r="E9" s="7">
        <f t="shared" si="1"/>
        <v>20.3368</v>
      </c>
    </row>
    <row r="10" ht="20" customHeight="1" spans="1:5">
      <c r="A10" s="6" t="s">
        <v>36</v>
      </c>
      <c r="B10" s="4">
        <v>0.346</v>
      </c>
      <c r="C10" s="4">
        <v>22</v>
      </c>
      <c r="D10" s="7">
        <f t="shared" si="0"/>
        <v>0.35422</v>
      </c>
      <c r="E10" s="7">
        <f t="shared" si="1"/>
        <v>7.79284</v>
      </c>
    </row>
    <row r="11" ht="20" customHeight="1" spans="1:5">
      <c r="A11" s="6" t="s">
        <v>37</v>
      </c>
      <c r="B11" s="4">
        <v>0.151</v>
      </c>
      <c r="C11" s="4">
        <v>146</v>
      </c>
      <c r="D11" s="7">
        <f t="shared" si="0"/>
        <v>0.34057</v>
      </c>
      <c r="E11" s="7">
        <f t="shared" si="1"/>
        <v>49.72322</v>
      </c>
    </row>
    <row r="12" ht="20" customHeight="1" spans="1:5">
      <c r="A12" s="6" t="s">
        <v>38</v>
      </c>
      <c r="B12" s="4">
        <v>2.418</v>
      </c>
      <c r="C12" s="4">
        <v>18</v>
      </c>
      <c r="D12" s="7">
        <f t="shared" si="0"/>
        <v>0.49926</v>
      </c>
      <c r="E12" s="7">
        <f t="shared" si="1"/>
        <v>8.98668</v>
      </c>
    </row>
    <row r="13" ht="20" customHeight="1" spans="1:5">
      <c r="A13" s="6" t="s">
        <v>39</v>
      </c>
      <c r="B13" s="8">
        <v>1.68</v>
      </c>
      <c r="C13" s="4">
        <v>35</v>
      </c>
      <c r="D13" s="7">
        <f t="shared" si="0"/>
        <v>0.4476</v>
      </c>
      <c r="E13" s="7">
        <f t="shared" si="1"/>
        <v>15.666</v>
      </c>
    </row>
    <row r="14" ht="20" customHeight="1" spans="1:5">
      <c r="A14" s="6" t="s">
        <v>40</v>
      </c>
      <c r="B14" s="4">
        <v>2.414</v>
      </c>
      <c r="C14" s="4">
        <v>11</v>
      </c>
      <c r="D14" s="7">
        <f t="shared" si="0"/>
        <v>0.49898</v>
      </c>
      <c r="E14" s="7">
        <f t="shared" si="1"/>
        <v>5.48878</v>
      </c>
    </row>
    <row r="15" ht="20" customHeight="1" spans="1:5">
      <c r="A15" s="6" t="s">
        <v>41</v>
      </c>
      <c r="B15" s="4">
        <v>1.869</v>
      </c>
      <c r="C15" s="4">
        <v>7</v>
      </c>
      <c r="D15" s="7">
        <f t="shared" si="0"/>
        <v>0.46083</v>
      </c>
      <c r="E15" s="7">
        <f t="shared" si="1"/>
        <v>3.22581</v>
      </c>
    </row>
    <row r="16" ht="20" customHeight="1" spans="1:5">
      <c r="A16" s="6" t="s">
        <v>42</v>
      </c>
      <c r="B16" s="4">
        <v>0.229</v>
      </c>
      <c r="C16" s="4">
        <v>487</v>
      </c>
      <c r="D16" s="7">
        <f t="shared" si="0"/>
        <v>0.34603</v>
      </c>
      <c r="E16" s="7">
        <f t="shared" si="1"/>
        <v>168.51661</v>
      </c>
    </row>
    <row r="17" ht="20" customHeight="1" spans="1:5">
      <c r="A17" s="6" t="s">
        <v>43</v>
      </c>
      <c r="B17" s="4">
        <v>2.082</v>
      </c>
      <c r="C17" s="4">
        <v>15</v>
      </c>
      <c r="D17" s="7">
        <f t="shared" si="0"/>
        <v>0.47574</v>
      </c>
      <c r="E17" s="7">
        <f t="shared" si="1"/>
        <v>7.1361</v>
      </c>
    </row>
    <row r="18" ht="20" customHeight="1" spans="1:5">
      <c r="A18" s="6" t="s">
        <v>44</v>
      </c>
      <c r="B18" s="4">
        <v>0.074</v>
      </c>
      <c r="C18" s="4">
        <v>10</v>
      </c>
      <c r="D18" s="7">
        <f t="shared" si="0"/>
        <v>0.33518</v>
      </c>
      <c r="E18" s="7">
        <f t="shared" si="1"/>
        <v>3.3518</v>
      </c>
    </row>
    <row r="19" ht="20" customHeight="1" spans="1:5">
      <c r="A19" s="6" t="s">
        <v>45</v>
      </c>
      <c r="B19" s="4">
        <v>0.034</v>
      </c>
      <c r="C19" s="4">
        <v>140</v>
      </c>
      <c r="D19" s="7">
        <f t="shared" si="0"/>
        <v>0.33238</v>
      </c>
      <c r="E19" s="7">
        <f t="shared" si="1"/>
        <v>46.5332</v>
      </c>
    </row>
    <row r="20" ht="20" customHeight="1" spans="1:5">
      <c r="A20" s="6" t="s">
        <v>46</v>
      </c>
      <c r="B20" s="4">
        <v>0.065</v>
      </c>
      <c r="C20" s="4">
        <v>31</v>
      </c>
      <c r="D20" s="7">
        <f t="shared" si="0"/>
        <v>0.33455</v>
      </c>
      <c r="E20" s="7">
        <f t="shared" si="1"/>
        <v>10.37105</v>
      </c>
    </row>
    <row r="21" ht="20" customHeight="1" spans="1:5">
      <c r="A21" s="6" t="s">
        <v>47</v>
      </c>
      <c r="B21" s="4">
        <v>1.362</v>
      </c>
      <c r="C21" s="4">
        <v>2</v>
      </c>
      <c r="D21" s="7">
        <f t="shared" si="0"/>
        <v>0.42534</v>
      </c>
      <c r="E21" s="7">
        <f t="shared" si="1"/>
        <v>0.85068</v>
      </c>
    </row>
    <row r="22" ht="20" customHeight="1" spans="1:5">
      <c r="A22" s="6" t="s">
        <v>48</v>
      </c>
      <c r="B22" s="4">
        <v>0.906</v>
      </c>
      <c r="C22" s="4">
        <v>1</v>
      </c>
      <c r="D22" s="7">
        <f t="shared" si="0"/>
        <v>0.39342</v>
      </c>
      <c r="E22" s="7">
        <f t="shared" si="1"/>
        <v>0.39342</v>
      </c>
    </row>
    <row r="23" ht="20" customHeight="1" spans="1:5">
      <c r="A23" s="6" t="s">
        <v>49</v>
      </c>
      <c r="B23" s="4">
        <v>2.051</v>
      </c>
      <c r="C23" s="4">
        <v>84</v>
      </c>
      <c r="D23" s="7">
        <f t="shared" si="0"/>
        <v>0.47357</v>
      </c>
      <c r="E23" s="7">
        <f t="shared" si="1"/>
        <v>39.77988</v>
      </c>
    </row>
    <row r="24" ht="20" customHeight="1" spans="1:5">
      <c r="A24" s="6" t="s">
        <v>37</v>
      </c>
      <c r="B24" s="4">
        <v>0.051</v>
      </c>
      <c r="C24" s="4">
        <v>150</v>
      </c>
      <c r="D24" s="7">
        <f t="shared" si="0"/>
        <v>0.33357</v>
      </c>
      <c r="E24" s="7">
        <f t="shared" si="1"/>
        <v>50.0355</v>
      </c>
    </row>
    <row r="25" ht="20" customHeight="1" spans="1:5">
      <c r="A25" s="6" t="s">
        <v>50</v>
      </c>
      <c r="B25" s="4">
        <v>0.362</v>
      </c>
      <c r="C25" s="4">
        <v>92</v>
      </c>
      <c r="D25" s="7">
        <f t="shared" si="0"/>
        <v>0.35534</v>
      </c>
      <c r="E25" s="7">
        <f t="shared" si="1"/>
        <v>32.69128</v>
      </c>
    </row>
    <row r="26" ht="20" customHeight="1" spans="1:5">
      <c r="A26" s="6" t="s">
        <v>51</v>
      </c>
      <c r="B26" s="4">
        <v>2.611</v>
      </c>
      <c r="C26" s="4">
        <v>2</v>
      </c>
      <c r="D26" s="7">
        <f t="shared" si="0"/>
        <v>0.51277</v>
      </c>
      <c r="E26" s="7">
        <f t="shared" si="1"/>
        <v>1.02554</v>
      </c>
    </row>
    <row r="27" ht="20" customHeight="1" spans="1:5">
      <c r="A27" s="6" t="s">
        <v>52</v>
      </c>
      <c r="B27" s="4">
        <v>1.705</v>
      </c>
      <c r="C27" s="4">
        <v>2</v>
      </c>
      <c r="D27" s="7">
        <f t="shared" si="0"/>
        <v>0.44935</v>
      </c>
      <c r="E27" s="7">
        <f t="shared" si="1"/>
        <v>0.8987</v>
      </c>
    </row>
    <row r="28" ht="20" customHeight="1" spans="3:3">
      <c r="C28" s="2">
        <f>SUM(C2:C27)</f>
        <v>2164</v>
      </c>
    </row>
    <row r="29" ht="20" customHeight="1" spans="4:5">
      <c r="D29" s="1" t="s">
        <v>53</v>
      </c>
      <c r="E29" s="9">
        <f>SUM(E2:E28)</f>
        <v>914.40498</v>
      </c>
    </row>
    <row r="30" ht="20" customHeight="1"/>
    <row r="31" ht="20" customHeight="1"/>
    <row r="32" ht="20" customHeight="1"/>
    <row r="33" ht="20" customHeight="1"/>
  </sheetData>
  <hyperlinks>
    <hyperlink ref="A4" r:id="rId1" display="HTCL-B07H3XWDV2" tooltip="http://47.75.102.66:8080/product/product/javascript:void(0)"/>
    <hyperlink ref="A2" r:id="rId1" display="HTCL-B01GEXE74Q" tooltip="http://47.75.102.66:8080/product/product/javascript:void(0)"/>
    <hyperlink ref="A3" r:id="rId1" display="HTCL-B07H3YXL4J" tooltip="http://47.75.102.66:8080/product/product/javascript:void(0)"/>
    <hyperlink ref="A5" r:id="rId1" display="HTCL-B07XGMPQ4X" tooltip="http://47.75.102.66:8080/product/product/javascript:void(0)"/>
    <hyperlink ref="A6" r:id="rId1" display="HTCL-B06XJYMP2J" tooltip="http://47.75.102.66:8080/product/product/javascript:void(0)"/>
    <hyperlink ref="A7" r:id="rId1" display="HTCL-B07S5JB9YH" tooltip="http://47.75.102.66:8080/product/product/javascript:void(0)"/>
    <hyperlink ref="A8" r:id="rId1" display="HTCL-B01GM35TJU" tooltip="http://47.75.102.66:8080/product/product/javascript:void(0)"/>
    <hyperlink ref="A9" r:id="rId1" display="HTCL-B01GM35S6Y" tooltip="http://47.75.102.66:8080/product/product/javascript:void(0)"/>
    <hyperlink ref="A10" r:id="rId1" display="HTCL-B075RFC6YT" tooltip="http://47.75.102.66:8080/product/product/javascript:void(0)"/>
    <hyperlink ref="A11" r:id="rId1" display="HTCL-B087V8JHSD" tooltip="http://47.75.102.66:8080/product/product/javascript:void(0)"/>
    <hyperlink ref="A12" r:id="rId1" display="HTCL-B01N199WJ1" tooltip="http://47.75.102.66:8080/product/product/javascript:void(0)"/>
    <hyperlink ref="A13" r:id="rId1" display="HTCL-B073BQKHPR" tooltip="http://47.75.102.66:8080/product/product/javascript:void(0)"/>
    <hyperlink ref="A14" r:id="rId1" display="HTCL-B08S5F7MM5" tooltip="http://47.75.102.66:8080/product/product/javascript:void(0)"/>
    <hyperlink ref="A15" r:id="rId1" display="HTCL-B06Y1VM9RT" tooltip="http://47.75.102.66:8080/product/product/javascript:void(0)"/>
    <hyperlink ref="A16" r:id="rId1" display="HTCL-B00J4FVZU6" tooltip="http://47.75.102.66:8080/product/product/javascript:void(0)"/>
    <hyperlink ref="A17" r:id="rId1" display="HTCL-B07NKPKJR7" tooltip="http://47.75.102.66:8080/product/product/javascript:void(0)"/>
    <hyperlink ref="A18" r:id="rId1" display="HTCL-B00FUZLT78" tooltip="http://47.75.102.66:8080/product/product/javascript:void(0)"/>
    <hyperlink ref="A19" r:id="rId1" display="HTCL-B012X2ZNOA" tooltip="http://47.75.102.66:8080/product/product/javascript:void(0)"/>
    <hyperlink ref="A20" r:id="rId1" display="HTCL-B08MFSSN8Q" tooltip="http://47.75.102.66:8080/product/product/javascript:void(0)"/>
    <hyperlink ref="A21" r:id="rId1" display="HTCL-B010MVAJZ2" tooltip="http://47.75.102.66:8080/product/product/javascript:void(0)"/>
    <hyperlink ref="A22" r:id="rId1" display="HTCL-B08Z4J89K3" tooltip="http://47.75.102.66:8080/product/product/javascript:void(0)"/>
    <hyperlink ref="A23" r:id="rId1" display="HTCL-B0722CY615" tooltip="http://47.75.102.66:8080/product/product/javascript:void(0)"/>
    <hyperlink ref="A24" r:id="rId1" display="HTCL-B087V8JHSD" tooltip="http://47.75.102.66:8080/product/product/javascript:void(0)"/>
    <hyperlink ref="A25" r:id="rId1" display="HTCL-B01HFKUJEY" tooltip="http://47.75.102.66:8080/product/product/javascript:void(0)"/>
    <hyperlink ref="A26" r:id="rId1" display="HTCL-B0858C3FZQ" tooltip="http://47.75.102.66:8080/product/product/javascript:void(0)"/>
    <hyperlink ref="A27" r:id="rId1" display="HTCL-B00S2AAWD0" tooltip="http://47.75.102.66:8080/product/product/javascript:void(0)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61261261261261" defaultRowHeight="14.1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帐单</vt:lpstr>
      <vt:lpstr>SKU 详情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bowzo</dc:creator>
  <cp:lastModifiedBy></cp:lastModifiedBy>
  <dcterms:created xsi:type="dcterms:W3CDTF">2025-10-02T13:31:00Z</dcterms:created>
  <dcterms:modified xsi:type="dcterms:W3CDTF">2025-10-06T09:12:01Z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0E0934EBFDF94978A08FABC4C6C9CCD8_11</vt:lpwstr>
  </property>
  <property fmtid="{D5CDD505-2E9C-101B-9397-08002B2CF9AE}" pid="3" name="KSOProductBuildVer">
    <vt:lpwstr>2052-12.1.0.22529</vt:lpwstr>
  </property>
</Properties>
</file>