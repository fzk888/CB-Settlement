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212" firstSheet="2" activeTab="3"/>
  </bookViews>
  <sheets>
    <sheet name="CostBill" sheetId="1" r:id="rId1"/>
    <sheet name="CostBill 一件代发费用录入" sheetId="2" r:id="rId2"/>
    <sheet name="vlookup重量" sheetId="3" r:id="rId3"/>
    <sheet name="Sheet1" sheetId="4" r:id="rId4"/>
  </sheets>
  <externalReferences>
    <externalReference r:id="rId5"/>
  </externalReferences>
  <definedNames>
    <definedName name="_xlnm._FilterDatabase" localSheetId="0" hidden="1">CostBill!$A$1:$R$336</definedName>
    <definedName name="_xlnm._FilterDatabase" localSheetId="1" hidden="1">'CostBill 一件代发费用录入'!$A$1:$U$306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<sst xmlns="http://schemas.openxmlformats.org/spreadsheetml/2006/main" count="10555" uniqueCount="994">
  <si>
    <t>NO</t>
  </si>
  <si>
    <t>单号</t>
  </si>
  <si>
    <t>参考号</t>
  </si>
  <si>
    <r>
      <rPr>
        <b/>
        <sz val="10"/>
        <rFont val="宋体"/>
        <charset val="1"/>
      </rPr>
      <t xml:space="preserve">跟踪号  </t>
    </r>
    <r>
      <rPr>
        <b/>
        <sz val="10"/>
        <rFont val="Arial"/>
        <charset val="1"/>
      </rPr>
      <t xml:space="preserve">  sumif</t>
    </r>
    <r>
      <rPr>
        <b/>
        <sz val="10"/>
        <rFont val="宋体"/>
        <charset val="1"/>
      </rPr>
      <t>金额</t>
    </r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</si>
  <si>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</si>
  <si>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</si>
  <si>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</si>
  <si>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</si>
  <si>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</si>
  <si>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</si>
  <si>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</si>
  <si>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</si>
  <si>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</si>
  <si>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</si>
  <si>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</si>
  <si>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</si>
  <si>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</si>
  <si>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</si>
  <si>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</si>
  <si>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WTHTCL-1-20250131</t>
  </si>
  <si>
    <t/>
  </si>
  <si>
    <t>未核账</t>
  </si>
  <si>
    <t>仓租</t>
  </si>
  <si>
    <t>()</t>
  </si>
  <si>
    <t>仓储费</t>
  </si>
  <si>
    <t>OCWSA [4A WS10 UK]</t>
  </si>
  <si>
    <t>GBP</t>
  </si>
  <si>
    <t>2025-01-31 00:00:00</t>
  </si>
  <si>
    <t>2</t>
  </si>
  <si>
    <t>HTCL-250131-0001</t>
  </si>
  <si>
    <t>ST-PO-210-00705284649510773</t>
  </si>
  <si>
    <t>OJ661564934GB</t>
  </si>
  <si>
    <t>包裹订单</t>
  </si>
  <si>
    <t>RM_TR48(48可追踪包裹)</t>
  </si>
  <si>
    <t>操作费</t>
  </si>
  <si>
    <t>0.738</t>
  </si>
  <si>
    <t>2025-01-31 01:05:48</t>
  </si>
  <si>
    <t>GB</t>
  </si>
  <si>
    <t>3</t>
  </si>
  <si>
    <t>运输费</t>
  </si>
  <si>
    <t>4</t>
  </si>
  <si>
    <t>WTHTCL-1-20250130</t>
  </si>
  <si>
    <t>2025-01-30 00:00:00</t>
  </si>
  <si>
    <t>5</t>
  </si>
  <si>
    <t>HTCL-250129-0009</t>
  </si>
  <si>
    <t>shein-GSO1M621Y000T7D</t>
  </si>
  <si>
    <t>OJ660860184GB</t>
  </si>
  <si>
    <t>仓储操作附加费按重量</t>
  </si>
  <si>
    <t>1.646</t>
  </si>
  <si>
    <t>2025-01-29 16:57:16</t>
  </si>
  <si>
    <t>6</t>
  </si>
  <si>
    <t>7</t>
  </si>
  <si>
    <t>8</t>
  </si>
  <si>
    <t>HTCL-250130-0003</t>
  </si>
  <si>
    <t>ST-PO-210-11736884378150555</t>
  </si>
  <si>
    <t>OJ661281116GB</t>
  </si>
  <si>
    <t>1.362</t>
  </si>
  <si>
    <t>2025-01-30 11:17:05</t>
  </si>
  <si>
    <t>9</t>
  </si>
  <si>
    <t>10</t>
  </si>
  <si>
    <t>11</t>
  </si>
  <si>
    <t>HTCL-250130-0004</t>
  </si>
  <si>
    <t>ST-PO-210-11981967007271428</t>
  </si>
  <si>
    <t>OJ661281120GB</t>
  </si>
  <si>
    <t>2025-01-30 11:17:06</t>
  </si>
  <si>
    <t>12</t>
  </si>
  <si>
    <t>13</t>
  </si>
  <si>
    <t>14</t>
  </si>
  <si>
    <t>HTCL-250130-0002</t>
  </si>
  <si>
    <t>ST-PO-210-12124682552872338</t>
  </si>
  <si>
    <t>OJ661281102GB</t>
  </si>
  <si>
    <t>2025-01-30 11:17:04</t>
  </si>
  <si>
    <t>15</t>
  </si>
  <si>
    <t>16</t>
  </si>
  <si>
    <t>17</t>
  </si>
  <si>
    <t>HTCL-250129-0010</t>
  </si>
  <si>
    <t>ST-PO-210-11998241393191077</t>
  </si>
  <si>
    <t>OJ660888148GB</t>
  </si>
  <si>
    <t>2025-01-29 17:57:21</t>
  </si>
  <si>
    <t>18</t>
  </si>
  <si>
    <t>19</t>
  </si>
  <si>
    <t>20</t>
  </si>
  <si>
    <t>HTCL-250130-0001</t>
  </si>
  <si>
    <t>shein-GSO1MX38N00MB5H</t>
  </si>
  <si>
    <t>OJ661250365GB</t>
  </si>
  <si>
    <t>包材费用</t>
  </si>
  <si>
    <t>3.292</t>
  </si>
  <si>
    <t>2025-01-30 10:49:08</t>
  </si>
  <si>
    <t>21</t>
  </si>
  <si>
    <t>仓储操作附加费按件数</t>
  </si>
  <si>
    <t>22</t>
  </si>
  <si>
    <t>23</t>
  </si>
  <si>
    <t>24</t>
  </si>
  <si>
    <t>25</t>
  </si>
  <si>
    <t>WTHTCL-1-20250129</t>
  </si>
  <si>
    <t>2025-01-29 00:00:00</t>
  </si>
  <si>
    <t>26</t>
  </si>
  <si>
    <t>HTCL-250126-0002</t>
  </si>
  <si>
    <t>ST-PO-210-14994884818473662</t>
  </si>
  <si>
    <t>OJ658907268GB</t>
  </si>
  <si>
    <t>1.869</t>
  </si>
  <si>
    <t>2025-01-26 13:27:55</t>
  </si>
  <si>
    <t>27</t>
  </si>
  <si>
    <t>28</t>
  </si>
  <si>
    <t>29</t>
  </si>
  <si>
    <t>30</t>
  </si>
  <si>
    <t>HTCL-250126-0004</t>
  </si>
  <si>
    <t>ST-PO-210-14524761354790320</t>
  </si>
  <si>
    <t>OJ658908630GB</t>
  </si>
  <si>
    <t>2025-01-26 13:31:38</t>
  </si>
  <si>
    <t>31</t>
  </si>
  <si>
    <t>32</t>
  </si>
  <si>
    <t>33</t>
  </si>
  <si>
    <t>34</t>
  </si>
  <si>
    <t>HTCL-250129-0004</t>
  </si>
  <si>
    <t>ST-PO-210-12222831002154091</t>
  </si>
  <si>
    <t>OJ660804196GB</t>
  </si>
  <si>
    <t>1.476</t>
  </si>
  <si>
    <t>2025-01-29 14:51:30</t>
  </si>
  <si>
    <t>35</t>
  </si>
  <si>
    <t>36</t>
  </si>
  <si>
    <t>37</t>
  </si>
  <si>
    <t>38</t>
  </si>
  <si>
    <t>39</t>
  </si>
  <si>
    <t>HTCL-250129-0007</t>
  </si>
  <si>
    <t>WEC0802501290002</t>
  </si>
  <si>
    <t>OJ660804165GB</t>
  </si>
  <si>
    <t>2025-01-29 14:52:13</t>
  </si>
  <si>
    <t>40</t>
  </si>
  <si>
    <t>41</t>
  </si>
  <si>
    <t>HTCL-250129-0005</t>
  </si>
  <si>
    <t>ST-PO-210-11699832750630774</t>
  </si>
  <si>
    <t>OJ660804182GB</t>
  </si>
  <si>
    <t>2025-01-29 14:51:56</t>
  </si>
  <si>
    <t>42</t>
  </si>
  <si>
    <t>43</t>
  </si>
  <si>
    <t>HTCL-250129-0006</t>
  </si>
  <si>
    <t>ST-PO-210-00866787779111856</t>
  </si>
  <si>
    <t>OJ660804205GB</t>
  </si>
  <si>
    <t>2025-01-29 14:52:00</t>
  </si>
  <si>
    <t>44</t>
  </si>
  <si>
    <t>45</t>
  </si>
  <si>
    <t>HTCL-250129-0002</t>
  </si>
  <si>
    <t>ST-PO-210-01292313705513448</t>
  </si>
  <si>
    <t>OJ660697041GB</t>
  </si>
  <si>
    <t>2025-01-29 10:27:36</t>
  </si>
  <si>
    <t>46</t>
  </si>
  <si>
    <t>47</t>
  </si>
  <si>
    <t>48</t>
  </si>
  <si>
    <t>HTCL-250129-0003</t>
  </si>
  <si>
    <t>ST-PO-210-00910195814951631</t>
  </si>
  <si>
    <t>OJ660697055GB</t>
  </si>
  <si>
    <t>2025-01-29 10:30:55</t>
  </si>
  <si>
    <t>49</t>
  </si>
  <si>
    <t>50</t>
  </si>
  <si>
    <t>51</t>
  </si>
  <si>
    <t>HTCL-250129-0001</t>
  </si>
  <si>
    <t>ST-PO-210-11951137981991324</t>
  </si>
  <si>
    <t>OJ660693305GB</t>
  </si>
  <si>
    <t>2025-01-29 10:27:15</t>
  </si>
  <si>
    <t>52</t>
  </si>
  <si>
    <t>53</t>
  </si>
  <si>
    <t>54</t>
  </si>
  <si>
    <t>HTCL-250129-0008</t>
  </si>
  <si>
    <t>ST-PO-210-00990094884391123</t>
  </si>
  <si>
    <t>OJ660804179GB</t>
  </si>
  <si>
    <t>1.149</t>
  </si>
  <si>
    <t>2025-01-29 14:52:17</t>
  </si>
  <si>
    <t>55</t>
  </si>
  <si>
    <t>56</t>
  </si>
  <si>
    <t>57</t>
  </si>
  <si>
    <t>HTCL-250128-0004</t>
  </si>
  <si>
    <t>shein-GSO1M526A001BAL</t>
  </si>
  <si>
    <t>OJ660514790GB</t>
  </si>
  <si>
    <t>2025-01-28 23:31:34</t>
  </si>
  <si>
    <t>58</t>
  </si>
  <si>
    <t>59</t>
  </si>
  <si>
    <t>60</t>
  </si>
  <si>
    <t>WTHTCL-1-20250128</t>
  </si>
  <si>
    <t>2025-01-28 00:00:00</t>
  </si>
  <si>
    <t>61</t>
  </si>
  <si>
    <t>HTCL-250128-0003</t>
  </si>
  <si>
    <t>ST-PO-210-20604397563433285</t>
  </si>
  <si>
    <t>OJ660375642GB</t>
  </si>
  <si>
    <t>1.907</t>
  </si>
  <si>
    <t>2025-01-28 16:57:33</t>
  </si>
  <si>
    <t>62</t>
  </si>
  <si>
    <t>63</t>
  </si>
  <si>
    <t>64</t>
  </si>
  <si>
    <t>HTCL-250128-0002</t>
  </si>
  <si>
    <t>ST-PO-210-20010225536550648</t>
  </si>
  <si>
    <t>OJ660375656GB</t>
  </si>
  <si>
    <t>0.605</t>
  </si>
  <si>
    <t>2025-01-28 16:57:29</t>
  </si>
  <si>
    <t>65</t>
  </si>
  <si>
    <t>66</t>
  </si>
  <si>
    <t>HTCL-250125-0005</t>
  </si>
  <si>
    <t>shein-GSO1M415W000P7V</t>
  </si>
  <si>
    <t>OJ658380604GB</t>
  </si>
  <si>
    <t>0.151</t>
  </si>
  <si>
    <t>2025-01-25 14:27:29</t>
  </si>
  <si>
    <t>67</t>
  </si>
  <si>
    <t>68</t>
  </si>
  <si>
    <t>HTCL-250126-0003</t>
  </si>
  <si>
    <t>ST-PO-210-15018324823593778</t>
  </si>
  <si>
    <t>OJ658907271GB</t>
  </si>
  <si>
    <t>2025-01-26 13:28:08</t>
  </si>
  <si>
    <t>69</t>
  </si>
  <si>
    <t>70</t>
  </si>
  <si>
    <t>HTCL-250127-0007</t>
  </si>
  <si>
    <t>ST-PO-210-09537729599273455</t>
  </si>
  <si>
    <t>OJ659586437GB</t>
  </si>
  <si>
    <t>2025-01-27 13:14:02</t>
  </si>
  <si>
    <t>71</t>
  </si>
  <si>
    <t>72</t>
  </si>
  <si>
    <t>HTCL-250126-0006</t>
  </si>
  <si>
    <t>ST-PO-210-09073017446950081</t>
  </si>
  <si>
    <t>OJ659030220GB</t>
  </si>
  <si>
    <t>2025-01-26 18:15:32</t>
  </si>
  <si>
    <t>73</t>
  </si>
  <si>
    <t>74</t>
  </si>
  <si>
    <t>75</t>
  </si>
  <si>
    <t>HTCL-250127-0006</t>
  </si>
  <si>
    <t>ST-PO-210-09053460650790420</t>
  </si>
  <si>
    <t>OJ659513063GB</t>
  </si>
  <si>
    <t>2025-01-27 10:51:49</t>
  </si>
  <si>
    <t>76</t>
  </si>
  <si>
    <t>77</t>
  </si>
  <si>
    <t>78</t>
  </si>
  <si>
    <t>79</t>
  </si>
  <si>
    <t>HTCL-250125-0001</t>
  </si>
  <si>
    <t>ST-PO-210-03924038408232099</t>
  </si>
  <si>
    <t>OJ658250215GB</t>
  </si>
  <si>
    <t>2025-01-25 10:36:52</t>
  </si>
  <si>
    <t>80</t>
  </si>
  <si>
    <t>81</t>
  </si>
  <si>
    <t>82</t>
  </si>
  <si>
    <t>83</t>
  </si>
  <si>
    <t>HTCL-250127-0005</t>
  </si>
  <si>
    <t>ST-PO-210-08972656842790903</t>
  </si>
  <si>
    <t>OJ659513050GB</t>
  </si>
  <si>
    <t>2025-01-27 10:51:42</t>
  </si>
  <si>
    <t>84</t>
  </si>
  <si>
    <t>85</t>
  </si>
  <si>
    <t>86</t>
  </si>
  <si>
    <t>87</t>
  </si>
  <si>
    <t>HTCL-250125-0002</t>
  </si>
  <si>
    <t>ST-PO-210-03998537146153703</t>
  </si>
  <si>
    <t>OJ658250207GB</t>
  </si>
  <si>
    <t>2025-01-25 10:37:07</t>
  </si>
  <si>
    <t>88</t>
  </si>
  <si>
    <t>89</t>
  </si>
  <si>
    <t>90</t>
  </si>
  <si>
    <t>91</t>
  </si>
  <si>
    <t>HTCL-250125-0003</t>
  </si>
  <si>
    <t>ST-PO-210-03887693139752538</t>
  </si>
  <si>
    <t>OJ658252225GB</t>
  </si>
  <si>
    <t>2025-01-25 10:42:20</t>
  </si>
  <si>
    <t>92</t>
  </si>
  <si>
    <t>93</t>
  </si>
  <si>
    <t>94</t>
  </si>
  <si>
    <t>95</t>
  </si>
  <si>
    <t>HTCL-250125-0004</t>
  </si>
  <si>
    <t>shein-GSO1M439W001L50</t>
  </si>
  <si>
    <t>OJ658380595GB</t>
  </si>
  <si>
    <t>2025-01-25 14:27:28</t>
  </si>
  <si>
    <t>96</t>
  </si>
  <si>
    <t>97</t>
  </si>
  <si>
    <t>98</t>
  </si>
  <si>
    <t>HTCL-250125-0006</t>
  </si>
  <si>
    <t>shein-GSO1M457200M2QM</t>
  </si>
  <si>
    <t>OJ658382605GB</t>
  </si>
  <si>
    <t>2025-01-25 14:28:00</t>
  </si>
  <si>
    <t>99</t>
  </si>
  <si>
    <t>100</t>
  </si>
  <si>
    <t>101</t>
  </si>
  <si>
    <t>HTCL-250127-0003</t>
  </si>
  <si>
    <t>shein-GSO1MT28100Q68U</t>
  </si>
  <si>
    <t>OJ659388330GB</t>
  </si>
  <si>
    <t>0.229</t>
  </si>
  <si>
    <t>2025-01-27 09:46:38</t>
  </si>
  <si>
    <t>102</t>
  </si>
  <si>
    <t>103</t>
  </si>
  <si>
    <t>HTCL-250127-0001</t>
  </si>
  <si>
    <t>12-12628-77707</t>
  </si>
  <si>
    <t>OJ659363341GB</t>
  </si>
  <si>
    <t>1.674</t>
  </si>
  <si>
    <t>2025-01-27 09:00:47</t>
  </si>
  <si>
    <t>104</t>
  </si>
  <si>
    <t>105</t>
  </si>
  <si>
    <t>106</t>
  </si>
  <si>
    <t>107</t>
  </si>
  <si>
    <t>HTCL-250126-0007</t>
  </si>
  <si>
    <t>11-12619-21055</t>
  </si>
  <si>
    <t>OJ659041205GB</t>
  </si>
  <si>
    <t>0.034</t>
  </si>
  <si>
    <t>2025-01-26 18:36:42</t>
  </si>
  <si>
    <t>108</t>
  </si>
  <si>
    <t>109</t>
  </si>
  <si>
    <t>110</t>
  </si>
  <si>
    <t>HTCL-250126-0001</t>
  </si>
  <si>
    <t>shein-GSO1M407F000FCN</t>
  </si>
  <si>
    <t>OJ658652395GB</t>
  </si>
  <si>
    <t>2025-01-26 01:03:38</t>
  </si>
  <si>
    <t>111</t>
  </si>
  <si>
    <t>112</t>
  </si>
  <si>
    <t>113</t>
  </si>
  <si>
    <t>HTCL-250125-0007</t>
  </si>
  <si>
    <t>shein-GSO1M403R000KW8</t>
  </si>
  <si>
    <t>OJ658517523GB</t>
  </si>
  <si>
    <t>2025-01-25 19:33:16</t>
  </si>
  <si>
    <t>114</t>
  </si>
  <si>
    <t>115</t>
  </si>
  <si>
    <t>HTCL-250127-0002</t>
  </si>
  <si>
    <t>shein-GSO1MT6210049S0</t>
  </si>
  <si>
    <t>OJ659388326GB</t>
  </si>
  <si>
    <t>1.348</t>
  </si>
  <si>
    <t>2025-01-27 09:46:36</t>
  </si>
  <si>
    <t>116</t>
  </si>
  <si>
    <t>117</t>
  </si>
  <si>
    <t>118</t>
  </si>
  <si>
    <t>HTCL-250128-0001</t>
  </si>
  <si>
    <t>shein-GSO1M546U003F74</t>
  </si>
  <si>
    <t>OJ660089960GB</t>
  </si>
  <si>
    <t>2025-01-28 06:49:54</t>
  </si>
  <si>
    <t>119</t>
  </si>
  <si>
    <t>120</t>
  </si>
  <si>
    <t>121</t>
  </si>
  <si>
    <t>WTHTCL-1-20250127</t>
  </si>
  <si>
    <t>2025-01-27 00:00:00</t>
  </si>
  <si>
    <t>122</t>
  </si>
  <si>
    <t>HTCL-250126-0005</t>
  </si>
  <si>
    <t>ST-PO-210-03800412434472834</t>
  </si>
  <si>
    <t>OJ658914096GB</t>
  </si>
  <si>
    <t>2025-01-26 13:48:22</t>
  </si>
  <si>
    <t>123</t>
  </si>
  <si>
    <t>124</t>
  </si>
  <si>
    <t>125</t>
  </si>
  <si>
    <t>126</t>
  </si>
  <si>
    <t>127</t>
  </si>
  <si>
    <t>WTHTCL-1-20250126</t>
  </si>
  <si>
    <t>2025-01-26 00:00:00</t>
  </si>
  <si>
    <t>128</t>
  </si>
  <si>
    <t>WTHTCL-1-20250125</t>
  </si>
  <si>
    <t>2025-01-25 00:00:00</t>
  </si>
  <si>
    <t>129</t>
  </si>
  <si>
    <t>WTHTCL-1-20250124</t>
  </si>
  <si>
    <t>2025-01-24 00:00:00</t>
  </si>
  <si>
    <t>130</t>
  </si>
  <si>
    <t>HTCL-250124-0007</t>
  </si>
  <si>
    <t>4338445140</t>
  </si>
  <si>
    <r>
      <rPr>
        <sz val="10"/>
        <color rgb="FFFF0000"/>
        <rFont val="Arial"/>
        <charset val="1"/>
      </rPr>
      <t xml:space="preserve">DPD_GB(DPD </t>
    </r>
    <r>
      <rPr>
        <sz val="10"/>
        <color rgb="FFFF0000"/>
        <rFont val="宋体"/>
        <charset val="1"/>
      </rPr>
      <t>英国</t>
    </r>
    <r>
      <rPr>
        <sz val="10"/>
        <color rgb="FFFF0000"/>
        <rFont val="Arial"/>
        <charset val="1"/>
      </rPr>
      <t>)</t>
    </r>
  </si>
  <si>
    <t>14.528</t>
  </si>
  <si>
    <t>2025-01-24 21:57:45</t>
  </si>
  <si>
    <t>131</t>
  </si>
  <si>
    <t>132</t>
  </si>
  <si>
    <t>133</t>
  </si>
  <si>
    <t>HTCL-250124-0006</t>
  </si>
  <si>
    <t>shein-GSO1M335800M8PQ</t>
  </si>
  <si>
    <t>OJ657923817GB</t>
  </si>
  <si>
    <t>2025-01-24 20:18:43</t>
  </si>
  <si>
    <t>134</t>
  </si>
  <si>
    <t>135</t>
  </si>
  <si>
    <t>136</t>
  </si>
  <si>
    <t>HTCL-250124-0001</t>
  </si>
  <si>
    <t>14-12611-79079</t>
  </si>
  <si>
    <t>OJ657472587GB</t>
  </si>
  <si>
    <t>0.118</t>
  </si>
  <si>
    <t>2025-01-24 09:22:30</t>
  </si>
  <si>
    <t>137</t>
  </si>
  <si>
    <t>138</t>
  </si>
  <si>
    <t>139</t>
  </si>
  <si>
    <t>HTCL-250124-0003</t>
  </si>
  <si>
    <t>ST-PO-210-18130479030311356</t>
  </si>
  <si>
    <t>OJ657472613GB</t>
  </si>
  <si>
    <t>2025-01-24 09:22:38</t>
  </si>
  <si>
    <t>140</t>
  </si>
  <si>
    <t>141</t>
  </si>
  <si>
    <t>142</t>
  </si>
  <si>
    <t>HTCL-250124-0002</t>
  </si>
  <si>
    <t>ST-PO-210-18373531820072212</t>
  </si>
  <si>
    <t>OJ657472635GB</t>
  </si>
  <si>
    <t>2025-01-24 09:22:32</t>
  </si>
  <si>
    <t>143</t>
  </si>
  <si>
    <t>144</t>
  </si>
  <si>
    <t>145</t>
  </si>
  <si>
    <t>146</t>
  </si>
  <si>
    <t>HTCL-250124-0004</t>
  </si>
  <si>
    <t>ST-PO-210-18453410066473784</t>
  </si>
  <si>
    <t>OJ657472600GB</t>
  </si>
  <si>
    <t>2025-01-24 09:22:43</t>
  </si>
  <si>
    <t>147</t>
  </si>
  <si>
    <t>148</t>
  </si>
  <si>
    <t>149</t>
  </si>
  <si>
    <t>150</t>
  </si>
  <si>
    <t>HTCL-250124-0005</t>
  </si>
  <si>
    <t>ST-PO-210-03472395520550951</t>
  </si>
  <si>
    <t>OJ657492025GB</t>
  </si>
  <si>
    <t>2025-01-24 09:52:13</t>
  </si>
  <si>
    <t>151</t>
  </si>
  <si>
    <t>152</t>
  </si>
  <si>
    <t>153</t>
  </si>
  <si>
    <t>154</t>
  </si>
  <si>
    <t>WTHTCL-1-20250123</t>
  </si>
  <si>
    <t>2025-01-23 00:00:00</t>
  </si>
  <si>
    <t>155</t>
  </si>
  <si>
    <t>WTHTCL-1-20250122</t>
  </si>
  <si>
    <t>2025-01-22 00:00:00</t>
  </si>
  <si>
    <t>156</t>
  </si>
  <si>
    <t>HTCL-250122-0004</t>
  </si>
  <si>
    <t>ST-PO-210-07358036050472111</t>
  </si>
  <si>
    <t>OJ656026699GB</t>
  </si>
  <si>
    <t>2025-01-22 11:45:38</t>
  </si>
  <si>
    <t>157</t>
  </si>
  <si>
    <t>158</t>
  </si>
  <si>
    <t>159</t>
  </si>
  <si>
    <t>160</t>
  </si>
  <si>
    <t>HTCL-250122-0001</t>
  </si>
  <si>
    <t>shein-GSO1MC19U0018X0</t>
  </si>
  <si>
    <t>OJ655865705GB</t>
  </si>
  <si>
    <t>2025-01-22 09:00:42</t>
  </si>
  <si>
    <t>161</t>
  </si>
  <si>
    <t>162</t>
  </si>
  <si>
    <t>163</t>
  </si>
  <si>
    <t>HTCL-250122-0002</t>
  </si>
  <si>
    <t>ST-PO-210-12820575931432542</t>
  </si>
  <si>
    <t>OJ655876779GB</t>
  </si>
  <si>
    <t>2025-01-22 09:15:50</t>
  </si>
  <si>
    <t>164</t>
  </si>
  <si>
    <t>165</t>
  </si>
  <si>
    <t>HTCL-250122-0003</t>
  </si>
  <si>
    <t>ST-PO-210-12389954501670791</t>
  </si>
  <si>
    <t>OJ655876782GB</t>
  </si>
  <si>
    <t>2025-01-22 09:16:39</t>
  </si>
  <si>
    <t>166</t>
  </si>
  <si>
    <t>167</t>
  </si>
  <si>
    <t>WTHTCL-1-20250121</t>
  </si>
  <si>
    <t>2025-01-21 00:00:00</t>
  </si>
  <si>
    <t>168</t>
  </si>
  <si>
    <t>HTCL-250121-0003</t>
  </si>
  <si>
    <t>ST-PO-210-01725900178472881</t>
  </si>
  <si>
    <t>OJ655072895GB</t>
  </si>
  <si>
    <t>2025-01-21 09:33:24</t>
  </si>
  <si>
    <t>169</t>
  </si>
  <si>
    <t>170</t>
  </si>
  <si>
    <t>HTCL-250121-0001</t>
  </si>
  <si>
    <t>ST-PO-210-01609802180391557</t>
  </si>
  <si>
    <t>OJ655044926GB</t>
  </si>
  <si>
    <t>2025-01-21 08:57:45</t>
  </si>
  <si>
    <t>171</t>
  </si>
  <si>
    <t>172</t>
  </si>
  <si>
    <t>173</t>
  </si>
  <si>
    <t>174</t>
  </si>
  <si>
    <t>HTCL-250121-0002</t>
  </si>
  <si>
    <t>ST-PO-210-12408976835110901</t>
  </si>
  <si>
    <t>OJ655049968GB</t>
  </si>
  <si>
    <t>2025-01-21 09:01:37</t>
  </si>
  <si>
    <t>175</t>
  </si>
  <si>
    <t>176</t>
  </si>
  <si>
    <t>WTHTCL-1-20250120</t>
  </si>
  <si>
    <t>2025-01-20 00:00:00</t>
  </si>
  <si>
    <t>177</t>
  </si>
  <si>
    <t>HTCL-250119-0002</t>
  </si>
  <si>
    <t>ST-PO-210-09773406208550224</t>
  </si>
  <si>
    <t>OJ636981624GB</t>
  </si>
  <si>
    <t>2025-01-19 19:02:25</t>
  </si>
  <si>
    <t>178</t>
  </si>
  <si>
    <t>179</t>
  </si>
  <si>
    <t>180</t>
  </si>
  <si>
    <t>181</t>
  </si>
  <si>
    <t>182</t>
  </si>
  <si>
    <t>HTCL-250118-0002</t>
  </si>
  <si>
    <t>ST-PO-210-15433152666151082</t>
  </si>
  <si>
    <t>OJ636252285GB</t>
  </si>
  <si>
    <t>2025-01-18 15:09:22</t>
  </si>
  <si>
    <t>183</t>
  </si>
  <si>
    <t>184</t>
  </si>
  <si>
    <t>HTCL-250119-0003</t>
  </si>
  <si>
    <t>ST-PO-210-10030463253032788</t>
  </si>
  <si>
    <t>OJ636981615GB</t>
  </si>
  <si>
    <t>2025-01-19 19:02:26</t>
  </si>
  <si>
    <t>185</t>
  </si>
  <si>
    <t>186</t>
  </si>
  <si>
    <t>HTCL-250119-0004</t>
  </si>
  <si>
    <t>ST-PO-210-09710258560550379</t>
  </si>
  <si>
    <t>OJ636981638GB</t>
  </si>
  <si>
    <t>2025-01-19 19:02:30</t>
  </si>
  <si>
    <t>187</t>
  </si>
  <si>
    <t>188</t>
  </si>
  <si>
    <t>HTCL-250120-0002</t>
  </si>
  <si>
    <t>ST-PO-210-20794078881831864</t>
  </si>
  <si>
    <t>OJ637294644GB</t>
  </si>
  <si>
    <t>2025-01-20 09:12:33</t>
  </si>
  <si>
    <t>189</t>
  </si>
  <si>
    <t>190</t>
  </si>
  <si>
    <t>HTCL-250118-0003</t>
  </si>
  <si>
    <t>shein-GSO1MN35600NG0A</t>
  </si>
  <si>
    <t>OJ636501685GB</t>
  </si>
  <si>
    <t>2025-01-18 23:11:57</t>
  </si>
  <si>
    <t>191</t>
  </si>
  <si>
    <t>192</t>
  </si>
  <si>
    <t>193</t>
  </si>
  <si>
    <t>HTCL-250120-0001</t>
  </si>
  <si>
    <t>3048695192070553</t>
  </si>
  <si>
    <t>OJ637281084GB</t>
  </si>
  <si>
    <t>2025-01-20 08:58:27</t>
  </si>
  <si>
    <t>194</t>
  </si>
  <si>
    <t>195</t>
  </si>
  <si>
    <t>196</t>
  </si>
  <si>
    <t>HTCL-250118-0001</t>
  </si>
  <si>
    <t>ST-PO-210-15633231919912195</t>
  </si>
  <si>
    <t>OJ636184789GB</t>
  </si>
  <si>
    <t>2025-01-18 13:04:29</t>
  </si>
  <si>
    <t>197</t>
  </si>
  <si>
    <t>198</t>
  </si>
  <si>
    <t>199</t>
  </si>
  <si>
    <t>200</t>
  </si>
  <si>
    <t>HTCL-250119-0001</t>
  </si>
  <si>
    <t>ST-PO-210-09660355195430898</t>
  </si>
  <si>
    <t>OJ636875166GB</t>
  </si>
  <si>
    <t>2025-01-19 16:00:28</t>
  </si>
  <si>
    <t>201</t>
  </si>
  <si>
    <t>202</t>
  </si>
  <si>
    <t>203</t>
  </si>
  <si>
    <t>204</t>
  </si>
  <si>
    <t>HTCL-250120-0003</t>
  </si>
  <si>
    <t>04-12602-87752</t>
  </si>
  <si>
    <t>OJ637298822GB</t>
  </si>
  <si>
    <t>2025-01-20 09:15:56</t>
  </si>
  <si>
    <t>205</t>
  </si>
  <si>
    <t>206</t>
  </si>
  <si>
    <t>207</t>
  </si>
  <si>
    <t>HTCL-250117-0003</t>
  </si>
  <si>
    <t>ST-PO-210-04235483244070499</t>
  </si>
  <si>
    <t>OJ635754379GB</t>
  </si>
  <si>
    <t>2025-01-17 09:02:11</t>
  </si>
  <si>
    <t>208</t>
  </si>
  <si>
    <t>209</t>
  </si>
  <si>
    <t>HTCL-250117-0001</t>
  </si>
  <si>
    <t>ST-PO-210-04360408079911768</t>
  </si>
  <si>
    <t>OJ635754303GB</t>
  </si>
  <si>
    <t>2025-01-17 09:01:37</t>
  </si>
  <si>
    <t>210</t>
  </si>
  <si>
    <t>211</t>
  </si>
  <si>
    <t>HTCL-250117-0002</t>
  </si>
  <si>
    <t>shein-GSO1M012800N3VR</t>
  </si>
  <si>
    <t>OJ635754538GB</t>
  </si>
  <si>
    <t>2025-01-17 09:02:06</t>
  </si>
  <si>
    <t>212</t>
  </si>
  <si>
    <t>213</t>
  </si>
  <si>
    <t>214</t>
  </si>
  <si>
    <t>WTHTCL-1-20250119</t>
  </si>
  <si>
    <t>2025-01-19 00:00:00</t>
  </si>
  <si>
    <t>215</t>
  </si>
  <si>
    <t>WTHTCL-1-20250118</t>
  </si>
  <si>
    <t>2025-01-18 00:00:00</t>
  </si>
  <si>
    <t>216</t>
  </si>
  <si>
    <t>WTHTCL-1-20250117</t>
  </si>
  <si>
    <t>2025-01-17 00:00:00</t>
  </si>
  <si>
    <t>217</t>
  </si>
  <si>
    <t>WTHTCL-1-20250116</t>
  </si>
  <si>
    <t>2025-01-16 00:00:00</t>
  </si>
  <si>
    <t>218</t>
  </si>
  <si>
    <t>HTCL-250116-0002</t>
  </si>
  <si>
    <t>ST-PO-210-16902821085992786</t>
  </si>
  <si>
    <t>OJ634391908GB</t>
  </si>
  <si>
    <t>2025-01-16 08:57:34</t>
  </si>
  <si>
    <t>219</t>
  </si>
  <si>
    <t>220</t>
  </si>
  <si>
    <t>221</t>
  </si>
  <si>
    <t>222</t>
  </si>
  <si>
    <t>HTCL-250116-0001</t>
  </si>
  <si>
    <t>ST-PO-210-17130286399273510</t>
  </si>
  <si>
    <t>OJ634391148GB</t>
  </si>
  <si>
    <t>2025-01-16 08:57:30</t>
  </si>
  <si>
    <t>223</t>
  </si>
  <si>
    <t>224</t>
  </si>
  <si>
    <t>225</t>
  </si>
  <si>
    <t>226</t>
  </si>
  <si>
    <t>WTHTCL-1-20250115</t>
  </si>
  <si>
    <t>2025-01-15 00:00:00</t>
  </si>
  <si>
    <t>227</t>
  </si>
  <si>
    <t>WTHTCL-1-20250114</t>
  </si>
  <si>
    <t>2025-01-14 00:00:00</t>
  </si>
  <si>
    <t>228</t>
  </si>
  <si>
    <t>HTCL-250114-0001</t>
  </si>
  <si>
    <t>shein-GSO10E082003PFE</t>
  </si>
  <si>
    <t>OJ632634567GB</t>
  </si>
  <si>
    <t>1.139</t>
  </si>
  <si>
    <t>2025-01-14 08:48:35</t>
  </si>
  <si>
    <t>229</t>
  </si>
  <si>
    <t>230</t>
  </si>
  <si>
    <t>231</t>
  </si>
  <si>
    <t>232</t>
  </si>
  <si>
    <t>WTHTCL-1-20250113</t>
  </si>
  <si>
    <t>2025-01-13 00:00:00</t>
  </si>
  <si>
    <t>233</t>
  </si>
  <si>
    <t>HTCL-250113-0003</t>
  </si>
  <si>
    <t>shein-GSO10V34U001FRN</t>
  </si>
  <si>
    <t>OJ631744827GB</t>
  </si>
  <si>
    <t>0.068</t>
  </si>
  <si>
    <t>2025-01-13 12:27:21</t>
  </si>
  <si>
    <t>234</t>
  </si>
  <si>
    <t>235</t>
  </si>
  <si>
    <t>236</t>
  </si>
  <si>
    <t>HTCL-250113-0002</t>
  </si>
  <si>
    <t>ST-PO-210-00495101156392281</t>
  </si>
  <si>
    <t>OJ631644126GB</t>
  </si>
  <si>
    <t>2025-01-13 11:45:55</t>
  </si>
  <si>
    <t>237</t>
  </si>
  <si>
    <t>238</t>
  </si>
  <si>
    <t>239</t>
  </si>
  <si>
    <t>240</t>
  </si>
  <si>
    <t>WTHTCL-1-20250112</t>
  </si>
  <si>
    <t>2025-01-12 00:00:00</t>
  </si>
  <si>
    <t>241</t>
  </si>
  <si>
    <t>WTHTCL-1-20250111</t>
  </si>
  <si>
    <t>2025-01-11 00:00:00</t>
  </si>
  <si>
    <t>242</t>
  </si>
  <si>
    <t>WTHTCL-1-20250110</t>
  </si>
  <si>
    <t>2025-01-10 00:00:00</t>
  </si>
  <si>
    <t>243</t>
  </si>
  <si>
    <t>HTCL-250110-0002</t>
  </si>
  <si>
    <t>WEC0412501100002</t>
  </si>
  <si>
    <t>OJ629256975GB</t>
  </si>
  <si>
    <t>2025-01-10 10:27:26</t>
  </si>
  <si>
    <t>244</t>
  </si>
  <si>
    <t>245</t>
  </si>
  <si>
    <t>246</t>
  </si>
  <si>
    <t>HTCL-250110-0001</t>
  </si>
  <si>
    <t>ST-PO-210-14038950958631456</t>
  </si>
  <si>
    <t>OJ629192011GB</t>
  </si>
  <si>
    <t>2025-01-10 09:16:04</t>
  </si>
  <si>
    <t>247</t>
  </si>
  <si>
    <t>248</t>
  </si>
  <si>
    <t>WTHTCL-1-20250109</t>
  </si>
  <si>
    <t>2025-01-09 00:00:00</t>
  </si>
  <si>
    <t>249</t>
  </si>
  <si>
    <t>HTCL-250109-0002</t>
  </si>
  <si>
    <t>ST-PO-210-03415223809833306</t>
  </si>
  <si>
    <t>OJ628277395GB</t>
  </si>
  <si>
    <t>2025-01-09 09:12:31</t>
  </si>
  <si>
    <t>250</t>
  </si>
  <si>
    <t>251</t>
  </si>
  <si>
    <t>HTCL-250109-0003</t>
  </si>
  <si>
    <t>ST-PO-210-13816555745830735</t>
  </si>
  <si>
    <t>OJ628669406GB</t>
  </si>
  <si>
    <t>2025-01-09 16:57:20</t>
  </si>
  <si>
    <t>252</t>
  </si>
  <si>
    <t>253</t>
  </si>
  <si>
    <t>254</t>
  </si>
  <si>
    <t>255</t>
  </si>
  <si>
    <t>HTCL-250109-0001</t>
  </si>
  <si>
    <t>3047807708981771</t>
  </si>
  <si>
    <t>OJ628277400GB</t>
  </si>
  <si>
    <t>2025-01-09 09:09:20</t>
  </si>
  <si>
    <t>256</t>
  </si>
  <si>
    <t>257</t>
  </si>
  <si>
    <t>258</t>
  </si>
  <si>
    <t>WTHTCL-1-20250108</t>
  </si>
  <si>
    <t>2025-01-08 00:00:00</t>
  </si>
  <si>
    <t>259</t>
  </si>
  <si>
    <t>HTCL-250108-0001</t>
  </si>
  <si>
    <t>ST-PO-210-18736484859432384</t>
  </si>
  <si>
    <t>OJ627303085GB</t>
  </si>
  <si>
    <t>2025-01-08 08:58:01</t>
  </si>
  <si>
    <t>260</t>
  </si>
  <si>
    <t>261</t>
  </si>
  <si>
    <t>262</t>
  </si>
  <si>
    <t>263</t>
  </si>
  <si>
    <t>HTCL-250108-0002</t>
  </si>
  <si>
    <t>3048097832561212</t>
  </si>
  <si>
    <t>OJ627303077GB</t>
  </si>
  <si>
    <t>2025-01-08 08:58:37</t>
  </si>
  <si>
    <t>264</t>
  </si>
  <si>
    <t>265</t>
  </si>
  <si>
    <t>266</t>
  </si>
  <si>
    <t>HTCL-250108-0003</t>
  </si>
  <si>
    <t>ST-PO-210-18838855496233022</t>
  </si>
  <si>
    <t>OJ627317059GB</t>
  </si>
  <si>
    <t>2.214</t>
  </si>
  <si>
    <t>2025-01-08 09:12:38</t>
  </si>
  <si>
    <t>267</t>
  </si>
  <si>
    <t>268</t>
  </si>
  <si>
    <t>269</t>
  </si>
  <si>
    <t>270</t>
  </si>
  <si>
    <t>271</t>
  </si>
  <si>
    <t>WTHTCL-1-20250107</t>
  </si>
  <si>
    <t>2025-01-07 00:00:00</t>
  </si>
  <si>
    <t>272</t>
  </si>
  <si>
    <t>HTCL-250103-0006</t>
  </si>
  <si>
    <t>ST-PO-210-10542143537192074</t>
  </si>
  <si>
    <t>OJ591843311GB</t>
  </si>
  <si>
    <t>2025-01-03 09:15:56</t>
  </si>
  <si>
    <t>273</t>
  </si>
  <si>
    <t>274</t>
  </si>
  <si>
    <t>275</t>
  </si>
  <si>
    <t>276</t>
  </si>
  <si>
    <t>HTCL-250103-0007</t>
  </si>
  <si>
    <t>ST-PO-210-10319088205353372</t>
  </si>
  <si>
    <t>OJ591843325GB</t>
  </si>
  <si>
    <t>2025-01-03 09:15:57</t>
  </si>
  <si>
    <t>277</t>
  </si>
  <si>
    <t>278</t>
  </si>
  <si>
    <t>279</t>
  </si>
  <si>
    <t>280</t>
  </si>
  <si>
    <t>HTCL-250107-0003</t>
  </si>
  <si>
    <t>3048079273546055</t>
  </si>
  <si>
    <t>OJ595301951GB</t>
  </si>
  <si>
    <t>2025-01-07 09:30:57</t>
  </si>
  <si>
    <t>281</t>
  </si>
  <si>
    <t>282</t>
  </si>
  <si>
    <t>HTCL-250107-0002</t>
  </si>
  <si>
    <t>3047811256245989</t>
  </si>
  <si>
    <t>OJ595302002GB</t>
  </si>
  <si>
    <t>2025-01-07 09:30:47</t>
  </si>
  <si>
    <t>283</t>
  </si>
  <si>
    <t>284</t>
  </si>
  <si>
    <t>WTHTCL-1-20250106</t>
  </si>
  <si>
    <t>2025-01-06 00:00:00</t>
  </si>
  <si>
    <t>285</t>
  </si>
  <si>
    <t>HTCL-250106-0004</t>
  </si>
  <si>
    <t>ST-PO-210-02494446492711914</t>
  </si>
  <si>
    <t>3739612233</t>
  </si>
  <si>
    <t>DPD_GB(DPD 英国)</t>
  </si>
  <si>
    <t>18.160</t>
  </si>
  <si>
    <t>2025-01-06 09:15:47</t>
  </si>
  <si>
    <t>286</t>
  </si>
  <si>
    <t>287</t>
  </si>
  <si>
    <t>288</t>
  </si>
  <si>
    <t>HTCL-250106-0002</t>
  </si>
  <si>
    <t>ST-PO-210-13477763180071187</t>
  </si>
  <si>
    <t>OJ594075162GB</t>
  </si>
  <si>
    <t>2025-01-06 09:04:16</t>
  </si>
  <si>
    <t>289</t>
  </si>
  <si>
    <t>290</t>
  </si>
  <si>
    <t>291</t>
  </si>
  <si>
    <t>292</t>
  </si>
  <si>
    <t>HTCL-250106-0003</t>
  </si>
  <si>
    <t>ST-PO-210-02193520909353708</t>
  </si>
  <si>
    <t>OJ594074516GB</t>
  </si>
  <si>
    <t>2025-01-06 09:04:17</t>
  </si>
  <si>
    <t>293</t>
  </si>
  <si>
    <t>294</t>
  </si>
  <si>
    <t>295</t>
  </si>
  <si>
    <t>296</t>
  </si>
  <si>
    <t>HTCL-250106-0001</t>
  </si>
  <si>
    <t>ST-PO-210-02469993495591260</t>
  </si>
  <si>
    <t>OJ594066506GB</t>
  </si>
  <si>
    <t>2025-01-06 08:59:24</t>
  </si>
  <si>
    <t>297</t>
  </si>
  <si>
    <t>298</t>
  </si>
  <si>
    <t>299</t>
  </si>
  <si>
    <t>300</t>
  </si>
  <si>
    <t>HTCL-250105-0001</t>
  </si>
  <si>
    <t>3047432647492841</t>
  </si>
  <si>
    <t>OJ593581794GB</t>
  </si>
  <si>
    <t>1.827</t>
  </si>
  <si>
    <t>2025-01-05 12:27:21</t>
  </si>
  <si>
    <t>301</t>
  </si>
  <si>
    <t>302</t>
  </si>
  <si>
    <t>303</t>
  </si>
  <si>
    <t>HTCL-250105-0002</t>
  </si>
  <si>
    <t>3047663336018104</t>
  </si>
  <si>
    <t>OJ593581803GB</t>
  </si>
  <si>
    <t>2025-01-05 12:27:46</t>
  </si>
  <si>
    <t>304</t>
  </si>
  <si>
    <t>305</t>
  </si>
  <si>
    <t>WTHTCL-1-20250105</t>
  </si>
  <si>
    <t>2025-01-05 00:00:00</t>
  </si>
  <si>
    <t>306</t>
  </si>
  <si>
    <t>WTHTCL-1-20250104</t>
  </si>
  <si>
    <t>2025-01-04 00:00:00</t>
  </si>
  <si>
    <t>307</t>
  </si>
  <si>
    <t>WTHTCL-1-20250103</t>
  </si>
  <si>
    <t>2025-01-03 00:00:00</t>
  </si>
  <si>
    <t>308</t>
  </si>
  <si>
    <t>HTCL-250103-0003</t>
  </si>
  <si>
    <t>3047613415365563</t>
  </si>
  <si>
    <t>OJ591827129GB</t>
  </si>
  <si>
    <t>2025-01-03 09:05:10</t>
  </si>
  <si>
    <t>309</t>
  </si>
  <si>
    <t>310</t>
  </si>
  <si>
    <t>311</t>
  </si>
  <si>
    <t>HTCL-250103-0004</t>
  </si>
  <si>
    <t>3047584036319393</t>
  </si>
  <si>
    <t>OJ591826375GB</t>
  </si>
  <si>
    <t>2025-01-03 09:05:12</t>
  </si>
  <si>
    <t>312</t>
  </si>
  <si>
    <t>313</t>
  </si>
  <si>
    <t>314</t>
  </si>
  <si>
    <t>315</t>
  </si>
  <si>
    <t>HTCL-250103-0005</t>
  </si>
  <si>
    <t>ST-PO-210-10511128663592517</t>
  </si>
  <si>
    <t>OJ591826300GB</t>
  </si>
  <si>
    <t>2025-01-03 09:05:33</t>
  </si>
  <si>
    <t>316</t>
  </si>
  <si>
    <t>317</t>
  </si>
  <si>
    <t>HTCL-250102-0003</t>
  </si>
  <si>
    <t>shein-GSO10S10A00N56K</t>
  </si>
  <si>
    <t>OJ591567698GB</t>
  </si>
  <si>
    <t>2025-01-02 23:03:39</t>
  </si>
  <si>
    <t>318</t>
  </si>
  <si>
    <t>319</t>
  </si>
  <si>
    <t>320</t>
  </si>
  <si>
    <t>HTCL-250103-0001</t>
  </si>
  <si>
    <t>ST-PO-210-10553785897512263</t>
  </si>
  <si>
    <t>OJ591814981GB</t>
  </si>
  <si>
    <t>2025-01-03 08:55:20</t>
  </si>
  <si>
    <t>321</t>
  </si>
  <si>
    <t>322</t>
  </si>
  <si>
    <t>323</t>
  </si>
  <si>
    <t>HTCL-250103-0002</t>
  </si>
  <si>
    <t>ST-PO-210-10416174019114075</t>
  </si>
  <si>
    <t>OJ591815077GB</t>
  </si>
  <si>
    <t>1.210</t>
  </si>
  <si>
    <t>2025-01-03 08:55:48</t>
  </si>
  <si>
    <t>324</t>
  </si>
  <si>
    <t>325</t>
  </si>
  <si>
    <t>326</t>
  </si>
  <si>
    <t>327</t>
  </si>
  <si>
    <t>328</t>
  </si>
  <si>
    <t>WTHTCL-1-20250102</t>
  </si>
  <si>
    <t>2025-01-02 00:00:00</t>
  </si>
  <si>
    <t>329</t>
  </si>
  <si>
    <t>HTCL-250102-0001</t>
  </si>
  <si>
    <t>shein-GSO10R40S00N9B5</t>
  </si>
  <si>
    <t>OJ590792105GB</t>
  </si>
  <si>
    <t>0.358</t>
  </si>
  <si>
    <t>2025-01-02 08:53:40</t>
  </si>
  <si>
    <t>330</t>
  </si>
  <si>
    <t>331</t>
  </si>
  <si>
    <t>332</t>
  </si>
  <si>
    <t>HTCL-250102-0002</t>
  </si>
  <si>
    <t>ST-PO-210-10459881533993815</t>
  </si>
  <si>
    <t>OJ590792088GB</t>
  </si>
  <si>
    <t>2025-01-02 08:54:04</t>
  </si>
  <si>
    <t>333</t>
  </si>
  <si>
    <t>334</t>
  </si>
  <si>
    <t>335</t>
  </si>
  <si>
    <t>金额汇总</t>
  </si>
  <si>
    <t>已删除重复项</t>
  </si>
  <si>
    <t xml:space="preserve">跟踪号  </t>
  </si>
  <si>
    <t>计费重匹配</t>
  </si>
  <si>
    <t>跟踪号</t>
  </si>
  <si>
    <t>OJ743957005GB</t>
  </si>
  <si>
    <t>OJ743956999GB</t>
  </si>
  <si>
    <t>OJ743968201GB</t>
  </si>
  <si>
    <t>OJ729364261GB</t>
  </si>
  <si>
    <t>OJ729370409GB</t>
  </si>
  <si>
    <t>OJ729353003GB</t>
  </si>
  <si>
    <t>OJ729352569GB</t>
  </si>
  <si>
    <t>OJ729352586GB</t>
  </si>
  <si>
    <t>OJ728599124GB</t>
  </si>
  <si>
    <t>OJ728504118GB</t>
  </si>
  <si>
    <t>OJ727633408GB</t>
  </si>
  <si>
    <t>OJ727651503GB</t>
  </si>
  <si>
    <t>OJ727639269GB</t>
  </si>
  <si>
    <t>OJ727636320GB</t>
  </si>
  <si>
    <t>OJ727651548GB</t>
  </si>
  <si>
    <t>2.050</t>
  </si>
  <si>
    <t>OJ727651622GB</t>
  </si>
  <si>
    <t>OJ727102002GB</t>
  </si>
  <si>
    <t>OJ726615439GB</t>
  </si>
  <si>
    <t>OJ726335751GB</t>
  </si>
  <si>
    <t>OJ726335748GB</t>
  </si>
  <si>
    <t>OJ726556571GB</t>
  </si>
  <si>
    <t>OJ726615297GB</t>
  </si>
  <si>
    <t>OJ726615283GB</t>
  </si>
  <si>
    <t>0.568</t>
  </si>
  <si>
    <t>OJ726615235GB</t>
  </si>
  <si>
    <t>OJ725812738GB</t>
  </si>
  <si>
    <t>OJ726563728GB</t>
  </si>
  <si>
    <t>OJ726563555GB</t>
  </si>
  <si>
    <t>OJ725370258GB</t>
  </si>
  <si>
    <t>OJ725810431GB</t>
  </si>
  <si>
    <t>OJ724471241GB</t>
  </si>
  <si>
    <t>OJ724475835GB</t>
  </si>
  <si>
    <t>OJ724475901GB</t>
  </si>
  <si>
    <t>OJ724506467GB</t>
  </si>
  <si>
    <t>OJ724506484GB</t>
  </si>
  <si>
    <t>OJ723966087GB</t>
  </si>
  <si>
    <t>OJ723724412GB</t>
  </si>
  <si>
    <t>OJ723724240GB</t>
  </si>
  <si>
    <t>OJ723724219GB</t>
  </si>
  <si>
    <t>OJ723724307GB</t>
  </si>
  <si>
    <t>OJ723724253GB</t>
  </si>
  <si>
    <t>OJ723725165GB</t>
  </si>
  <si>
    <t>OJ723724514GB</t>
  </si>
  <si>
    <t>OJ723724369GB</t>
  </si>
  <si>
    <t>3.348</t>
  </si>
  <si>
    <t>OJ723724426GB</t>
  </si>
  <si>
    <t>OJ723724341GB</t>
  </si>
  <si>
    <t>OJ723724559GB</t>
  </si>
  <si>
    <t>OJ723724205GB</t>
  </si>
  <si>
    <t>OJ723724465GB</t>
  </si>
  <si>
    <t>OJ723730523GB</t>
  </si>
  <si>
    <t>OJ723730466GB</t>
  </si>
  <si>
    <t>OJ723731577GB</t>
  </si>
  <si>
    <t>OJ722949290GB</t>
  </si>
  <si>
    <t>OJ722950409GB</t>
  </si>
  <si>
    <t>OJ722951625GB</t>
  </si>
  <si>
    <t>OJ722952183GB</t>
  </si>
  <si>
    <t>OJ722951280GB</t>
  </si>
  <si>
    <t>OJ722950797GB</t>
  </si>
  <si>
    <t>OJ722951801GB</t>
  </si>
  <si>
    <t>0.716</t>
  </si>
  <si>
    <t>OJ722951863GB</t>
  </si>
  <si>
    <t>OJ722951673GB</t>
  </si>
  <si>
    <t>OJ722951466GB</t>
  </si>
  <si>
    <t>OJ722951165GB</t>
  </si>
  <si>
    <t>OJ722951585GB</t>
  </si>
  <si>
    <t>OJ722952149GB</t>
  </si>
  <si>
    <t>OJ722949312GB</t>
  </si>
  <si>
    <t>OJ722949309GB</t>
  </si>
  <si>
    <t>OJ722950355GB</t>
  </si>
  <si>
    <t>OJ722951758GB</t>
  </si>
  <si>
    <t>OJ722952170GB</t>
  </si>
  <si>
    <t>OJ722951965GB</t>
  </si>
  <si>
    <t>OJ722951364GB</t>
  </si>
  <si>
    <t>OJ722981750GB</t>
  </si>
  <si>
    <t>OJ723069164GB</t>
  </si>
  <si>
    <t>OJ723142385GB</t>
  </si>
  <si>
    <t>OJ722952387GB</t>
  </si>
  <si>
    <t>OJ722946126GB</t>
  </si>
  <si>
    <t>OJ722930165GB</t>
  </si>
  <si>
    <t>OJ722089675GB</t>
  </si>
  <si>
    <t>OJ722103465GB</t>
  </si>
  <si>
    <t>OJ722089658GB</t>
  </si>
  <si>
    <t>OJ721621636GB</t>
  </si>
  <si>
    <t>OJ721055370GB</t>
  </si>
  <si>
    <t>OJ720320189GB</t>
  </si>
  <si>
    <t>OJ720846496GB</t>
  </si>
  <si>
    <t>OJ721053246GB</t>
  </si>
  <si>
    <t>OJ721053484GB</t>
  </si>
  <si>
    <t>OJ720320317GB</t>
  </si>
  <si>
    <t>OJ720846575GB</t>
  </si>
  <si>
    <t>OJ721407363GB</t>
  </si>
  <si>
    <t>OJ720320303GB</t>
  </si>
  <si>
    <t>OJ720846553GB</t>
  </si>
  <si>
    <t>OJ721038120GB</t>
  </si>
  <si>
    <t>OJ721053201GB</t>
  </si>
  <si>
    <t>OJ720846540GB</t>
  </si>
  <si>
    <t>OJ721052325GB</t>
  </si>
  <si>
    <t>OJ721053983GB</t>
  </si>
  <si>
    <t>OJ720320095GB</t>
  </si>
  <si>
    <t>OJ720846505GB</t>
  </si>
  <si>
    <t>OJ721053192GB</t>
  </si>
  <si>
    <t>OJ720320334GB</t>
  </si>
  <si>
    <t>OJ721041472GB</t>
  </si>
  <si>
    <t>OJ720368031GB</t>
  </si>
  <si>
    <t>OJ720671888GB</t>
  </si>
  <si>
    <t>OJ720256826GB</t>
  </si>
  <si>
    <t>OJ720320192GB</t>
  </si>
  <si>
    <t>OJ697077987GB</t>
  </si>
  <si>
    <t>OJ697081071GB</t>
  </si>
  <si>
    <t>OJ696866250GB</t>
  </si>
  <si>
    <t>OJ696288021GB</t>
  </si>
  <si>
    <t>OJ696288242GB</t>
  </si>
  <si>
    <t>OJ696290100GB</t>
  </si>
  <si>
    <t>OJ696594225GB</t>
  </si>
  <si>
    <t>OJ696290189GB</t>
  </si>
  <si>
    <t>OJ695435973GB</t>
  </si>
  <si>
    <t>OJ695435960GB</t>
  </si>
  <si>
    <t>OJ695436024GB</t>
  </si>
  <si>
    <t>OJ695443688GB</t>
  </si>
  <si>
    <t>OJ695443665GB</t>
  </si>
  <si>
    <t>OJ694504978GB</t>
  </si>
  <si>
    <t>OJ692018488GB</t>
  </si>
  <si>
    <t>OJ693385948GB</t>
  </si>
  <si>
    <t>OJ692024523GB</t>
  </si>
  <si>
    <t>OJ693927555GB</t>
  </si>
  <si>
    <t>OJ693390727GB</t>
  </si>
  <si>
    <t>OJ692018491GB</t>
  </si>
  <si>
    <t>OJ690885689GB</t>
  </si>
  <si>
    <t>OJ690717102GB</t>
  </si>
  <si>
    <t>OJ690196273GB</t>
  </si>
  <si>
    <t>2.278</t>
  </si>
  <si>
    <t>OJ690174701GB</t>
  </si>
  <si>
    <t>OJ689819197GB</t>
  </si>
  <si>
    <t>OJ689143640GB</t>
  </si>
  <si>
    <t>OJ689110774GB</t>
  </si>
  <si>
    <t>OJ688031148GB</t>
  </si>
  <si>
    <t>OJ663320285GB</t>
  </si>
  <si>
    <t>OJ662252399GB</t>
  </si>
  <si>
    <t>OJ662827963GB</t>
  </si>
  <si>
    <t>OJ663320245GB</t>
  </si>
  <si>
    <t>OJ662995555GB</t>
  </si>
  <si>
    <t>OJ663320237GB</t>
  </si>
  <si>
    <t>OJ663320268GB</t>
  </si>
  <si>
    <t>OJ663320271GB</t>
  </si>
  <si>
    <t>OJ663664657GB</t>
  </si>
  <si>
    <t>6.592</t>
  </si>
  <si>
    <t>0.148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</si>
</sst>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/mm\/dd"/>
    <numFmt numFmtId="177" formatCode="0.00_ "/>
  </numFmts>
  <fonts count="26">
    <font>
      <sz val="10"/>
      <name val="Arial"/>
      <charset val="1"/>
    </font>
    <font>
      <b/>
      <sz val="10"/>
      <name val="Arial"/>
      <charset val="1"/>
    </font>
    <font>
      <b/>
      <sz val="10"/>
      <name val="宋体"/>
      <charset val="1"/>
    </font>
    <font>
      <sz val="10"/>
      <color rgb="FFFF0000"/>
      <name val="Arial"/>
      <charset val="1"/>
    </font>
    <font>
      <sz val="10"/>
      <color rgb="FFFF000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176" fontId="0" fillId="0" borderId="0" xfId="0" applyNumberFormat="1" applyFont="1"/>
    <xf numFmtId="177" fontId="0" fillId="0" borderId="0" xfId="0" applyNumberFormat="1" applyFont="1"/>
    <xf numFmtId="49" fontId="2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0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che\Desktop\&#38047;\&#28023;&#22806;&#20179;\&#28023;&#27915;\2&#26376;\2025-03-05_CostBillExport109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Bill"/>
    </sheetNames>
    <sheetDataSet>
      <sheetData sheetId="0">
        <row r="1">
          <cell r="D1" t="str">
            <v>跟踪号</v>
          </cell>
          <cell r="E1" t="str">
            <v>状态</v>
          </cell>
          <cell r="F1" t="str">
            <v>核销状态</v>
          </cell>
          <cell r="G1" t="str">
            <v>业务类型</v>
          </cell>
          <cell r="H1" t="str">
            <v>运输方式</v>
          </cell>
          <cell r="I1" t="str">
            <v>费用类型</v>
          </cell>
          <cell r="J1" t="str">
            <v>仓库</v>
          </cell>
          <cell r="K1" t="str">
            <v>结算金额</v>
          </cell>
          <cell r="L1" t="str">
            <v>结算币种</v>
          </cell>
          <cell r="M1" t="str">
            <v>计费规则金额</v>
          </cell>
        </row>
        <row r="2">
          <cell r="D2" t="str">
            <v/>
          </cell>
          <cell r="E2" t="str">
            <v>未核账</v>
          </cell>
        </row>
        <row r="2">
          <cell r="G2" t="str">
            <v>仓租</v>
          </cell>
          <cell r="H2" t="str">
            <v>()</v>
          </cell>
          <cell r="I2" t="str">
            <v>仓储费</v>
          </cell>
          <cell r="J2" t="str">
            <v>OCWSA [4A WS10 UK]</v>
          </cell>
          <cell r="K2" t="str">
            <v>13.574</v>
          </cell>
          <cell r="L2" t="str">
            <v>GBP</v>
          </cell>
          <cell r="M2">
            <v>13.574</v>
          </cell>
        </row>
        <row r="3">
          <cell r="D3" t="str">
            <v>OJ743957005GB</v>
          </cell>
          <cell r="E3" t="str">
            <v>未核账</v>
          </cell>
        </row>
        <row r="3">
          <cell r="G3" t="str">
            <v>包裹订单</v>
          </cell>
          <cell r="H3" t="str">
            <v>RM_TR48(48可追踪包裹)</v>
          </cell>
          <cell r="I3" t="str">
            <v>仓储操作附加费按重量</v>
          </cell>
          <cell r="J3" t="str">
            <v>OCWSA [4A WS10 UK]</v>
          </cell>
          <cell r="K3" t="str">
            <v>0.070</v>
          </cell>
          <cell r="L3" t="str">
            <v>GBP</v>
          </cell>
          <cell r="M3">
            <v>0.07</v>
          </cell>
        </row>
        <row r="4">
          <cell r="D4" t="str">
            <v>OJ743957005GB</v>
          </cell>
          <cell r="E4" t="str">
            <v>未核账</v>
          </cell>
        </row>
        <row r="4">
          <cell r="G4" t="str">
            <v>包裹订单</v>
          </cell>
          <cell r="H4" t="str">
            <v>RM_TR48(48可追踪包裹)</v>
          </cell>
          <cell r="I4" t="str">
            <v>操作费</v>
          </cell>
          <cell r="J4" t="str">
            <v>OCWSA [4A WS10 UK]</v>
          </cell>
          <cell r="K4" t="str">
            <v>0.400</v>
          </cell>
          <cell r="L4" t="str">
            <v>GBP</v>
          </cell>
          <cell r="M4">
            <v>0.4</v>
          </cell>
        </row>
        <row r="5">
          <cell r="D5" t="str">
            <v>OJ743957005GB</v>
          </cell>
          <cell r="E5" t="str">
            <v>未核账</v>
          </cell>
        </row>
        <row r="5">
          <cell r="G5" t="str">
            <v>包裹订单</v>
          </cell>
          <cell r="H5" t="str">
            <v>RM_TR48(48可追踪包裹)</v>
          </cell>
          <cell r="I5" t="str">
            <v>运输费</v>
          </cell>
          <cell r="J5" t="str">
            <v>OCWSA [4A WS10 UK]</v>
          </cell>
          <cell r="K5" t="str">
            <v>2.490</v>
          </cell>
          <cell r="L5" t="str">
            <v>GBP</v>
          </cell>
          <cell r="M5">
            <v>2.49</v>
          </cell>
        </row>
        <row r="6">
          <cell r="D6" t="str">
            <v>OJ743956999GB</v>
          </cell>
          <cell r="E6" t="str">
            <v>未核账</v>
          </cell>
        </row>
        <row r="6">
          <cell r="G6" t="str">
            <v>包裹订单</v>
          </cell>
          <cell r="H6" t="str">
            <v>RM_TR48(48可追踪包裹)</v>
          </cell>
          <cell r="I6" t="str">
            <v>操作费</v>
          </cell>
          <cell r="J6" t="str">
            <v>OCWSA [4A WS10 UK]</v>
          </cell>
          <cell r="K6" t="str">
            <v>0.400</v>
          </cell>
          <cell r="L6" t="str">
            <v>GBP</v>
          </cell>
          <cell r="M6">
            <v>0.4</v>
          </cell>
        </row>
        <row r="7">
          <cell r="D7" t="str">
            <v>OJ743956999GB</v>
          </cell>
          <cell r="E7" t="str">
            <v>未核账</v>
          </cell>
        </row>
        <row r="7">
          <cell r="G7" t="str">
            <v>包裹订单</v>
          </cell>
          <cell r="H7" t="str">
            <v>RM_TR48(48可追踪包裹)</v>
          </cell>
          <cell r="I7" t="str">
            <v>运输费</v>
          </cell>
          <cell r="J7" t="str">
            <v>OCWSA [4A WS10 UK]</v>
          </cell>
          <cell r="K7" t="str">
            <v>2.490</v>
          </cell>
          <cell r="L7" t="str">
            <v>GBP</v>
          </cell>
          <cell r="M7">
            <v>2.49</v>
          </cell>
        </row>
        <row r="8">
          <cell r="D8" t="str">
            <v>OJ743968201GB</v>
          </cell>
          <cell r="E8" t="str">
            <v>未核账</v>
          </cell>
        </row>
        <row r="8">
          <cell r="G8" t="str">
            <v>包裹订单</v>
          </cell>
          <cell r="H8" t="str">
            <v>RM_TR48(48可追踪包裹)</v>
          </cell>
          <cell r="I8" t="str">
            <v>操作费</v>
          </cell>
          <cell r="J8" t="str">
            <v>OCWSA [4A WS10 UK]</v>
          </cell>
          <cell r="K8" t="str">
            <v>0.400</v>
          </cell>
          <cell r="L8" t="str">
            <v>GBP</v>
          </cell>
          <cell r="M8">
            <v>0.4</v>
          </cell>
        </row>
        <row r="9">
          <cell r="D9" t="str">
            <v>OJ743968201GB</v>
          </cell>
          <cell r="E9" t="str">
            <v>未核账</v>
          </cell>
        </row>
        <row r="9">
          <cell r="G9" t="str">
            <v>包裹订单</v>
          </cell>
          <cell r="H9" t="str">
            <v>RM_TR48(48可追踪包裹)</v>
          </cell>
          <cell r="I9" t="str">
            <v>运输费</v>
          </cell>
          <cell r="J9" t="str">
            <v>OCWSA [4A WS10 UK]</v>
          </cell>
          <cell r="K9" t="str">
            <v>2.490</v>
          </cell>
          <cell r="L9" t="str">
            <v>GBP</v>
          </cell>
          <cell r="M9">
            <v>2.49</v>
          </cell>
        </row>
        <row r="10">
          <cell r="D10" t="str">
            <v/>
          </cell>
          <cell r="E10" t="str">
            <v>未核账</v>
          </cell>
        </row>
        <row r="10">
          <cell r="G10" t="str">
            <v>仓租</v>
          </cell>
          <cell r="H10" t="str">
            <v>()</v>
          </cell>
          <cell r="I10" t="str">
            <v>仓储费</v>
          </cell>
          <cell r="J10" t="str">
            <v>OCWSA [4A WS10 UK]</v>
          </cell>
          <cell r="K10" t="str">
            <v>13.584</v>
          </cell>
          <cell r="L10" t="str">
            <v>GBP</v>
          </cell>
          <cell r="M10">
            <v>13.584</v>
          </cell>
        </row>
        <row r="11">
          <cell r="D11" t="str">
            <v>OJ729364261GB</v>
          </cell>
          <cell r="E11" t="str">
            <v>未核账</v>
          </cell>
        </row>
        <row r="11">
          <cell r="G11" t="str">
            <v>包裹订单</v>
          </cell>
          <cell r="H11" t="str">
            <v>RM_TR48(48可追踪包裹)</v>
          </cell>
          <cell r="I11" t="str">
            <v>仓储操作附加费按重量</v>
          </cell>
          <cell r="J11" t="str">
            <v>OCWSA [4A WS10 UK]</v>
          </cell>
          <cell r="K11" t="str">
            <v>0.070</v>
          </cell>
          <cell r="L11" t="str">
            <v>GBP</v>
          </cell>
          <cell r="M11">
            <v>0.07</v>
          </cell>
        </row>
        <row r="12">
          <cell r="D12" t="str">
            <v>OJ729364261GB</v>
          </cell>
          <cell r="E12" t="str">
            <v>未核账</v>
          </cell>
        </row>
        <row r="12">
          <cell r="G12" t="str">
            <v>包裹订单</v>
          </cell>
          <cell r="H12" t="str">
            <v>RM_TR48(48可追踪包裹)</v>
          </cell>
          <cell r="I12" t="str">
            <v>操作费</v>
          </cell>
          <cell r="J12" t="str">
            <v>OCWSA [4A WS10 UK]</v>
          </cell>
          <cell r="K12" t="str">
            <v>0.400</v>
          </cell>
          <cell r="L12" t="str">
            <v>GBP</v>
          </cell>
          <cell r="M12">
            <v>0.4</v>
          </cell>
        </row>
        <row r="13">
          <cell r="D13" t="str">
            <v>OJ729364261GB</v>
          </cell>
          <cell r="E13" t="str">
            <v>未核账</v>
          </cell>
        </row>
        <row r="13">
          <cell r="G13" t="str">
            <v>包裹订单</v>
          </cell>
          <cell r="H13" t="str">
            <v>RM_TR48(48可追踪包裹)</v>
          </cell>
          <cell r="I13" t="str">
            <v>运输费</v>
          </cell>
          <cell r="J13" t="str">
            <v>OCWSA [4A WS10 UK]</v>
          </cell>
          <cell r="K13" t="str">
            <v>2.490</v>
          </cell>
          <cell r="L13" t="str">
            <v>GBP</v>
          </cell>
          <cell r="M13">
            <v>2.49</v>
          </cell>
        </row>
        <row r="14">
          <cell r="D14" t="str">
            <v>OJ729370409GB</v>
          </cell>
          <cell r="E14" t="str">
            <v>未核账</v>
          </cell>
        </row>
        <row r="14">
          <cell r="G14" t="str">
            <v>包裹订单</v>
          </cell>
          <cell r="H14" t="str">
            <v>RM_TR48(48可追踪包裹)</v>
          </cell>
          <cell r="I14" t="str">
            <v>操作费</v>
          </cell>
          <cell r="J14" t="str">
            <v>OCWSA [4A WS10 UK]</v>
          </cell>
          <cell r="K14" t="str">
            <v>0.400</v>
          </cell>
          <cell r="L14" t="str">
            <v>GBP</v>
          </cell>
          <cell r="M14">
            <v>0.4</v>
          </cell>
        </row>
        <row r="15">
          <cell r="D15" t="str">
            <v>OJ729370409GB</v>
          </cell>
          <cell r="E15" t="str">
            <v>未核账</v>
          </cell>
        </row>
        <row r="15">
          <cell r="G15" t="str">
            <v>包裹订单</v>
          </cell>
          <cell r="H15" t="str">
            <v>RM_TR48(48可追踪包裹)</v>
          </cell>
          <cell r="I15" t="str">
            <v>运输费</v>
          </cell>
          <cell r="J15" t="str">
            <v>OCWSA [4A WS10 UK]</v>
          </cell>
          <cell r="K15" t="str">
            <v>2.490</v>
          </cell>
          <cell r="L15" t="str">
            <v>GBP</v>
          </cell>
          <cell r="M15">
            <v>2.49</v>
          </cell>
        </row>
        <row r="16">
          <cell r="D16" t="str">
            <v>OJ729353003GB</v>
          </cell>
          <cell r="E16" t="str">
            <v>未核账</v>
          </cell>
        </row>
        <row r="16">
          <cell r="G16" t="str">
            <v>包裹订单</v>
          </cell>
          <cell r="H16" t="str">
            <v>RM_TR48(48可追踪包裹)</v>
          </cell>
          <cell r="I16" t="str">
            <v>仓储操作附加费按重量</v>
          </cell>
          <cell r="J16" t="str">
            <v>OCWSA [4A WS10 UK]</v>
          </cell>
          <cell r="K16" t="str">
            <v>0.070</v>
          </cell>
          <cell r="L16" t="str">
            <v>GBP</v>
          </cell>
          <cell r="M16">
            <v>0.07</v>
          </cell>
        </row>
        <row r="17">
          <cell r="D17" t="str">
            <v>OJ729353003GB</v>
          </cell>
          <cell r="E17" t="str">
            <v>未核账</v>
          </cell>
        </row>
        <row r="17">
          <cell r="G17" t="str">
            <v>包裹订单</v>
          </cell>
          <cell r="H17" t="str">
            <v>RM_TR48(48可追踪包裹)</v>
          </cell>
          <cell r="I17" t="str">
            <v>操作费</v>
          </cell>
          <cell r="J17" t="str">
            <v>OCWSA [4A WS10 UK]</v>
          </cell>
          <cell r="K17" t="str">
            <v>0.400</v>
          </cell>
          <cell r="L17" t="str">
            <v>GBP</v>
          </cell>
          <cell r="M17">
            <v>0.4</v>
          </cell>
        </row>
        <row r="18">
          <cell r="D18" t="str">
            <v>OJ729353003GB</v>
          </cell>
          <cell r="E18" t="str">
            <v>未核账</v>
          </cell>
        </row>
        <row r="18">
          <cell r="G18" t="str">
            <v>包裹订单</v>
          </cell>
          <cell r="H18" t="str">
            <v>RM_TR48(48可追踪包裹)</v>
          </cell>
          <cell r="I18" t="str">
            <v>运输费</v>
          </cell>
          <cell r="J18" t="str">
            <v>OCWSA [4A WS10 UK]</v>
          </cell>
          <cell r="K18" t="str">
            <v>2.490</v>
          </cell>
          <cell r="L18" t="str">
            <v>GBP</v>
          </cell>
          <cell r="M18">
            <v>2.49</v>
          </cell>
        </row>
        <row r="19">
          <cell r="D19" t="str">
            <v>OJ729352569GB</v>
          </cell>
          <cell r="E19" t="str">
            <v>未核账</v>
          </cell>
        </row>
        <row r="19">
          <cell r="G19" t="str">
            <v>包裹订单</v>
          </cell>
          <cell r="H19" t="str">
            <v>RM_TR48(48可追踪包裹)</v>
          </cell>
          <cell r="I19" t="str">
            <v>仓储操作附加费按重量</v>
          </cell>
          <cell r="J19" t="str">
            <v>OCWSA [4A WS10 UK]</v>
          </cell>
          <cell r="K19" t="str">
            <v>0.140</v>
          </cell>
          <cell r="L19" t="str">
            <v>GBP</v>
          </cell>
          <cell r="M19">
            <v>0.14</v>
          </cell>
        </row>
        <row r="20">
          <cell r="D20" t="str">
            <v>OJ729352569GB</v>
          </cell>
          <cell r="E20" t="str">
            <v>未核账</v>
          </cell>
        </row>
        <row r="20">
          <cell r="G20" t="str">
            <v>包裹订单</v>
          </cell>
          <cell r="H20" t="str">
            <v>RM_TR48(48可追踪包裹)</v>
          </cell>
          <cell r="I20" t="str">
            <v>操作费</v>
          </cell>
          <cell r="J20" t="str">
            <v>OCWSA [4A WS10 UK]</v>
          </cell>
          <cell r="K20" t="str">
            <v>0.400</v>
          </cell>
          <cell r="L20" t="str">
            <v>GBP</v>
          </cell>
          <cell r="M20">
            <v>0.4</v>
          </cell>
        </row>
        <row r="21">
          <cell r="D21" t="str">
            <v>OJ729352569GB</v>
          </cell>
          <cell r="E21" t="str">
            <v>未核账</v>
          </cell>
        </row>
        <row r="21">
          <cell r="G21" t="str">
            <v>包裹订单</v>
          </cell>
          <cell r="H21" t="str">
            <v>RM_TR48(48可追踪包裹)</v>
          </cell>
          <cell r="I21" t="str">
            <v>运输费</v>
          </cell>
          <cell r="J21" t="str">
            <v>OCWSA [4A WS10 UK]</v>
          </cell>
          <cell r="K21" t="str">
            <v>2.860</v>
          </cell>
          <cell r="L21" t="str">
            <v>GBP</v>
          </cell>
          <cell r="M21">
            <v>2.86</v>
          </cell>
        </row>
        <row r="22">
          <cell r="D22" t="str">
            <v>OJ729352586GB</v>
          </cell>
          <cell r="E22" t="str">
            <v>未核账</v>
          </cell>
        </row>
        <row r="22">
          <cell r="G22" t="str">
            <v>包裹订单</v>
          </cell>
          <cell r="H22" t="str">
            <v>RM_TR48(48可追踪包裹)</v>
          </cell>
          <cell r="I22" t="str">
            <v>仓储操作附加费按重量</v>
          </cell>
          <cell r="J22" t="str">
            <v>OCWSA [4A WS10 UK]</v>
          </cell>
          <cell r="K22" t="str">
            <v>0.070</v>
          </cell>
          <cell r="L22" t="str">
            <v>GBP</v>
          </cell>
          <cell r="M22">
            <v>0.07</v>
          </cell>
        </row>
        <row r="23">
          <cell r="D23" t="str">
            <v>OJ729352586GB</v>
          </cell>
          <cell r="E23" t="str">
            <v>未核账</v>
          </cell>
        </row>
        <row r="23">
          <cell r="G23" t="str">
            <v>包裹订单</v>
          </cell>
          <cell r="H23" t="str">
            <v>RM_TR48(48可追踪包裹)</v>
          </cell>
          <cell r="I23" t="str">
            <v>操作费</v>
          </cell>
          <cell r="J23" t="str">
            <v>OCWSA [4A WS10 UK]</v>
          </cell>
          <cell r="K23" t="str">
            <v>0.400</v>
          </cell>
          <cell r="L23" t="str">
            <v>GBP</v>
          </cell>
          <cell r="M23">
            <v>0.4</v>
          </cell>
        </row>
        <row r="24">
          <cell r="D24" t="str">
            <v>OJ729352586GB</v>
          </cell>
          <cell r="E24" t="str">
            <v>未核账</v>
          </cell>
        </row>
        <row r="24">
          <cell r="G24" t="str">
            <v>包裹订单</v>
          </cell>
          <cell r="H24" t="str">
            <v>RM_TR48(48可追踪包裹)</v>
          </cell>
          <cell r="I24" t="str">
            <v>运输费</v>
          </cell>
          <cell r="J24" t="str">
            <v>OCWSA [4A WS10 UK]</v>
          </cell>
          <cell r="K24" t="str">
            <v>2.490</v>
          </cell>
          <cell r="L24" t="str">
            <v>GBP</v>
          </cell>
          <cell r="M24">
            <v>2.49</v>
          </cell>
        </row>
        <row r="25">
          <cell r="D25" t="str">
            <v/>
          </cell>
          <cell r="E25" t="str">
            <v>未核账</v>
          </cell>
        </row>
        <row r="25">
          <cell r="G25" t="str">
            <v>仓租</v>
          </cell>
          <cell r="H25" t="str">
            <v>()</v>
          </cell>
          <cell r="I25" t="str">
            <v>仓储费</v>
          </cell>
          <cell r="J25" t="str">
            <v>OCWSA [4A WS10 UK]</v>
          </cell>
          <cell r="K25" t="str">
            <v>13.601</v>
          </cell>
          <cell r="L25" t="str">
            <v>GBP</v>
          </cell>
          <cell r="M25">
            <v>13.601</v>
          </cell>
        </row>
        <row r="26">
          <cell r="D26" t="str">
            <v>OJ728599124GB</v>
          </cell>
          <cell r="E26" t="str">
            <v>未核账</v>
          </cell>
        </row>
        <row r="26">
          <cell r="G26" t="str">
            <v>包裹订单</v>
          </cell>
          <cell r="H26" t="str">
            <v>RM_TR48(48可追踪包裹)</v>
          </cell>
          <cell r="I26" t="str">
            <v>操作费</v>
          </cell>
          <cell r="J26" t="str">
            <v>OCWSA [4A WS10 UK]</v>
          </cell>
          <cell r="K26" t="str">
            <v>0.400</v>
          </cell>
          <cell r="L26" t="str">
            <v>GBP</v>
          </cell>
          <cell r="M26">
            <v>0.4</v>
          </cell>
        </row>
        <row r="27">
          <cell r="D27" t="str">
            <v>OJ728599124GB</v>
          </cell>
          <cell r="E27" t="str">
            <v>未核账</v>
          </cell>
        </row>
        <row r="27">
          <cell r="G27" t="str">
            <v>包裹订单</v>
          </cell>
          <cell r="H27" t="str">
            <v>RM_TR48(48可追踪包裹)</v>
          </cell>
          <cell r="I27" t="str">
            <v>运输费</v>
          </cell>
          <cell r="J27" t="str">
            <v>OCWSA [4A WS10 UK]</v>
          </cell>
          <cell r="K27" t="str">
            <v>2.490</v>
          </cell>
          <cell r="L27" t="str">
            <v>GBP</v>
          </cell>
          <cell r="M27">
            <v>2.49</v>
          </cell>
        </row>
        <row r="28">
          <cell r="D28" t="str">
            <v>OJ728504118GB</v>
          </cell>
          <cell r="E28" t="str">
            <v>未核账</v>
          </cell>
        </row>
        <row r="28">
          <cell r="G28" t="str">
            <v>包裹订单</v>
          </cell>
          <cell r="H28" t="str">
            <v>RM_TR48(48可追踪包裹)</v>
          </cell>
          <cell r="I28" t="str">
            <v>操作费</v>
          </cell>
          <cell r="J28" t="str">
            <v>OCWSA [4A WS10 UK]</v>
          </cell>
          <cell r="K28" t="str">
            <v>0.400</v>
          </cell>
          <cell r="L28" t="str">
            <v>GBP</v>
          </cell>
          <cell r="M28">
            <v>0.4</v>
          </cell>
        </row>
        <row r="29">
          <cell r="D29" t="str">
            <v>OJ728504118GB</v>
          </cell>
          <cell r="E29" t="str">
            <v>未核账</v>
          </cell>
        </row>
        <row r="29">
          <cell r="G29" t="str">
            <v>包裹订单</v>
          </cell>
          <cell r="H29" t="str">
            <v>RM_TR48(48可追踪包裹)</v>
          </cell>
          <cell r="I29" t="str">
            <v>运输费</v>
          </cell>
          <cell r="J29" t="str">
            <v>OCWSA [4A WS10 UK]</v>
          </cell>
          <cell r="K29" t="str">
            <v>2.490</v>
          </cell>
          <cell r="L29" t="str">
            <v>GBP</v>
          </cell>
          <cell r="M29">
            <v>2.49</v>
          </cell>
        </row>
        <row r="30">
          <cell r="D30" t="str">
            <v/>
          </cell>
          <cell r="E30" t="str">
            <v>未核账</v>
          </cell>
        </row>
        <row r="30">
          <cell r="G30" t="str">
            <v>仓租</v>
          </cell>
          <cell r="H30" t="str">
            <v>()</v>
          </cell>
          <cell r="I30" t="str">
            <v>仓储费</v>
          </cell>
          <cell r="J30" t="str">
            <v>OCWSA [4A WS10 UK]</v>
          </cell>
          <cell r="K30" t="str">
            <v>13.605</v>
          </cell>
          <cell r="L30" t="str">
            <v>GBP</v>
          </cell>
          <cell r="M30">
            <v>13.605</v>
          </cell>
        </row>
        <row r="31">
          <cell r="D31" t="str">
            <v>OJ727633408GB</v>
          </cell>
          <cell r="E31" t="str">
            <v>未核账</v>
          </cell>
        </row>
        <row r="31">
          <cell r="G31" t="str">
            <v>包裹订单</v>
          </cell>
          <cell r="H31" t="str">
            <v>RM_TR48(48可追踪包裹)</v>
          </cell>
          <cell r="I31" t="str">
            <v>仓储操作附加费按重量</v>
          </cell>
          <cell r="J31" t="str">
            <v>OCWSA [4A WS10 UK]</v>
          </cell>
          <cell r="K31" t="str">
            <v>0.070</v>
          </cell>
          <cell r="L31" t="str">
            <v>GBP</v>
          </cell>
          <cell r="M31">
            <v>0.07</v>
          </cell>
        </row>
        <row r="32">
          <cell r="D32" t="str">
            <v>OJ727633408GB</v>
          </cell>
          <cell r="E32" t="str">
            <v>未核账</v>
          </cell>
        </row>
        <row r="32">
          <cell r="G32" t="str">
            <v>包裹订单</v>
          </cell>
          <cell r="H32" t="str">
            <v>RM_TR48(48可追踪包裹)</v>
          </cell>
          <cell r="I32" t="str">
            <v>操作费</v>
          </cell>
          <cell r="J32" t="str">
            <v>OCWSA [4A WS10 UK]</v>
          </cell>
          <cell r="K32" t="str">
            <v>0.400</v>
          </cell>
          <cell r="L32" t="str">
            <v>GBP</v>
          </cell>
          <cell r="M32">
            <v>0.4</v>
          </cell>
        </row>
        <row r="33">
          <cell r="D33" t="str">
            <v>OJ727633408GB</v>
          </cell>
          <cell r="E33" t="str">
            <v>未核账</v>
          </cell>
        </row>
        <row r="33">
          <cell r="G33" t="str">
            <v>包裹订单</v>
          </cell>
          <cell r="H33" t="str">
            <v>RM_TR48(48可追踪包裹)</v>
          </cell>
          <cell r="I33" t="str">
            <v>运输费</v>
          </cell>
          <cell r="J33" t="str">
            <v>OCWSA [4A WS10 UK]</v>
          </cell>
          <cell r="K33" t="str">
            <v>2.490</v>
          </cell>
          <cell r="L33" t="str">
            <v>GBP</v>
          </cell>
          <cell r="M33">
            <v>2.49</v>
          </cell>
        </row>
        <row r="34">
          <cell r="D34" t="str">
            <v>OJ727651503GB</v>
          </cell>
          <cell r="E34" t="str">
            <v>未核账</v>
          </cell>
        </row>
        <row r="34">
          <cell r="G34" t="str">
            <v>包裹订单</v>
          </cell>
          <cell r="H34" t="str">
            <v>RM_TR48(48可追踪包裹)</v>
          </cell>
          <cell r="I34" t="str">
            <v>仓储操作附加费按重量</v>
          </cell>
          <cell r="J34" t="str">
            <v>OCWSA [4A WS10 UK]</v>
          </cell>
          <cell r="K34" t="str">
            <v>0.070</v>
          </cell>
          <cell r="L34" t="str">
            <v>GBP</v>
          </cell>
          <cell r="M34">
            <v>0.07</v>
          </cell>
        </row>
        <row r="35">
          <cell r="D35" t="str">
            <v>OJ727651503GB</v>
          </cell>
          <cell r="E35" t="str">
            <v>未核账</v>
          </cell>
        </row>
        <row r="35">
          <cell r="G35" t="str">
            <v>包裹订单</v>
          </cell>
          <cell r="H35" t="str">
            <v>RM_TR48(48可追踪包裹)</v>
          </cell>
          <cell r="I35" t="str">
            <v>操作费</v>
          </cell>
          <cell r="J35" t="str">
            <v>OCWSA [4A WS10 UK]</v>
          </cell>
          <cell r="K35" t="str">
            <v>0.400</v>
          </cell>
          <cell r="L35" t="str">
            <v>GBP</v>
          </cell>
          <cell r="M35">
            <v>0.4</v>
          </cell>
        </row>
        <row r="36">
          <cell r="D36" t="str">
            <v>OJ727651503GB</v>
          </cell>
          <cell r="E36" t="str">
            <v>未核账</v>
          </cell>
        </row>
        <row r="36">
          <cell r="G36" t="str">
            <v>包裹订单</v>
          </cell>
          <cell r="H36" t="str">
            <v>RM_TR48(48可追踪包裹)</v>
          </cell>
          <cell r="I36" t="str">
            <v>运输费</v>
          </cell>
          <cell r="J36" t="str">
            <v>OCWSA [4A WS10 UK]</v>
          </cell>
          <cell r="K36" t="str">
            <v>2.490</v>
          </cell>
          <cell r="L36" t="str">
            <v>GBP</v>
          </cell>
          <cell r="M36">
            <v>2.49</v>
          </cell>
        </row>
        <row r="37">
          <cell r="D37" t="str">
            <v>OJ727639269GB</v>
          </cell>
          <cell r="E37" t="str">
            <v>未核账</v>
          </cell>
        </row>
        <row r="37">
          <cell r="G37" t="str">
            <v>包裹订单</v>
          </cell>
          <cell r="H37" t="str">
            <v>RM_TR48(48可追踪包裹)</v>
          </cell>
          <cell r="I37" t="str">
            <v>仓储操作附加费按重量</v>
          </cell>
          <cell r="J37" t="str">
            <v>OCWSA [4A WS10 UK]</v>
          </cell>
          <cell r="K37" t="str">
            <v>0.070</v>
          </cell>
          <cell r="L37" t="str">
            <v>GBP</v>
          </cell>
          <cell r="M37">
            <v>0.07</v>
          </cell>
        </row>
        <row r="38">
          <cell r="D38" t="str">
            <v>OJ727639269GB</v>
          </cell>
          <cell r="E38" t="str">
            <v>未核账</v>
          </cell>
        </row>
        <row r="38">
          <cell r="G38" t="str">
            <v>包裹订单</v>
          </cell>
          <cell r="H38" t="str">
            <v>RM_TR48(48可追踪包裹)</v>
          </cell>
          <cell r="I38" t="str">
            <v>操作费</v>
          </cell>
          <cell r="J38" t="str">
            <v>OCWSA [4A WS10 UK]</v>
          </cell>
          <cell r="K38" t="str">
            <v>0.400</v>
          </cell>
          <cell r="L38" t="str">
            <v>GBP</v>
          </cell>
          <cell r="M38">
            <v>0.4</v>
          </cell>
        </row>
        <row r="39">
          <cell r="D39" t="str">
            <v>OJ727639269GB</v>
          </cell>
          <cell r="E39" t="str">
            <v>未核账</v>
          </cell>
        </row>
        <row r="39">
          <cell r="G39" t="str">
            <v>包裹订单</v>
          </cell>
          <cell r="H39" t="str">
            <v>RM_TR48(48可追踪包裹)</v>
          </cell>
          <cell r="I39" t="str">
            <v>运输费</v>
          </cell>
          <cell r="J39" t="str">
            <v>OCWSA [4A WS10 UK]</v>
          </cell>
          <cell r="K39" t="str">
            <v>2.490</v>
          </cell>
          <cell r="L39" t="str">
            <v>GBP</v>
          </cell>
          <cell r="M39">
            <v>2.49</v>
          </cell>
        </row>
        <row r="40">
          <cell r="D40" t="str">
            <v>OJ727636320GB</v>
          </cell>
          <cell r="E40" t="str">
            <v>未核账</v>
          </cell>
        </row>
        <row r="40">
          <cell r="G40" t="str">
            <v>包裹订单</v>
          </cell>
          <cell r="H40" t="str">
            <v>RM_TR48(48可追踪包裹)</v>
          </cell>
          <cell r="I40" t="str">
            <v>仓储操作附加费按重量</v>
          </cell>
          <cell r="J40" t="str">
            <v>OCWSA [4A WS10 UK]</v>
          </cell>
          <cell r="K40" t="str">
            <v>0.070</v>
          </cell>
          <cell r="L40" t="str">
            <v>GBP</v>
          </cell>
          <cell r="M40">
            <v>0.07</v>
          </cell>
        </row>
        <row r="41">
          <cell r="D41" t="str">
            <v>OJ727636320GB</v>
          </cell>
          <cell r="E41" t="str">
            <v>未核账</v>
          </cell>
        </row>
        <row r="41">
          <cell r="G41" t="str">
            <v>包裹订单</v>
          </cell>
          <cell r="H41" t="str">
            <v>RM_TR48(48可追踪包裹)</v>
          </cell>
          <cell r="I41" t="str">
            <v>操作费</v>
          </cell>
          <cell r="J41" t="str">
            <v>OCWSA [4A WS10 UK]</v>
          </cell>
          <cell r="K41" t="str">
            <v>0.400</v>
          </cell>
          <cell r="L41" t="str">
            <v>GBP</v>
          </cell>
          <cell r="M41">
            <v>0.4</v>
          </cell>
        </row>
        <row r="42">
          <cell r="D42" t="str">
            <v>OJ727636320GB</v>
          </cell>
          <cell r="E42" t="str">
            <v>未核账</v>
          </cell>
        </row>
        <row r="42">
          <cell r="G42" t="str">
            <v>包裹订单</v>
          </cell>
          <cell r="H42" t="str">
            <v>RM_TR48(48可追踪包裹)</v>
          </cell>
          <cell r="I42" t="str">
            <v>运输费</v>
          </cell>
          <cell r="J42" t="str">
            <v>OCWSA [4A WS10 UK]</v>
          </cell>
          <cell r="K42" t="str">
            <v>2.490</v>
          </cell>
          <cell r="L42" t="str">
            <v>GBP</v>
          </cell>
          <cell r="M42">
            <v>2.49</v>
          </cell>
        </row>
        <row r="43">
          <cell r="D43" t="str">
            <v>OJ727651548GB</v>
          </cell>
          <cell r="E43" t="str">
            <v>未核账</v>
          </cell>
        </row>
        <row r="43">
          <cell r="G43" t="str">
            <v>包裹订单</v>
          </cell>
          <cell r="H43" t="str">
            <v>RM_TR48(48可追踪包裹)</v>
          </cell>
          <cell r="I43" t="str">
            <v>仓储操作附加费按重量</v>
          </cell>
          <cell r="J43" t="str">
            <v>OCWSA [4A WS10 UK]</v>
          </cell>
          <cell r="K43" t="str">
            <v>0.070</v>
          </cell>
          <cell r="L43" t="str">
            <v>GBP</v>
          </cell>
          <cell r="M43">
            <v>0.07</v>
          </cell>
        </row>
        <row r="44">
          <cell r="D44" t="str">
            <v>OJ727651548GB</v>
          </cell>
          <cell r="E44" t="str">
            <v>未核账</v>
          </cell>
        </row>
        <row r="44">
          <cell r="G44" t="str">
            <v>包裹订单</v>
          </cell>
          <cell r="H44" t="str">
            <v>RM_TR48(48可追踪包裹)</v>
          </cell>
          <cell r="I44" t="str">
            <v>操作费</v>
          </cell>
          <cell r="J44" t="str">
            <v>OCWSA [4A WS10 UK]</v>
          </cell>
          <cell r="K44" t="str">
            <v>0.400</v>
          </cell>
          <cell r="L44" t="str">
            <v>GBP</v>
          </cell>
          <cell r="M44">
            <v>0.4</v>
          </cell>
        </row>
        <row r="45">
          <cell r="D45" t="str">
            <v>OJ727651548GB</v>
          </cell>
          <cell r="E45" t="str">
            <v>未核账</v>
          </cell>
        </row>
        <row r="45">
          <cell r="G45" t="str">
            <v>包裹订单</v>
          </cell>
          <cell r="H45" t="str">
            <v>RM_TR48(48可追踪包裹)</v>
          </cell>
          <cell r="I45" t="str">
            <v>运输费</v>
          </cell>
          <cell r="J45" t="str">
            <v>OCWSA [4A WS10 UK]</v>
          </cell>
          <cell r="K45" t="str">
            <v>2.490</v>
          </cell>
          <cell r="L45" t="str">
            <v>GBP</v>
          </cell>
          <cell r="M45">
            <v>2.49</v>
          </cell>
        </row>
        <row r="46">
          <cell r="D46" t="str">
            <v>OJ727651622GB</v>
          </cell>
          <cell r="E46" t="str">
            <v>未核账</v>
          </cell>
        </row>
        <row r="46">
          <cell r="G46" t="str">
            <v>包裹订单</v>
          </cell>
          <cell r="H46" t="str">
            <v>RM_TR48(48可追踪包裹)</v>
          </cell>
          <cell r="I46" t="str">
            <v>仓储操作附加费按重量</v>
          </cell>
          <cell r="J46" t="str">
            <v>OCWSA [4A WS10 UK]</v>
          </cell>
          <cell r="K46" t="str">
            <v>0.070</v>
          </cell>
          <cell r="L46" t="str">
            <v>GBP</v>
          </cell>
          <cell r="M46">
            <v>0.07</v>
          </cell>
        </row>
        <row r="47">
          <cell r="D47" t="str">
            <v>OJ727651622GB</v>
          </cell>
          <cell r="E47" t="str">
            <v>未核账</v>
          </cell>
        </row>
        <row r="47">
          <cell r="G47" t="str">
            <v>包裹订单</v>
          </cell>
          <cell r="H47" t="str">
            <v>RM_TR48(48可追踪包裹)</v>
          </cell>
          <cell r="I47" t="str">
            <v>操作费</v>
          </cell>
          <cell r="J47" t="str">
            <v>OCWSA [4A WS10 UK]</v>
          </cell>
          <cell r="K47" t="str">
            <v>0.400</v>
          </cell>
          <cell r="L47" t="str">
            <v>GBP</v>
          </cell>
          <cell r="M47">
            <v>0.4</v>
          </cell>
        </row>
        <row r="48">
          <cell r="D48" t="str">
            <v>OJ727651622GB</v>
          </cell>
          <cell r="E48" t="str">
            <v>未核账</v>
          </cell>
        </row>
        <row r="48">
          <cell r="G48" t="str">
            <v>包裹订单</v>
          </cell>
          <cell r="H48" t="str">
            <v>RM_TR48(48可追踪包裹)</v>
          </cell>
          <cell r="I48" t="str">
            <v>运输费</v>
          </cell>
          <cell r="J48" t="str">
            <v>OCWSA [4A WS10 UK]</v>
          </cell>
          <cell r="K48" t="str">
            <v>2.490</v>
          </cell>
          <cell r="L48" t="str">
            <v>GBP</v>
          </cell>
          <cell r="M48">
            <v>2.49</v>
          </cell>
        </row>
        <row r="49">
          <cell r="D49" t="str">
            <v/>
          </cell>
          <cell r="E49" t="str">
            <v>未核账</v>
          </cell>
        </row>
        <row r="49">
          <cell r="G49" t="str">
            <v>仓租</v>
          </cell>
          <cell r="H49" t="str">
            <v>()</v>
          </cell>
          <cell r="I49" t="str">
            <v>仓储费</v>
          </cell>
          <cell r="J49" t="str">
            <v>OCWSA [4A WS10 UK]</v>
          </cell>
          <cell r="K49" t="str">
            <v>13.625</v>
          </cell>
          <cell r="L49" t="str">
            <v>GBP</v>
          </cell>
          <cell r="M49">
            <v>13.625</v>
          </cell>
        </row>
        <row r="50">
          <cell r="D50" t="str">
            <v>OJ727102002GB</v>
          </cell>
          <cell r="E50" t="str">
            <v>未核账</v>
          </cell>
        </row>
        <row r="50">
          <cell r="G50" t="str">
            <v>包裹订单</v>
          </cell>
          <cell r="H50" t="str">
            <v>RM_TR48(48可追踪包裹)</v>
          </cell>
          <cell r="I50" t="str">
            <v>仓储操作附加费按件数</v>
          </cell>
          <cell r="J50" t="str">
            <v>OCWSA [4A WS10 UK]</v>
          </cell>
          <cell r="K50" t="str">
            <v>0.300</v>
          </cell>
          <cell r="L50" t="str">
            <v>GBP</v>
          </cell>
          <cell r="M50">
            <v>0.3</v>
          </cell>
        </row>
        <row r="51">
          <cell r="D51" t="str">
            <v>OJ727102002GB</v>
          </cell>
          <cell r="E51" t="str">
            <v>未核账</v>
          </cell>
        </row>
        <row r="51">
          <cell r="G51" t="str">
            <v>包裹订单</v>
          </cell>
          <cell r="H51" t="str">
            <v>RM_TR48(48可追踪包裹)</v>
          </cell>
          <cell r="I51" t="str">
            <v>仓储操作附加费按重量</v>
          </cell>
          <cell r="J51" t="str">
            <v>OCWSA [4A WS10 UK]</v>
          </cell>
          <cell r="K51" t="str">
            <v>0.210</v>
          </cell>
          <cell r="L51" t="str">
            <v>GBP</v>
          </cell>
          <cell r="M51">
            <v>0.21</v>
          </cell>
        </row>
        <row r="52">
          <cell r="D52" t="str">
            <v>OJ727102002GB</v>
          </cell>
          <cell r="E52" t="str">
            <v>未核账</v>
          </cell>
        </row>
        <row r="52">
          <cell r="G52" t="str">
            <v>包裹订单</v>
          </cell>
          <cell r="H52" t="str">
            <v>RM_TR48(48可追踪包裹)</v>
          </cell>
          <cell r="I52" t="str">
            <v>操作费</v>
          </cell>
          <cell r="J52" t="str">
            <v>OCWSA [4A WS10 UK]</v>
          </cell>
          <cell r="K52" t="str">
            <v>0.400</v>
          </cell>
          <cell r="L52" t="str">
            <v>GBP</v>
          </cell>
          <cell r="M52">
            <v>0.4</v>
          </cell>
        </row>
        <row r="53">
          <cell r="D53" t="str">
            <v>OJ727102002GB</v>
          </cell>
          <cell r="E53" t="str">
            <v>未核账</v>
          </cell>
        </row>
        <row r="53">
          <cell r="G53" t="str">
            <v>包裹订单</v>
          </cell>
          <cell r="H53" t="str">
            <v>RM_TR48(48可追踪包裹)</v>
          </cell>
          <cell r="I53" t="str">
            <v>运输费</v>
          </cell>
          <cell r="J53" t="str">
            <v>OCWSA [4A WS10 UK]</v>
          </cell>
          <cell r="K53" t="str">
            <v>2.860</v>
          </cell>
          <cell r="L53" t="str">
            <v>GBP</v>
          </cell>
          <cell r="M53">
            <v>2.86</v>
          </cell>
        </row>
        <row r="54">
          <cell r="D54" t="str">
            <v>OJ726615439GB</v>
          </cell>
          <cell r="E54" t="str">
            <v>未核账</v>
          </cell>
        </row>
        <row r="54">
          <cell r="G54" t="str">
            <v>包裹订单</v>
          </cell>
          <cell r="H54" t="str">
            <v>RM_TR48(48可追踪包裹)</v>
          </cell>
          <cell r="I54" t="str">
            <v>仓储操作附加费按重量</v>
          </cell>
          <cell r="J54" t="str">
            <v>OCWSA [4A WS10 UK]</v>
          </cell>
          <cell r="K54" t="str">
            <v>0.070</v>
          </cell>
          <cell r="L54" t="str">
            <v>GBP</v>
          </cell>
          <cell r="M54">
            <v>0.07</v>
          </cell>
        </row>
        <row r="55">
          <cell r="D55" t="str">
            <v>OJ726615439GB</v>
          </cell>
          <cell r="E55" t="str">
            <v>未核账</v>
          </cell>
        </row>
        <row r="55">
          <cell r="G55" t="str">
            <v>包裹订单</v>
          </cell>
          <cell r="H55" t="str">
            <v>RM_TR48(48可追踪包裹)</v>
          </cell>
          <cell r="I55" t="str">
            <v>操作费</v>
          </cell>
          <cell r="J55" t="str">
            <v>OCWSA [4A WS10 UK]</v>
          </cell>
          <cell r="K55" t="str">
            <v>0.400</v>
          </cell>
          <cell r="L55" t="str">
            <v>GBP</v>
          </cell>
          <cell r="M55">
            <v>0.4</v>
          </cell>
        </row>
        <row r="56">
          <cell r="D56" t="str">
            <v>OJ726615439GB</v>
          </cell>
          <cell r="E56" t="str">
            <v>未核账</v>
          </cell>
        </row>
        <row r="56">
          <cell r="G56" t="str">
            <v>包裹订单</v>
          </cell>
          <cell r="H56" t="str">
            <v>RM_TR48(48可追踪包裹)</v>
          </cell>
          <cell r="I56" t="str">
            <v>运输费</v>
          </cell>
          <cell r="J56" t="str">
            <v>OCWSA [4A WS10 UK]</v>
          </cell>
          <cell r="K56" t="str">
            <v>2.490</v>
          </cell>
          <cell r="L56" t="str">
            <v>GBP</v>
          </cell>
          <cell r="M56">
            <v>2.49</v>
          </cell>
        </row>
        <row r="57">
          <cell r="D57" t="str">
            <v>OJ726335751GB</v>
          </cell>
          <cell r="E57" t="str">
            <v>未核账</v>
          </cell>
        </row>
        <row r="57">
          <cell r="G57" t="str">
            <v>包裹订单</v>
          </cell>
          <cell r="H57" t="str">
            <v>RM_TR48(48可追踪包裹)</v>
          </cell>
          <cell r="I57" t="str">
            <v>仓储操作附加费按重量</v>
          </cell>
          <cell r="J57" t="str">
            <v>OCWSA [4A WS10 UK]</v>
          </cell>
          <cell r="K57" t="str">
            <v>0.070</v>
          </cell>
          <cell r="L57" t="str">
            <v>GBP</v>
          </cell>
          <cell r="M57">
            <v>0.07</v>
          </cell>
        </row>
        <row r="58">
          <cell r="D58" t="str">
            <v>OJ726335751GB</v>
          </cell>
          <cell r="E58" t="str">
            <v>未核账</v>
          </cell>
        </row>
        <row r="58">
          <cell r="G58" t="str">
            <v>包裹订单</v>
          </cell>
          <cell r="H58" t="str">
            <v>RM_TR48(48可追踪包裹)</v>
          </cell>
          <cell r="I58" t="str">
            <v>操作费</v>
          </cell>
          <cell r="J58" t="str">
            <v>OCWSA [4A WS10 UK]</v>
          </cell>
          <cell r="K58" t="str">
            <v>0.400</v>
          </cell>
          <cell r="L58" t="str">
            <v>GBP</v>
          </cell>
          <cell r="M58">
            <v>0.4</v>
          </cell>
        </row>
        <row r="59">
          <cell r="D59" t="str">
            <v>OJ726335751GB</v>
          </cell>
          <cell r="E59" t="str">
            <v>未核账</v>
          </cell>
        </row>
        <row r="59">
          <cell r="G59" t="str">
            <v>包裹订单</v>
          </cell>
          <cell r="H59" t="str">
            <v>RM_TR48(48可追踪包裹)</v>
          </cell>
          <cell r="I59" t="str">
            <v>运输费</v>
          </cell>
          <cell r="J59" t="str">
            <v>OCWSA [4A WS10 UK]</v>
          </cell>
          <cell r="K59" t="str">
            <v>2.490</v>
          </cell>
          <cell r="L59" t="str">
            <v>GBP</v>
          </cell>
          <cell r="M59">
            <v>2.49</v>
          </cell>
        </row>
        <row r="60">
          <cell r="D60" t="str">
            <v>OJ726335748GB</v>
          </cell>
          <cell r="E60" t="str">
            <v>未核账</v>
          </cell>
        </row>
        <row r="60">
          <cell r="G60" t="str">
            <v>包裹订单</v>
          </cell>
          <cell r="H60" t="str">
            <v>RM_TR48(48可追踪包裹)</v>
          </cell>
          <cell r="I60" t="str">
            <v>仓储操作附加费按重量</v>
          </cell>
          <cell r="J60" t="str">
            <v>OCWSA [4A WS10 UK]</v>
          </cell>
          <cell r="K60" t="str">
            <v>0.070</v>
          </cell>
          <cell r="L60" t="str">
            <v>GBP</v>
          </cell>
          <cell r="M60">
            <v>0.07</v>
          </cell>
        </row>
        <row r="61">
          <cell r="D61" t="str">
            <v>OJ726335748GB</v>
          </cell>
          <cell r="E61" t="str">
            <v>未核账</v>
          </cell>
        </row>
        <row r="61">
          <cell r="G61" t="str">
            <v>包裹订单</v>
          </cell>
          <cell r="H61" t="str">
            <v>RM_TR48(48可追踪包裹)</v>
          </cell>
          <cell r="I61" t="str">
            <v>操作费</v>
          </cell>
          <cell r="J61" t="str">
            <v>OCWSA [4A WS10 UK]</v>
          </cell>
          <cell r="K61" t="str">
            <v>0.400</v>
          </cell>
          <cell r="L61" t="str">
            <v>GBP</v>
          </cell>
          <cell r="M61">
            <v>0.4</v>
          </cell>
        </row>
        <row r="62">
          <cell r="D62" t="str">
            <v>OJ726335748GB</v>
          </cell>
          <cell r="E62" t="str">
            <v>未核账</v>
          </cell>
        </row>
        <row r="62">
          <cell r="G62" t="str">
            <v>包裹订单</v>
          </cell>
          <cell r="H62" t="str">
            <v>RM_TR48(48可追踪包裹)</v>
          </cell>
          <cell r="I62" t="str">
            <v>运输费</v>
          </cell>
          <cell r="J62" t="str">
            <v>OCWSA [4A WS10 UK]</v>
          </cell>
          <cell r="K62" t="str">
            <v>2.490</v>
          </cell>
          <cell r="L62" t="str">
            <v>GBP</v>
          </cell>
          <cell r="M62">
            <v>2.49</v>
          </cell>
        </row>
        <row r="63">
          <cell r="D63" t="str">
            <v>OJ726556571GB</v>
          </cell>
          <cell r="E63" t="str">
            <v>未核账</v>
          </cell>
        </row>
        <row r="63">
          <cell r="G63" t="str">
            <v>包裹订单</v>
          </cell>
          <cell r="H63" t="str">
            <v>RM_TR48(48可追踪包裹)</v>
          </cell>
          <cell r="I63" t="str">
            <v>操作费</v>
          </cell>
          <cell r="J63" t="str">
            <v>OCWSA [4A WS10 UK]</v>
          </cell>
          <cell r="K63" t="str">
            <v>0.400</v>
          </cell>
          <cell r="L63" t="str">
            <v>GBP</v>
          </cell>
          <cell r="M63">
            <v>0.4</v>
          </cell>
        </row>
        <row r="64">
          <cell r="D64" t="str">
            <v>OJ726556571GB</v>
          </cell>
          <cell r="E64" t="str">
            <v>未核账</v>
          </cell>
        </row>
        <row r="64">
          <cell r="G64" t="str">
            <v>包裹订单</v>
          </cell>
          <cell r="H64" t="str">
            <v>RM_TR48(48可追踪包裹)</v>
          </cell>
          <cell r="I64" t="str">
            <v>运输费</v>
          </cell>
          <cell r="J64" t="str">
            <v>OCWSA [4A WS10 UK]</v>
          </cell>
          <cell r="K64" t="str">
            <v>2.490</v>
          </cell>
          <cell r="L64" t="str">
            <v>GBP</v>
          </cell>
          <cell r="M64">
            <v>2.49</v>
          </cell>
        </row>
        <row r="65">
          <cell r="D65" t="str">
            <v>OJ726615297GB</v>
          </cell>
          <cell r="E65" t="str">
            <v>未核账</v>
          </cell>
        </row>
        <row r="65">
          <cell r="G65" t="str">
            <v>包裹订单</v>
          </cell>
          <cell r="H65" t="str">
            <v>RM_TR48(48可追踪包裹)</v>
          </cell>
          <cell r="I65" t="str">
            <v>仓储操作附加费按件数</v>
          </cell>
          <cell r="J65" t="str">
            <v>OCWSA [4A WS10 UK]</v>
          </cell>
          <cell r="K65" t="str">
            <v>0.300</v>
          </cell>
          <cell r="L65" t="str">
            <v>GBP</v>
          </cell>
          <cell r="M65">
            <v>0.3</v>
          </cell>
        </row>
        <row r="66">
          <cell r="D66" t="str">
            <v>OJ726615297GB</v>
          </cell>
          <cell r="E66" t="str">
            <v>未核账</v>
          </cell>
        </row>
        <row r="66">
          <cell r="G66" t="str">
            <v>包裹订单</v>
          </cell>
          <cell r="H66" t="str">
            <v>RM_TR48(48可追踪包裹)</v>
          </cell>
          <cell r="I66" t="str">
            <v>操作费</v>
          </cell>
          <cell r="J66" t="str">
            <v>OCWSA [4A WS10 UK]</v>
          </cell>
          <cell r="K66" t="str">
            <v>0.400</v>
          </cell>
          <cell r="L66" t="str">
            <v>GBP</v>
          </cell>
          <cell r="M66">
            <v>0.4</v>
          </cell>
        </row>
        <row r="67">
          <cell r="D67" t="str">
            <v>OJ726615297GB</v>
          </cell>
          <cell r="E67" t="str">
            <v>未核账</v>
          </cell>
        </row>
        <row r="67">
          <cell r="G67" t="str">
            <v>包裹订单</v>
          </cell>
          <cell r="H67" t="str">
            <v>RM_TR48(48可追踪包裹)</v>
          </cell>
          <cell r="I67" t="str">
            <v>运输费</v>
          </cell>
          <cell r="J67" t="str">
            <v>OCWSA [4A WS10 UK]</v>
          </cell>
          <cell r="K67" t="str">
            <v>2.490</v>
          </cell>
          <cell r="L67" t="str">
            <v>GBP</v>
          </cell>
          <cell r="M67">
            <v>2.49</v>
          </cell>
        </row>
        <row r="68">
          <cell r="D68" t="str">
            <v>OJ726615283GB</v>
          </cell>
          <cell r="E68" t="str">
            <v>未核账</v>
          </cell>
        </row>
        <row r="68">
          <cell r="G68" t="str">
            <v>包裹订单</v>
          </cell>
          <cell r="H68" t="str">
            <v>RM_TR48(48可追踪包裹)</v>
          </cell>
          <cell r="I68" t="str">
            <v>操作费</v>
          </cell>
          <cell r="J68" t="str">
            <v>OCWSA [4A WS10 UK]</v>
          </cell>
          <cell r="K68" t="str">
            <v>0.400</v>
          </cell>
          <cell r="L68" t="str">
            <v>GBP</v>
          </cell>
          <cell r="M68">
            <v>0.4</v>
          </cell>
        </row>
        <row r="69">
          <cell r="D69" t="str">
            <v>OJ726615283GB</v>
          </cell>
          <cell r="E69" t="str">
            <v>未核账</v>
          </cell>
        </row>
        <row r="69">
          <cell r="G69" t="str">
            <v>包裹订单</v>
          </cell>
          <cell r="H69" t="str">
            <v>RM_TR48(48可追踪包裹)</v>
          </cell>
          <cell r="I69" t="str">
            <v>运输费</v>
          </cell>
          <cell r="J69" t="str">
            <v>OCWSA [4A WS10 UK]</v>
          </cell>
          <cell r="K69" t="str">
            <v>2.490</v>
          </cell>
          <cell r="L69" t="str">
            <v>GBP</v>
          </cell>
          <cell r="M69">
            <v>2.49</v>
          </cell>
        </row>
        <row r="70">
          <cell r="D70" t="str">
            <v>OJ726615235GB</v>
          </cell>
          <cell r="E70" t="str">
            <v>未核账</v>
          </cell>
        </row>
        <row r="70">
          <cell r="G70" t="str">
            <v>包裹订单</v>
          </cell>
          <cell r="H70" t="str">
            <v>RM_TR48(48可追踪包裹)</v>
          </cell>
          <cell r="I70" t="str">
            <v>仓储操作附加费按重量</v>
          </cell>
          <cell r="J70" t="str">
            <v>OCWSA [4A WS10 UK]</v>
          </cell>
          <cell r="K70" t="str">
            <v>0.070</v>
          </cell>
          <cell r="L70" t="str">
            <v>GBP</v>
          </cell>
          <cell r="M70">
            <v>0.07</v>
          </cell>
        </row>
        <row r="71">
          <cell r="D71" t="str">
            <v>OJ726615235GB</v>
          </cell>
          <cell r="E71" t="str">
            <v>未核账</v>
          </cell>
        </row>
        <row r="71">
          <cell r="G71" t="str">
            <v>包裹订单</v>
          </cell>
          <cell r="H71" t="str">
            <v>RM_TR48(48可追踪包裹)</v>
          </cell>
          <cell r="I71" t="str">
            <v>操作费</v>
          </cell>
          <cell r="J71" t="str">
            <v>OCWSA [4A WS10 UK]</v>
          </cell>
          <cell r="K71" t="str">
            <v>0.400</v>
          </cell>
          <cell r="L71" t="str">
            <v>GBP</v>
          </cell>
          <cell r="M71">
            <v>0.4</v>
          </cell>
        </row>
        <row r="72">
          <cell r="D72" t="str">
            <v>OJ726615235GB</v>
          </cell>
          <cell r="E72" t="str">
            <v>未核账</v>
          </cell>
        </row>
        <row r="72">
          <cell r="G72" t="str">
            <v>包裹订单</v>
          </cell>
          <cell r="H72" t="str">
            <v>RM_TR48(48可追踪包裹)</v>
          </cell>
          <cell r="I72" t="str">
            <v>运输费</v>
          </cell>
          <cell r="J72" t="str">
            <v>OCWSA [4A WS10 UK]</v>
          </cell>
          <cell r="K72" t="str">
            <v>2.490</v>
          </cell>
          <cell r="L72" t="str">
            <v>GBP</v>
          </cell>
          <cell r="M72">
            <v>2.49</v>
          </cell>
        </row>
        <row r="73">
          <cell r="D73" t="str">
            <v>OJ725812738GB</v>
          </cell>
          <cell r="E73" t="str">
            <v>未核账</v>
          </cell>
        </row>
        <row r="73">
          <cell r="G73" t="str">
            <v>包裹订单</v>
          </cell>
          <cell r="H73" t="str">
            <v>RM_TR48(48可追踪包裹)</v>
          </cell>
          <cell r="I73" t="str">
            <v>仓储操作附加费按重量</v>
          </cell>
          <cell r="J73" t="str">
            <v>OCWSA [4A WS10 UK]</v>
          </cell>
          <cell r="K73" t="str">
            <v>0.070</v>
          </cell>
          <cell r="L73" t="str">
            <v>GBP</v>
          </cell>
          <cell r="M73">
            <v>0.07</v>
          </cell>
        </row>
        <row r="74">
          <cell r="D74" t="str">
            <v>OJ725812738GB</v>
          </cell>
          <cell r="E74" t="str">
            <v>未核账</v>
          </cell>
        </row>
        <row r="74">
          <cell r="G74" t="str">
            <v>包裹订单</v>
          </cell>
          <cell r="H74" t="str">
            <v>RM_TR48(48可追踪包裹)</v>
          </cell>
          <cell r="I74" t="str">
            <v>操作费</v>
          </cell>
          <cell r="J74" t="str">
            <v>OCWSA [4A WS10 UK]</v>
          </cell>
          <cell r="K74" t="str">
            <v>0.400</v>
          </cell>
          <cell r="L74" t="str">
            <v>GBP</v>
          </cell>
          <cell r="M74">
            <v>0.4</v>
          </cell>
        </row>
        <row r="75">
          <cell r="D75" t="str">
            <v>OJ725812738GB</v>
          </cell>
          <cell r="E75" t="str">
            <v>未核账</v>
          </cell>
        </row>
        <row r="75">
          <cell r="G75" t="str">
            <v>包裹订单</v>
          </cell>
          <cell r="H75" t="str">
            <v>RM_TR48(48可追踪包裹)</v>
          </cell>
          <cell r="I75" t="str">
            <v>运输费</v>
          </cell>
          <cell r="J75" t="str">
            <v>OCWSA [4A WS10 UK]</v>
          </cell>
          <cell r="K75" t="str">
            <v>2.490</v>
          </cell>
          <cell r="L75" t="str">
            <v>GBP</v>
          </cell>
          <cell r="M75">
            <v>2.49</v>
          </cell>
        </row>
        <row r="76">
          <cell r="D76" t="str">
            <v>OJ726563728GB</v>
          </cell>
          <cell r="E76" t="str">
            <v>未核账</v>
          </cell>
        </row>
        <row r="76">
          <cell r="G76" t="str">
            <v>包裹订单</v>
          </cell>
          <cell r="H76" t="str">
            <v>RM_TR48(48可追踪包裹)</v>
          </cell>
          <cell r="I76" t="str">
            <v>仓储操作附加费按重量</v>
          </cell>
          <cell r="J76" t="str">
            <v>OCWSA [4A WS10 UK]</v>
          </cell>
          <cell r="K76" t="str">
            <v>0.070</v>
          </cell>
          <cell r="L76" t="str">
            <v>GBP</v>
          </cell>
          <cell r="M76">
            <v>0.07</v>
          </cell>
        </row>
        <row r="77">
          <cell r="D77" t="str">
            <v>OJ726563728GB</v>
          </cell>
          <cell r="E77" t="str">
            <v>未核账</v>
          </cell>
        </row>
        <row r="77">
          <cell r="G77" t="str">
            <v>包裹订单</v>
          </cell>
          <cell r="H77" t="str">
            <v>RM_TR48(48可追踪包裹)</v>
          </cell>
          <cell r="I77" t="str">
            <v>操作费</v>
          </cell>
          <cell r="J77" t="str">
            <v>OCWSA [4A WS10 UK]</v>
          </cell>
          <cell r="K77" t="str">
            <v>0.400</v>
          </cell>
          <cell r="L77" t="str">
            <v>GBP</v>
          </cell>
          <cell r="M77">
            <v>0.4</v>
          </cell>
        </row>
        <row r="78">
          <cell r="D78" t="str">
            <v>OJ726563728GB</v>
          </cell>
          <cell r="E78" t="str">
            <v>未核账</v>
          </cell>
        </row>
        <row r="78">
          <cell r="G78" t="str">
            <v>包裹订单</v>
          </cell>
          <cell r="H78" t="str">
            <v>RM_TR48(48可追踪包裹)</v>
          </cell>
          <cell r="I78" t="str">
            <v>运输费</v>
          </cell>
          <cell r="J78" t="str">
            <v>OCWSA [4A WS10 UK]</v>
          </cell>
          <cell r="K78" t="str">
            <v>2.490</v>
          </cell>
          <cell r="L78" t="str">
            <v>GBP</v>
          </cell>
          <cell r="M78">
            <v>2.49</v>
          </cell>
        </row>
        <row r="79">
          <cell r="D79" t="str">
            <v>OJ726563555GB</v>
          </cell>
          <cell r="E79" t="str">
            <v>未核账</v>
          </cell>
        </row>
        <row r="79">
          <cell r="G79" t="str">
            <v>包裹订单</v>
          </cell>
          <cell r="H79" t="str">
            <v>RM_TR48(48可追踪包裹)</v>
          </cell>
          <cell r="I79" t="str">
            <v>仓储操作附加费按重量</v>
          </cell>
          <cell r="J79" t="str">
            <v>OCWSA [4A WS10 UK]</v>
          </cell>
          <cell r="K79" t="str">
            <v>0.070</v>
          </cell>
          <cell r="L79" t="str">
            <v>GBP</v>
          </cell>
          <cell r="M79">
            <v>0.07</v>
          </cell>
        </row>
        <row r="80">
          <cell r="D80" t="str">
            <v>OJ726563555GB</v>
          </cell>
          <cell r="E80" t="str">
            <v>未核账</v>
          </cell>
        </row>
        <row r="80">
          <cell r="G80" t="str">
            <v>包裹订单</v>
          </cell>
          <cell r="H80" t="str">
            <v>RM_TR48(48可追踪包裹)</v>
          </cell>
          <cell r="I80" t="str">
            <v>操作费</v>
          </cell>
          <cell r="J80" t="str">
            <v>OCWSA [4A WS10 UK]</v>
          </cell>
          <cell r="K80" t="str">
            <v>0.400</v>
          </cell>
          <cell r="L80" t="str">
            <v>GBP</v>
          </cell>
          <cell r="M80">
            <v>0.4</v>
          </cell>
        </row>
        <row r="81">
          <cell r="D81" t="str">
            <v>OJ726563555GB</v>
          </cell>
          <cell r="E81" t="str">
            <v>未核账</v>
          </cell>
        </row>
        <row r="81">
          <cell r="G81" t="str">
            <v>包裹订单</v>
          </cell>
          <cell r="H81" t="str">
            <v>RM_TR48(48可追踪包裹)</v>
          </cell>
          <cell r="I81" t="str">
            <v>运输费</v>
          </cell>
          <cell r="J81" t="str">
            <v>OCWSA [4A WS10 UK]</v>
          </cell>
          <cell r="K81" t="str">
            <v>2.490</v>
          </cell>
          <cell r="L81" t="str">
            <v>GBP</v>
          </cell>
          <cell r="M81">
            <v>2.49</v>
          </cell>
        </row>
        <row r="82">
          <cell r="D82" t="str">
            <v>OJ725370258GB</v>
          </cell>
          <cell r="E82" t="str">
            <v>未核账</v>
          </cell>
        </row>
        <row r="82">
          <cell r="G82" t="str">
            <v>包裹订单</v>
          </cell>
          <cell r="H82" t="str">
            <v>RM_TR48(48可追踪包裹)</v>
          </cell>
          <cell r="I82" t="str">
            <v>操作费</v>
          </cell>
          <cell r="J82" t="str">
            <v>OCWSA [4A WS10 UK]</v>
          </cell>
          <cell r="K82" t="str">
            <v>0.400</v>
          </cell>
          <cell r="L82" t="str">
            <v>GBP</v>
          </cell>
          <cell r="M82">
            <v>0.4</v>
          </cell>
        </row>
        <row r="83">
          <cell r="D83" t="str">
            <v>OJ725370258GB</v>
          </cell>
          <cell r="E83" t="str">
            <v>未核账</v>
          </cell>
        </row>
        <row r="83">
          <cell r="G83" t="str">
            <v>包裹订单</v>
          </cell>
          <cell r="H83" t="str">
            <v>RM_TR48(48可追踪包裹)</v>
          </cell>
          <cell r="I83" t="str">
            <v>运输费</v>
          </cell>
          <cell r="J83" t="str">
            <v>OCWSA [4A WS10 UK]</v>
          </cell>
          <cell r="K83" t="str">
            <v>2.490</v>
          </cell>
          <cell r="L83" t="str">
            <v>GBP</v>
          </cell>
          <cell r="M83">
            <v>2.49</v>
          </cell>
        </row>
        <row r="84">
          <cell r="D84" t="str">
            <v>OJ725810431GB</v>
          </cell>
          <cell r="E84" t="str">
            <v>未核账</v>
          </cell>
        </row>
        <row r="84">
          <cell r="G84" t="str">
            <v>包裹订单</v>
          </cell>
          <cell r="H84" t="str">
            <v>RM_TR48(48可追踪包裹)</v>
          </cell>
          <cell r="I84" t="str">
            <v>仓储操作附加费按重量</v>
          </cell>
          <cell r="J84" t="str">
            <v>OCWSA [4A WS10 UK]</v>
          </cell>
          <cell r="K84" t="str">
            <v>0.070</v>
          </cell>
          <cell r="L84" t="str">
            <v>GBP</v>
          </cell>
          <cell r="M84">
            <v>0.07</v>
          </cell>
        </row>
        <row r="85">
          <cell r="D85" t="str">
            <v>OJ725810431GB</v>
          </cell>
          <cell r="E85" t="str">
            <v>未核账</v>
          </cell>
        </row>
        <row r="85">
          <cell r="G85" t="str">
            <v>包裹订单</v>
          </cell>
          <cell r="H85" t="str">
            <v>RM_TR48(48可追踪包裹)</v>
          </cell>
          <cell r="I85" t="str">
            <v>操作费</v>
          </cell>
          <cell r="J85" t="str">
            <v>OCWSA [4A WS10 UK]</v>
          </cell>
          <cell r="K85" t="str">
            <v>0.400</v>
          </cell>
          <cell r="L85" t="str">
            <v>GBP</v>
          </cell>
          <cell r="M85">
            <v>0.4</v>
          </cell>
        </row>
        <row r="86">
          <cell r="D86" t="str">
            <v>OJ725810431GB</v>
          </cell>
          <cell r="E86" t="str">
            <v>未核账</v>
          </cell>
        </row>
        <row r="86">
          <cell r="G86" t="str">
            <v>包裹订单</v>
          </cell>
          <cell r="H86" t="str">
            <v>RM_TR48(48可追踪包裹)</v>
          </cell>
          <cell r="I86" t="str">
            <v>运输费</v>
          </cell>
          <cell r="J86" t="str">
            <v>OCWSA [4A WS10 UK]</v>
          </cell>
          <cell r="K86" t="str">
            <v>2.490</v>
          </cell>
          <cell r="L86" t="str">
            <v>GBP</v>
          </cell>
          <cell r="M86">
            <v>2.49</v>
          </cell>
        </row>
        <row r="87">
          <cell r="D87" t="str">
            <v/>
          </cell>
          <cell r="E87" t="str">
            <v>未核账</v>
          </cell>
        </row>
        <row r="87">
          <cell r="G87" t="str">
            <v>仓租</v>
          </cell>
          <cell r="H87" t="str">
            <v>()</v>
          </cell>
          <cell r="I87" t="str">
            <v>仓储费</v>
          </cell>
          <cell r="J87" t="str">
            <v>OCWSA [4A WS10 UK]</v>
          </cell>
          <cell r="K87" t="str">
            <v>13.665</v>
          </cell>
          <cell r="L87" t="str">
            <v>GBP</v>
          </cell>
          <cell r="M87">
            <v>13.665</v>
          </cell>
        </row>
        <row r="88">
          <cell r="D88" t="str">
            <v/>
          </cell>
          <cell r="E88" t="str">
            <v>未核账</v>
          </cell>
        </row>
        <row r="88">
          <cell r="G88" t="str">
            <v>仓租</v>
          </cell>
          <cell r="H88" t="str">
            <v>()</v>
          </cell>
          <cell r="I88" t="str">
            <v>仓储费</v>
          </cell>
          <cell r="J88" t="str">
            <v>OCWSA [4A WS10 UK]</v>
          </cell>
          <cell r="K88" t="str">
            <v>13.665</v>
          </cell>
          <cell r="L88" t="str">
            <v>GBP</v>
          </cell>
          <cell r="M88">
            <v>13.665</v>
          </cell>
        </row>
        <row r="89">
          <cell r="D89" t="str">
            <v/>
          </cell>
          <cell r="E89" t="str">
            <v>未核账</v>
          </cell>
        </row>
        <row r="89">
          <cell r="G89" t="str">
            <v>仓租</v>
          </cell>
          <cell r="H89" t="str">
            <v>()</v>
          </cell>
          <cell r="I89" t="str">
            <v>仓储费</v>
          </cell>
          <cell r="J89" t="str">
            <v>OCWSA [4A WS10 UK]</v>
          </cell>
          <cell r="K89" t="str">
            <v>13.665</v>
          </cell>
          <cell r="L89" t="str">
            <v>GBP</v>
          </cell>
          <cell r="M89">
            <v>13.665</v>
          </cell>
        </row>
        <row r="90">
          <cell r="D90" t="str">
            <v>OJ724471241GB</v>
          </cell>
          <cell r="E90" t="str">
            <v>未核账</v>
          </cell>
        </row>
        <row r="90">
          <cell r="G90" t="str">
            <v>包裹订单</v>
          </cell>
          <cell r="H90" t="str">
            <v>RM_TR48(48可追踪包裹)</v>
          </cell>
          <cell r="I90" t="str">
            <v>仓储操作附加费按重量</v>
          </cell>
          <cell r="J90" t="str">
            <v>OCWSA [4A WS10 UK]</v>
          </cell>
          <cell r="K90" t="str">
            <v>0.070</v>
          </cell>
          <cell r="L90" t="str">
            <v>GBP</v>
          </cell>
          <cell r="M90">
            <v>0.07</v>
          </cell>
        </row>
        <row r="91">
          <cell r="D91" t="str">
            <v>OJ724471241GB</v>
          </cell>
          <cell r="E91" t="str">
            <v>未核账</v>
          </cell>
        </row>
        <row r="91">
          <cell r="G91" t="str">
            <v>包裹订单</v>
          </cell>
          <cell r="H91" t="str">
            <v>RM_TR48(48可追踪包裹)</v>
          </cell>
          <cell r="I91" t="str">
            <v>操作费</v>
          </cell>
          <cell r="J91" t="str">
            <v>OCWSA [4A WS10 UK]</v>
          </cell>
          <cell r="K91" t="str">
            <v>0.400</v>
          </cell>
          <cell r="L91" t="str">
            <v>GBP</v>
          </cell>
          <cell r="M91">
            <v>0.4</v>
          </cell>
        </row>
        <row r="92">
          <cell r="D92" t="str">
            <v>OJ724471241GB</v>
          </cell>
          <cell r="E92" t="str">
            <v>未核账</v>
          </cell>
        </row>
        <row r="92">
          <cell r="G92" t="str">
            <v>包裹订单</v>
          </cell>
          <cell r="H92" t="str">
            <v>RM_TR48(48可追踪包裹)</v>
          </cell>
          <cell r="I92" t="str">
            <v>运输费</v>
          </cell>
          <cell r="J92" t="str">
            <v>OCWSA [4A WS10 UK]</v>
          </cell>
          <cell r="K92" t="str">
            <v>2.490</v>
          </cell>
          <cell r="L92" t="str">
            <v>GBP</v>
          </cell>
          <cell r="M92">
            <v>2.49</v>
          </cell>
        </row>
        <row r="93">
          <cell r="D93" t="str">
            <v>OJ724475835GB</v>
          </cell>
          <cell r="E93" t="str">
            <v>未核账</v>
          </cell>
        </row>
        <row r="93">
          <cell r="G93" t="str">
            <v>包裹订单</v>
          </cell>
          <cell r="H93" t="str">
            <v>RM_TR48(48可追踪包裹)</v>
          </cell>
          <cell r="I93" t="str">
            <v>仓储操作附加费按重量</v>
          </cell>
          <cell r="J93" t="str">
            <v>OCWSA [4A WS10 UK]</v>
          </cell>
          <cell r="K93" t="str">
            <v>0.070</v>
          </cell>
          <cell r="L93" t="str">
            <v>GBP</v>
          </cell>
          <cell r="M93">
            <v>0.07</v>
          </cell>
        </row>
        <row r="94">
          <cell r="D94" t="str">
            <v>OJ724475835GB</v>
          </cell>
          <cell r="E94" t="str">
            <v>未核账</v>
          </cell>
        </row>
        <row r="94">
          <cell r="G94" t="str">
            <v>包裹订单</v>
          </cell>
          <cell r="H94" t="str">
            <v>RM_TR48(48可追踪包裹)</v>
          </cell>
          <cell r="I94" t="str">
            <v>操作费</v>
          </cell>
          <cell r="J94" t="str">
            <v>OCWSA [4A WS10 UK]</v>
          </cell>
          <cell r="K94" t="str">
            <v>0.400</v>
          </cell>
          <cell r="L94" t="str">
            <v>GBP</v>
          </cell>
          <cell r="M94">
            <v>0.4</v>
          </cell>
        </row>
        <row r="95">
          <cell r="D95" t="str">
            <v>OJ724475835GB</v>
          </cell>
          <cell r="E95" t="str">
            <v>未核账</v>
          </cell>
        </row>
        <row r="95">
          <cell r="G95" t="str">
            <v>包裹订单</v>
          </cell>
          <cell r="H95" t="str">
            <v>RM_TR48(48可追踪包裹)</v>
          </cell>
          <cell r="I95" t="str">
            <v>运输费</v>
          </cell>
          <cell r="J95" t="str">
            <v>OCWSA [4A WS10 UK]</v>
          </cell>
          <cell r="K95" t="str">
            <v>2.490</v>
          </cell>
          <cell r="L95" t="str">
            <v>GBP</v>
          </cell>
          <cell r="M95">
            <v>2.49</v>
          </cell>
        </row>
        <row r="96">
          <cell r="D96" t="str">
            <v>OJ724475901GB</v>
          </cell>
          <cell r="E96" t="str">
            <v>未核账</v>
          </cell>
        </row>
        <row r="96">
          <cell r="G96" t="str">
            <v>包裹订单</v>
          </cell>
          <cell r="H96" t="str">
            <v>RM_TR48(48可追踪包裹)</v>
          </cell>
          <cell r="I96" t="str">
            <v>仓储操作附加费按重量</v>
          </cell>
          <cell r="J96" t="str">
            <v>OCWSA [4A WS10 UK]</v>
          </cell>
          <cell r="K96" t="str">
            <v>0.070</v>
          </cell>
          <cell r="L96" t="str">
            <v>GBP</v>
          </cell>
          <cell r="M96">
            <v>0.07</v>
          </cell>
        </row>
        <row r="97">
          <cell r="D97" t="str">
            <v>OJ724475901GB</v>
          </cell>
          <cell r="E97" t="str">
            <v>未核账</v>
          </cell>
        </row>
        <row r="97">
          <cell r="G97" t="str">
            <v>包裹订单</v>
          </cell>
          <cell r="H97" t="str">
            <v>RM_TR48(48可追踪包裹)</v>
          </cell>
          <cell r="I97" t="str">
            <v>操作费</v>
          </cell>
          <cell r="J97" t="str">
            <v>OCWSA [4A WS10 UK]</v>
          </cell>
          <cell r="K97" t="str">
            <v>0.400</v>
          </cell>
          <cell r="L97" t="str">
            <v>GBP</v>
          </cell>
          <cell r="M97">
            <v>0.4</v>
          </cell>
        </row>
        <row r="98">
          <cell r="D98" t="str">
            <v>OJ724475901GB</v>
          </cell>
          <cell r="E98" t="str">
            <v>未核账</v>
          </cell>
        </row>
        <row r="98">
          <cell r="G98" t="str">
            <v>包裹订单</v>
          </cell>
          <cell r="H98" t="str">
            <v>RM_TR48(48可追踪包裹)</v>
          </cell>
          <cell r="I98" t="str">
            <v>运输费</v>
          </cell>
          <cell r="J98" t="str">
            <v>OCWSA [4A WS10 UK]</v>
          </cell>
          <cell r="K98" t="str">
            <v>2.490</v>
          </cell>
          <cell r="L98" t="str">
            <v>GBP</v>
          </cell>
          <cell r="M98">
            <v>2.49</v>
          </cell>
        </row>
        <row r="99">
          <cell r="D99" t="str">
            <v>OJ724506467GB</v>
          </cell>
          <cell r="E99" t="str">
            <v>未核账</v>
          </cell>
        </row>
        <row r="99">
          <cell r="G99" t="str">
            <v>包裹订单</v>
          </cell>
          <cell r="H99" t="str">
            <v>RM_TR48(48可追踪包裹)</v>
          </cell>
          <cell r="I99" t="str">
            <v>仓储操作附加费按重量</v>
          </cell>
          <cell r="J99" t="str">
            <v>OCWSA [4A WS10 UK]</v>
          </cell>
          <cell r="K99" t="str">
            <v>0.070</v>
          </cell>
          <cell r="L99" t="str">
            <v>GBP</v>
          </cell>
          <cell r="M99">
            <v>0.07</v>
          </cell>
        </row>
        <row r="100">
          <cell r="D100" t="str">
            <v>OJ724506467GB</v>
          </cell>
          <cell r="E100" t="str">
            <v>未核账</v>
          </cell>
        </row>
        <row r="100">
          <cell r="G100" t="str">
            <v>包裹订单</v>
          </cell>
          <cell r="H100" t="str">
            <v>RM_TR48(48可追踪包裹)</v>
          </cell>
          <cell r="I100" t="str">
            <v>操作费</v>
          </cell>
          <cell r="J100" t="str">
            <v>OCWSA [4A WS10 UK]</v>
          </cell>
          <cell r="K100" t="str">
            <v>0.400</v>
          </cell>
          <cell r="L100" t="str">
            <v>GBP</v>
          </cell>
          <cell r="M100">
            <v>0.4</v>
          </cell>
        </row>
        <row r="101">
          <cell r="D101" t="str">
            <v>OJ724506467GB</v>
          </cell>
          <cell r="E101" t="str">
            <v>未核账</v>
          </cell>
        </row>
        <row r="101">
          <cell r="G101" t="str">
            <v>包裹订单</v>
          </cell>
          <cell r="H101" t="str">
            <v>RM_TR48(48可追踪包裹)</v>
          </cell>
          <cell r="I101" t="str">
            <v>运输费</v>
          </cell>
          <cell r="J101" t="str">
            <v>OCWSA [4A WS10 UK]</v>
          </cell>
          <cell r="K101" t="str">
            <v>2.490</v>
          </cell>
          <cell r="L101" t="str">
            <v>GBP</v>
          </cell>
          <cell r="M101">
            <v>2.49</v>
          </cell>
        </row>
        <row r="102">
          <cell r="D102" t="str">
            <v>OJ724506484GB</v>
          </cell>
          <cell r="E102" t="str">
            <v>未核账</v>
          </cell>
        </row>
        <row r="102">
          <cell r="G102" t="str">
            <v>包裹订单</v>
          </cell>
          <cell r="H102" t="str">
            <v>RM_TR48(48可追踪包裹)</v>
          </cell>
          <cell r="I102" t="str">
            <v>仓储操作附加费按重量</v>
          </cell>
          <cell r="J102" t="str">
            <v>OCWSA [4A WS10 UK]</v>
          </cell>
          <cell r="K102" t="str">
            <v>0.070</v>
          </cell>
          <cell r="L102" t="str">
            <v>GBP</v>
          </cell>
          <cell r="M102">
            <v>0.07</v>
          </cell>
        </row>
        <row r="103">
          <cell r="D103" t="str">
            <v>OJ724506484GB</v>
          </cell>
          <cell r="E103" t="str">
            <v>未核账</v>
          </cell>
        </row>
        <row r="103">
          <cell r="G103" t="str">
            <v>包裹订单</v>
          </cell>
          <cell r="H103" t="str">
            <v>RM_TR48(48可追踪包裹)</v>
          </cell>
          <cell r="I103" t="str">
            <v>操作费</v>
          </cell>
          <cell r="J103" t="str">
            <v>OCWSA [4A WS10 UK]</v>
          </cell>
          <cell r="K103" t="str">
            <v>0.400</v>
          </cell>
          <cell r="L103" t="str">
            <v>GBP</v>
          </cell>
          <cell r="M103">
            <v>0.4</v>
          </cell>
        </row>
        <row r="104">
          <cell r="D104" t="str">
            <v>OJ724506484GB</v>
          </cell>
          <cell r="E104" t="str">
            <v>未核账</v>
          </cell>
        </row>
        <row r="104">
          <cell r="G104" t="str">
            <v>包裹订单</v>
          </cell>
          <cell r="H104" t="str">
            <v>RM_TR48(48可追踪包裹)</v>
          </cell>
          <cell r="I104" t="str">
            <v>运输费</v>
          </cell>
          <cell r="J104" t="str">
            <v>OCWSA [4A WS10 UK]</v>
          </cell>
          <cell r="K104" t="str">
            <v>2.490</v>
          </cell>
          <cell r="L104" t="str">
            <v>GBP</v>
          </cell>
          <cell r="M104">
            <v>2.49</v>
          </cell>
        </row>
        <row r="105">
          <cell r="D105" t="str">
            <v/>
          </cell>
          <cell r="E105" t="str">
            <v>未核账</v>
          </cell>
        </row>
        <row r="105">
          <cell r="G105" t="str">
            <v>仓租</v>
          </cell>
          <cell r="H105" t="str">
            <v>()</v>
          </cell>
          <cell r="I105" t="str">
            <v>仓储费</v>
          </cell>
          <cell r="J105" t="str">
            <v>OCWSA [4A WS10 UK]</v>
          </cell>
          <cell r="K105" t="str">
            <v>13.674</v>
          </cell>
          <cell r="L105" t="str">
            <v>GBP</v>
          </cell>
          <cell r="M105">
            <v>13.674</v>
          </cell>
        </row>
        <row r="106">
          <cell r="D106" t="str">
            <v>OJ723966087GB</v>
          </cell>
          <cell r="E106" t="str">
            <v>未核账</v>
          </cell>
        </row>
        <row r="106">
          <cell r="G106" t="str">
            <v>包裹订单</v>
          </cell>
          <cell r="H106" t="str">
            <v>RM_TR48(48可追踪包裹)</v>
          </cell>
          <cell r="I106" t="str">
            <v>仓储操作附加费按重量</v>
          </cell>
          <cell r="J106" t="str">
            <v>OCWSA [4A WS10 UK]</v>
          </cell>
          <cell r="K106" t="str">
            <v>0.070</v>
          </cell>
          <cell r="L106" t="str">
            <v>GBP</v>
          </cell>
          <cell r="M106">
            <v>0.07</v>
          </cell>
        </row>
        <row r="107">
          <cell r="D107" t="str">
            <v>OJ723966087GB</v>
          </cell>
          <cell r="E107" t="str">
            <v>未核账</v>
          </cell>
        </row>
        <row r="107">
          <cell r="G107" t="str">
            <v>包裹订单</v>
          </cell>
          <cell r="H107" t="str">
            <v>RM_TR48(48可追踪包裹)</v>
          </cell>
          <cell r="I107" t="str">
            <v>操作费</v>
          </cell>
          <cell r="J107" t="str">
            <v>OCWSA [4A WS10 UK]</v>
          </cell>
          <cell r="K107" t="str">
            <v>0.400</v>
          </cell>
          <cell r="L107" t="str">
            <v>GBP</v>
          </cell>
          <cell r="M107">
            <v>0.4</v>
          </cell>
        </row>
        <row r="108">
          <cell r="D108" t="str">
            <v>OJ723966087GB</v>
          </cell>
          <cell r="E108" t="str">
            <v>未核账</v>
          </cell>
        </row>
        <row r="108">
          <cell r="G108" t="str">
            <v>包裹订单</v>
          </cell>
          <cell r="H108" t="str">
            <v>RM_TR48(48可追踪包裹)</v>
          </cell>
          <cell r="I108" t="str">
            <v>运输费</v>
          </cell>
          <cell r="J108" t="str">
            <v>OCWSA [4A WS10 UK]</v>
          </cell>
          <cell r="K108" t="str">
            <v>2.490</v>
          </cell>
          <cell r="L108" t="str">
            <v>GBP</v>
          </cell>
          <cell r="M108">
            <v>2.49</v>
          </cell>
        </row>
        <row r="109">
          <cell r="D109" t="str">
            <v>OJ723724412GB</v>
          </cell>
          <cell r="E109" t="str">
            <v>未核账</v>
          </cell>
        </row>
        <row r="109">
          <cell r="G109" t="str">
            <v>包裹订单</v>
          </cell>
          <cell r="H109" t="str">
            <v>RM_TR48(48可追踪包裹)</v>
          </cell>
          <cell r="I109" t="str">
            <v>仓储操作附加费按重量</v>
          </cell>
          <cell r="J109" t="str">
            <v>OCWSA [4A WS10 UK]</v>
          </cell>
          <cell r="K109" t="str">
            <v>0.070</v>
          </cell>
          <cell r="L109" t="str">
            <v>GBP</v>
          </cell>
          <cell r="M109">
            <v>0.07</v>
          </cell>
        </row>
        <row r="110">
          <cell r="D110" t="str">
            <v>OJ723724412GB</v>
          </cell>
          <cell r="E110" t="str">
            <v>未核账</v>
          </cell>
        </row>
        <row r="110">
          <cell r="G110" t="str">
            <v>包裹订单</v>
          </cell>
          <cell r="H110" t="str">
            <v>RM_TR48(48可追踪包裹)</v>
          </cell>
          <cell r="I110" t="str">
            <v>操作费</v>
          </cell>
          <cell r="J110" t="str">
            <v>OCWSA [4A WS10 UK]</v>
          </cell>
          <cell r="K110" t="str">
            <v>0.400</v>
          </cell>
          <cell r="L110" t="str">
            <v>GBP</v>
          </cell>
          <cell r="M110">
            <v>0.4</v>
          </cell>
        </row>
        <row r="111">
          <cell r="D111" t="str">
            <v>OJ723724412GB</v>
          </cell>
          <cell r="E111" t="str">
            <v>未核账</v>
          </cell>
        </row>
        <row r="111">
          <cell r="G111" t="str">
            <v>包裹订单</v>
          </cell>
          <cell r="H111" t="str">
            <v>RM_TR48(48可追踪包裹)</v>
          </cell>
          <cell r="I111" t="str">
            <v>运输费</v>
          </cell>
          <cell r="J111" t="str">
            <v>OCWSA [4A WS10 UK]</v>
          </cell>
          <cell r="K111" t="str">
            <v>2.490</v>
          </cell>
          <cell r="L111" t="str">
            <v>GBP</v>
          </cell>
          <cell r="M111">
            <v>2.49</v>
          </cell>
        </row>
        <row r="112">
          <cell r="D112" t="str">
            <v>OJ723724240GB</v>
          </cell>
          <cell r="E112" t="str">
            <v>未核账</v>
          </cell>
        </row>
        <row r="112">
          <cell r="G112" t="str">
            <v>包裹订单</v>
          </cell>
          <cell r="H112" t="str">
            <v>RM_TR48(48可追踪包裹)</v>
          </cell>
          <cell r="I112" t="str">
            <v>仓储操作附加费按重量</v>
          </cell>
          <cell r="J112" t="str">
            <v>OCWSA [4A WS10 UK]</v>
          </cell>
          <cell r="K112" t="str">
            <v>0.070</v>
          </cell>
          <cell r="L112" t="str">
            <v>GBP</v>
          </cell>
          <cell r="M112">
            <v>0.07</v>
          </cell>
        </row>
        <row r="113">
          <cell r="D113" t="str">
            <v>OJ723724240GB</v>
          </cell>
          <cell r="E113" t="str">
            <v>未核账</v>
          </cell>
        </row>
        <row r="113">
          <cell r="G113" t="str">
            <v>包裹订单</v>
          </cell>
          <cell r="H113" t="str">
            <v>RM_TR48(48可追踪包裹)</v>
          </cell>
          <cell r="I113" t="str">
            <v>操作费</v>
          </cell>
          <cell r="J113" t="str">
            <v>OCWSA [4A WS10 UK]</v>
          </cell>
          <cell r="K113" t="str">
            <v>0.400</v>
          </cell>
          <cell r="L113" t="str">
            <v>GBP</v>
          </cell>
          <cell r="M113">
            <v>0.4</v>
          </cell>
        </row>
        <row r="114">
          <cell r="D114" t="str">
            <v>OJ723724240GB</v>
          </cell>
          <cell r="E114" t="str">
            <v>未核账</v>
          </cell>
        </row>
        <row r="114">
          <cell r="G114" t="str">
            <v>包裹订单</v>
          </cell>
          <cell r="H114" t="str">
            <v>RM_TR48(48可追踪包裹)</v>
          </cell>
          <cell r="I114" t="str">
            <v>运输费</v>
          </cell>
          <cell r="J114" t="str">
            <v>OCWSA [4A WS10 UK]</v>
          </cell>
          <cell r="K114" t="str">
            <v>2.490</v>
          </cell>
          <cell r="L114" t="str">
            <v>GBP</v>
          </cell>
          <cell r="M114">
            <v>2.49</v>
          </cell>
        </row>
        <row r="115">
          <cell r="D115" t="str">
            <v>OJ723724219GB</v>
          </cell>
          <cell r="E115" t="str">
            <v>未核账</v>
          </cell>
        </row>
        <row r="115">
          <cell r="G115" t="str">
            <v>包裹订单</v>
          </cell>
          <cell r="H115" t="str">
            <v>RM_TR48(48可追踪包裹)</v>
          </cell>
          <cell r="I115" t="str">
            <v>仓储操作附加费按重量</v>
          </cell>
          <cell r="J115" t="str">
            <v>OCWSA [4A WS10 UK]</v>
          </cell>
          <cell r="K115" t="str">
            <v>0.070</v>
          </cell>
          <cell r="L115" t="str">
            <v>GBP</v>
          </cell>
          <cell r="M115">
            <v>0.07</v>
          </cell>
        </row>
        <row r="116">
          <cell r="D116" t="str">
            <v>OJ723724219GB</v>
          </cell>
          <cell r="E116" t="str">
            <v>未核账</v>
          </cell>
        </row>
        <row r="116">
          <cell r="G116" t="str">
            <v>包裹订单</v>
          </cell>
          <cell r="H116" t="str">
            <v>RM_TR48(48可追踪包裹)</v>
          </cell>
          <cell r="I116" t="str">
            <v>操作费</v>
          </cell>
          <cell r="J116" t="str">
            <v>OCWSA [4A WS10 UK]</v>
          </cell>
          <cell r="K116" t="str">
            <v>0.400</v>
          </cell>
          <cell r="L116" t="str">
            <v>GBP</v>
          </cell>
          <cell r="M116">
            <v>0.4</v>
          </cell>
        </row>
        <row r="117">
          <cell r="D117" t="str">
            <v>OJ723724219GB</v>
          </cell>
          <cell r="E117" t="str">
            <v>未核账</v>
          </cell>
        </row>
        <row r="117">
          <cell r="G117" t="str">
            <v>包裹订单</v>
          </cell>
          <cell r="H117" t="str">
            <v>RM_TR48(48可追踪包裹)</v>
          </cell>
          <cell r="I117" t="str">
            <v>运输费</v>
          </cell>
          <cell r="J117" t="str">
            <v>OCWSA [4A WS10 UK]</v>
          </cell>
          <cell r="K117" t="str">
            <v>2.490</v>
          </cell>
          <cell r="L117" t="str">
            <v>GBP</v>
          </cell>
          <cell r="M117">
            <v>2.49</v>
          </cell>
        </row>
        <row r="118">
          <cell r="D118" t="str">
            <v>OJ723724307GB</v>
          </cell>
          <cell r="E118" t="str">
            <v>未核账</v>
          </cell>
        </row>
        <row r="118">
          <cell r="G118" t="str">
            <v>包裹订单</v>
          </cell>
          <cell r="H118" t="str">
            <v>RM_TR48(48可追踪包裹)</v>
          </cell>
          <cell r="I118" t="str">
            <v>仓储操作附加费按重量</v>
          </cell>
          <cell r="J118" t="str">
            <v>OCWSA [4A WS10 UK]</v>
          </cell>
          <cell r="K118" t="str">
            <v>0.070</v>
          </cell>
          <cell r="L118" t="str">
            <v>GBP</v>
          </cell>
          <cell r="M118">
            <v>0.07</v>
          </cell>
        </row>
        <row r="119">
          <cell r="D119" t="str">
            <v>OJ723724307GB</v>
          </cell>
          <cell r="E119" t="str">
            <v>未核账</v>
          </cell>
        </row>
        <row r="119">
          <cell r="G119" t="str">
            <v>包裹订单</v>
          </cell>
          <cell r="H119" t="str">
            <v>RM_TR48(48可追踪包裹)</v>
          </cell>
          <cell r="I119" t="str">
            <v>操作费</v>
          </cell>
          <cell r="J119" t="str">
            <v>OCWSA [4A WS10 UK]</v>
          </cell>
          <cell r="K119" t="str">
            <v>0.400</v>
          </cell>
          <cell r="L119" t="str">
            <v>GBP</v>
          </cell>
          <cell r="M119">
            <v>0.4</v>
          </cell>
        </row>
        <row r="120">
          <cell r="D120" t="str">
            <v>OJ723724307GB</v>
          </cell>
          <cell r="E120" t="str">
            <v>未核账</v>
          </cell>
        </row>
        <row r="120">
          <cell r="G120" t="str">
            <v>包裹订单</v>
          </cell>
          <cell r="H120" t="str">
            <v>RM_TR48(48可追踪包裹)</v>
          </cell>
          <cell r="I120" t="str">
            <v>运输费</v>
          </cell>
          <cell r="J120" t="str">
            <v>OCWSA [4A WS10 UK]</v>
          </cell>
          <cell r="K120" t="str">
            <v>2.490</v>
          </cell>
          <cell r="L120" t="str">
            <v>GBP</v>
          </cell>
          <cell r="M120">
            <v>2.49</v>
          </cell>
        </row>
        <row r="121">
          <cell r="D121" t="str">
            <v>OJ723724253GB</v>
          </cell>
          <cell r="E121" t="str">
            <v>未核账</v>
          </cell>
        </row>
        <row r="121">
          <cell r="G121" t="str">
            <v>包裹订单</v>
          </cell>
          <cell r="H121" t="str">
            <v>RM_TR48(48可追踪包裹)</v>
          </cell>
          <cell r="I121" t="str">
            <v>仓储操作附加费按重量</v>
          </cell>
          <cell r="J121" t="str">
            <v>OCWSA [4A WS10 UK]</v>
          </cell>
          <cell r="K121" t="str">
            <v>0.070</v>
          </cell>
          <cell r="L121" t="str">
            <v>GBP</v>
          </cell>
          <cell r="M121">
            <v>0.07</v>
          </cell>
        </row>
        <row r="122">
          <cell r="D122" t="str">
            <v>OJ723724253GB</v>
          </cell>
          <cell r="E122" t="str">
            <v>未核账</v>
          </cell>
        </row>
        <row r="122">
          <cell r="G122" t="str">
            <v>包裹订单</v>
          </cell>
          <cell r="H122" t="str">
            <v>RM_TR48(48可追踪包裹)</v>
          </cell>
          <cell r="I122" t="str">
            <v>操作费</v>
          </cell>
          <cell r="J122" t="str">
            <v>OCWSA [4A WS10 UK]</v>
          </cell>
          <cell r="K122" t="str">
            <v>0.400</v>
          </cell>
          <cell r="L122" t="str">
            <v>GBP</v>
          </cell>
          <cell r="M122">
            <v>0.4</v>
          </cell>
        </row>
        <row r="123">
          <cell r="D123" t="str">
            <v>OJ723724253GB</v>
          </cell>
          <cell r="E123" t="str">
            <v>未核账</v>
          </cell>
        </row>
        <row r="123">
          <cell r="G123" t="str">
            <v>包裹订单</v>
          </cell>
          <cell r="H123" t="str">
            <v>RM_TR48(48可追踪包裹)</v>
          </cell>
          <cell r="I123" t="str">
            <v>运输费</v>
          </cell>
          <cell r="J123" t="str">
            <v>OCWSA [4A WS10 UK]</v>
          </cell>
          <cell r="K123" t="str">
            <v>2.490</v>
          </cell>
          <cell r="L123" t="str">
            <v>GBP</v>
          </cell>
          <cell r="M123">
            <v>2.49</v>
          </cell>
        </row>
        <row r="124">
          <cell r="D124" t="str">
            <v>OJ723725165GB</v>
          </cell>
          <cell r="E124" t="str">
            <v>未核账</v>
          </cell>
        </row>
        <row r="124">
          <cell r="G124" t="str">
            <v>包裹订单</v>
          </cell>
          <cell r="H124" t="str">
            <v>RM_TR48(48可追踪包裹)</v>
          </cell>
          <cell r="I124" t="str">
            <v>仓储操作附加费按重量</v>
          </cell>
          <cell r="J124" t="str">
            <v>OCWSA [4A WS10 UK]</v>
          </cell>
          <cell r="K124" t="str">
            <v>0.070</v>
          </cell>
          <cell r="L124" t="str">
            <v>GBP</v>
          </cell>
          <cell r="M124">
            <v>0.07</v>
          </cell>
        </row>
        <row r="125">
          <cell r="D125" t="str">
            <v>OJ723725165GB</v>
          </cell>
          <cell r="E125" t="str">
            <v>未核账</v>
          </cell>
        </row>
        <row r="125">
          <cell r="G125" t="str">
            <v>包裹订单</v>
          </cell>
          <cell r="H125" t="str">
            <v>RM_TR48(48可追踪包裹)</v>
          </cell>
          <cell r="I125" t="str">
            <v>操作费</v>
          </cell>
          <cell r="J125" t="str">
            <v>OCWSA [4A WS10 UK]</v>
          </cell>
          <cell r="K125" t="str">
            <v>0.400</v>
          </cell>
          <cell r="L125" t="str">
            <v>GBP</v>
          </cell>
          <cell r="M125">
            <v>0.4</v>
          </cell>
        </row>
        <row r="126">
          <cell r="D126" t="str">
            <v>OJ723725165GB</v>
          </cell>
          <cell r="E126" t="str">
            <v>未核账</v>
          </cell>
        </row>
        <row r="126">
          <cell r="G126" t="str">
            <v>包裹订单</v>
          </cell>
          <cell r="H126" t="str">
            <v>RM_TR48(48可追踪包裹)</v>
          </cell>
          <cell r="I126" t="str">
            <v>运输费</v>
          </cell>
          <cell r="J126" t="str">
            <v>OCWSA [4A WS10 UK]</v>
          </cell>
          <cell r="K126" t="str">
            <v>2.490</v>
          </cell>
          <cell r="L126" t="str">
            <v>GBP</v>
          </cell>
          <cell r="M126">
            <v>2.49</v>
          </cell>
        </row>
        <row r="127">
          <cell r="D127" t="str">
            <v>OJ723724514GB</v>
          </cell>
          <cell r="E127" t="str">
            <v>未核账</v>
          </cell>
        </row>
        <row r="127">
          <cell r="G127" t="str">
            <v>包裹订单</v>
          </cell>
          <cell r="H127" t="str">
            <v>RM_TR48(48可追踪包裹)</v>
          </cell>
          <cell r="I127" t="str">
            <v>仓储操作附加费按重量</v>
          </cell>
          <cell r="J127" t="str">
            <v>OCWSA [4A WS10 UK]</v>
          </cell>
          <cell r="K127" t="str">
            <v>0.070</v>
          </cell>
          <cell r="L127" t="str">
            <v>GBP</v>
          </cell>
          <cell r="M127">
            <v>0.07</v>
          </cell>
        </row>
        <row r="128">
          <cell r="D128" t="str">
            <v>OJ723724514GB</v>
          </cell>
          <cell r="E128" t="str">
            <v>未核账</v>
          </cell>
        </row>
        <row r="128">
          <cell r="G128" t="str">
            <v>包裹订单</v>
          </cell>
          <cell r="H128" t="str">
            <v>RM_TR48(48可追踪包裹)</v>
          </cell>
          <cell r="I128" t="str">
            <v>操作费</v>
          </cell>
          <cell r="J128" t="str">
            <v>OCWSA [4A WS10 UK]</v>
          </cell>
          <cell r="K128" t="str">
            <v>0.400</v>
          </cell>
          <cell r="L128" t="str">
            <v>GBP</v>
          </cell>
          <cell r="M128">
            <v>0.4</v>
          </cell>
        </row>
        <row r="129">
          <cell r="D129" t="str">
            <v>OJ723724514GB</v>
          </cell>
          <cell r="E129" t="str">
            <v>未核账</v>
          </cell>
        </row>
        <row r="129">
          <cell r="G129" t="str">
            <v>包裹订单</v>
          </cell>
          <cell r="H129" t="str">
            <v>RM_TR48(48可追踪包裹)</v>
          </cell>
          <cell r="I129" t="str">
            <v>运输费</v>
          </cell>
          <cell r="J129" t="str">
            <v>OCWSA [4A WS10 UK]</v>
          </cell>
          <cell r="K129" t="str">
            <v>2.490</v>
          </cell>
          <cell r="L129" t="str">
            <v>GBP</v>
          </cell>
          <cell r="M129">
            <v>2.49</v>
          </cell>
        </row>
        <row r="130">
          <cell r="D130" t="str">
            <v>OJ723724369GB</v>
          </cell>
          <cell r="E130" t="str">
            <v>未核账</v>
          </cell>
        </row>
        <row r="130">
          <cell r="G130" t="str">
            <v>包裹订单</v>
          </cell>
          <cell r="H130" t="str">
            <v>RM_TR48(48可追踪包裹)</v>
          </cell>
          <cell r="I130" t="str">
            <v>仓储操作附加费按重量</v>
          </cell>
          <cell r="J130" t="str">
            <v>OCWSA [4A WS10 UK]</v>
          </cell>
          <cell r="K130" t="str">
            <v>0.070</v>
          </cell>
          <cell r="L130" t="str">
            <v>GBP</v>
          </cell>
          <cell r="M130">
            <v>0.07</v>
          </cell>
        </row>
        <row r="131">
          <cell r="D131" t="str">
            <v>OJ723724369GB</v>
          </cell>
          <cell r="E131" t="str">
            <v>未核账</v>
          </cell>
        </row>
        <row r="131">
          <cell r="G131" t="str">
            <v>包裹订单</v>
          </cell>
          <cell r="H131" t="str">
            <v>RM_TR48(48可追踪包裹)</v>
          </cell>
          <cell r="I131" t="str">
            <v>操作费</v>
          </cell>
          <cell r="J131" t="str">
            <v>OCWSA [4A WS10 UK]</v>
          </cell>
          <cell r="K131" t="str">
            <v>0.400</v>
          </cell>
          <cell r="L131" t="str">
            <v>GBP</v>
          </cell>
          <cell r="M131">
            <v>0.4</v>
          </cell>
        </row>
        <row r="132">
          <cell r="D132" t="str">
            <v>OJ723724369GB</v>
          </cell>
          <cell r="E132" t="str">
            <v>未核账</v>
          </cell>
        </row>
        <row r="132">
          <cell r="G132" t="str">
            <v>包裹订单</v>
          </cell>
          <cell r="H132" t="str">
            <v>RM_TR48(48可追踪包裹)</v>
          </cell>
          <cell r="I132" t="str">
            <v>运输费</v>
          </cell>
          <cell r="J132" t="str">
            <v>OCWSA [4A WS10 UK]</v>
          </cell>
          <cell r="K132" t="str">
            <v>2.490</v>
          </cell>
          <cell r="L132" t="str">
            <v>GBP</v>
          </cell>
          <cell r="M132">
            <v>2.49</v>
          </cell>
        </row>
        <row r="133">
          <cell r="D133" t="str">
            <v>OJ723724426GB</v>
          </cell>
          <cell r="E133" t="str">
            <v>未核账</v>
          </cell>
        </row>
        <row r="133">
          <cell r="G133" t="str">
            <v>包裹订单</v>
          </cell>
          <cell r="H133" t="str">
            <v>RM_TR48(48可追踪包裹)</v>
          </cell>
          <cell r="I133" t="str">
            <v>仓储操作附加费按重量</v>
          </cell>
          <cell r="J133" t="str">
            <v>OCWSA [4A WS10 UK]</v>
          </cell>
          <cell r="K133" t="str">
            <v>0.070</v>
          </cell>
          <cell r="L133" t="str">
            <v>GBP</v>
          </cell>
          <cell r="M133">
            <v>0.07</v>
          </cell>
        </row>
        <row r="134">
          <cell r="D134" t="str">
            <v>OJ723724426GB</v>
          </cell>
          <cell r="E134" t="str">
            <v>未核账</v>
          </cell>
        </row>
        <row r="134">
          <cell r="G134" t="str">
            <v>包裹订单</v>
          </cell>
          <cell r="H134" t="str">
            <v>RM_TR48(48可追踪包裹)</v>
          </cell>
          <cell r="I134" t="str">
            <v>操作费</v>
          </cell>
          <cell r="J134" t="str">
            <v>OCWSA [4A WS10 UK]</v>
          </cell>
          <cell r="K134" t="str">
            <v>0.400</v>
          </cell>
          <cell r="L134" t="str">
            <v>GBP</v>
          </cell>
          <cell r="M134">
            <v>0.4</v>
          </cell>
        </row>
        <row r="135">
          <cell r="D135" t="str">
            <v>OJ723724426GB</v>
          </cell>
          <cell r="E135" t="str">
            <v>未核账</v>
          </cell>
        </row>
        <row r="135">
          <cell r="G135" t="str">
            <v>包裹订单</v>
          </cell>
          <cell r="H135" t="str">
            <v>RM_TR48(48可追踪包裹)</v>
          </cell>
          <cell r="I135" t="str">
            <v>运输费</v>
          </cell>
          <cell r="J135" t="str">
            <v>OCWSA [4A WS10 UK]</v>
          </cell>
          <cell r="K135" t="str">
            <v>2.490</v>
          </cell>
          <cell r="L135" t="str">
            <v>GBP</v>
          </cell>
          <cell r="M135">
            <v>2.49</v>
          </cell>
        </row>
        <row r="136">
          <cell r="D136" t="str">
            <v>OJ723724341GB</v>
          </cell>
          <cell r="E136" t="str">
            <v>未核账</v>
          </cell>
        </row>
        <row r="136">
          <cell r="G136" t="str">
            <v>包裹订单</v>
          </cell>
          <cell r="H136" t="str">
            <v>RM_TR48(48可追踪包裹)</v>
          </cell>
          <cell r="I136" t="str">
            <v>仓储操作附加费按重量</v>
          </cell>
          <cell r="J136" t="str">
            <v>OCWSA [4A WS10 UK]</v>
          </cell>
          <cell r="K136" t="str">
            <v>0.070</v>
          </cell>
          <cell r="L136" t="str">
            <v>GBP</v>
          </cell>
          <cell r="M136">
            <v>0.07</v>
          </cell>
        </row>
        <row r="137">
          <cell r="D137" t="str">
            <v>OJ723724341GB</v>
          </cell>
          <cell r="E137" t="str">
            <v>未核账</v>
          </cell>
        </row>
        <row r="137">
          <cell r="G137" t="str">
            <v>包裹订单</v>
          </cell>
          <cell r="H137" t="str">
            <v>RM_TR48(48可追踪包裹)</v>
          </cell>
          <cell r="I137" t="str">
            <v>操作费</v>
          </cell>
          <cell r="J137" t="str">
            <v>OCWSA [4A WS10 UK]</v>
          </cell>
          <cell r="K137" t="str">
            <v>0.400</v>
          </cell>
          <cell r="L137" t="str">
            <v>GBP</v>
          </cell>
          <cell r="M137">
            <v>0.4</v>
          </cell>
        </row>
        <row r="138">
          <cell r="D138" t="str">
            <v>OJ723724341GB</v>
          </cell>
          <cell r="E138" t="str">
            <v>未核账</v>
          </cell>
        </row>
        <row r="138">
          <cell r="G138" t="str">
            <v>包裹订单</v>
          </cell>
          <cell r="H138" t="str">
            <v>RM_TR48(48可追踪包裹)</v>
          </cell>
          <cell r="I138" t="str">
            <v>运输费</v>
          </cell>
          <cell r="J138" t="str">
            <v>OCWSA [4A WS10 UK]</v>
          </cell>
          <cell r="K138" t="str">
            <v>2.490</v>
          </cell>
          <cell r="L138" t="str">
            <v>GBP</v>
          </cell>
          <cell r="M138">
            <v>2.49</v>
          </cell>
        </row>
        <row r="139">
          <cell r="D139" t="str">
            <v>OJ723724559GB</v>
          </cell>
          <cell r="E139" t="str">
            <v>未核账</v>
          </cell>
        </row>
        <row r="139">
          <cell r="G139" t="str">
            <v>包裹订单</v>
          </cell>
          <cell r="H139" t="str">
            <v>RM_TR48(48可追踪包裹)</v>
          </cell>
          <cell r="I139" t="str">
            <v>包材费用</v>
          </cell>
          <cell r="J139" t="str">
            <v>OCWSA [4A WS10 UK]</v>
          </cell>
          <cell r="K139" t="str">
            <v>1.500</v>
          </cell>
          <cell r="L139" t="str">
            <v>GBP</v>
          </cell>
          <cell r="M139">
            <v>1.5</v>
          </cell>
        </row>
        <row r="140">
          <cell r="D140" t="str">
            <v>OJ723724559GB</v>
          </cell>
          <cell r="E140" t="str">
            <v>未核账</v>
          </cell>
        </row>
        <row r="140">
          <cell r="G140" t="str">
            <v>包裹订单</v>
          </cell>
          <cell r="H140" t="str">
            <v>RM_TR48(48可追踪包裹)</v>
          </cell>
          <cell r="I140" t="str">
            <v>仓储操作附加费按件数</v>
          </cell>
          <cell r="J140" t="str">
            <v>OCWSA [4A WS10 UK]</v>
          </cell>
          <cell r="K140" t="str">
            <v>0.300</v>
          </cell>
          <cell r="L140" t="str">
            <v>GBP</v>
          </cell>
          <cell r="M140">
            <v>0.3</v>
          </cell>
        </row>
        <row r="141">
          <cell r="D141" t="str">
            <v>OJ723724559GB</v>
          </cell>
          <cell r="E141" t="str">
            <v>未核账</v>
          </cell>
        </row>
        <row r="141">
          <cell r="G141" t="str">
            <v>包裹订单</v>
          </cell>
          <cell r="H141" t="str">
            <v>RM_TR48(48可追踪包裹)</v>
          </cell>
          <cell r="I141" t="str">
            <v>仓储操作附加费按重量</v>
          </cell>
          <cell r="J141" t="str">
            <v>OCWSA [4A WS10 UK]</v>
          </cell>
          <cell r="K141" t="str">
            <v>0.140</v>
          </cell>
          <cell r="L141" t="str">
            <v>GBP</v>
          </cell>
          <cell r="M141">
            <v>0.14</v>
          </cell>
        </row>
        <row r="142">
          <cell r="D142" t="str">
            <v>OJ723724559GB</v>
          </cell>
          <cell r="E142" t="str">
            <v>未核账</v>
          </cell>
        </row>
        <row r="142">
          <cell r="G142" t="str">
            <v>包裹订单</v>
          </cell>
          <cell r="H142" t="str">
            <v>RM_TR48(48可追踪包裹)</v>
          </cell>
          <cell r="I142" t="str">
            <v>操作费</v>
          </cell>
          <cell r="J142" t="str">
            <v>OCWSA [4A WS10 UK]</v>
          </cell>
          <cell r="K142" t="str">
            <v>0.400</v>
          </cell>
          <cell r="L142" t="str">
            <v>GBP</v>
          </cell>
          <cell r="M142">
            <v>0.4</v>
          </cell>
        </row>
        <row r="143">
          <cell r="D143" t="str">
            <v>OJ723724559GB</v>
          </cell>
          <cell r="E143" t="str">
            <v>未核账</v>
          </cell>
        </row>
        <row r="143">
          <cell r="G143" t="str">
            <v>包裹订单</v>
          </cell>
          <cell r="H143" t="str">
            <v>RM_TR48(48可追踪包裹)</v>
          </cell>
          <cell r="I143" t="str">
            <v>运输费</v>
          </cell>
          <cell r="J143" t="str">
            <v>OCWSA [4A WS10 UK]</v>
          </cell>
          <cell r="K143" t="str">
            <v>2.860</v>
          </cell>
          <cell r="L143" t="str">
            <v>GBP</v>
          </cell>
          <cell r="M143">
            <v>2.86</v>
          </cell>
        </row>
        <row r="144">
          <cell r="D144" t="str">
            <v>OJ723724205GB</v>
          </cell>
          <cell r="E144" t="str">
            <v>未核账</v>
          </cell>
        </row>
        <row r="144">
          <cell r="G144" t="str">
            <v>包裹订单</v>
          </cell>
          <cell r="H144" t="str">
            <v>RM_TR48(48可追踪包裹)</v>
          </cell>
          <cell r="I144" t="str">
            <v>仓储操作附加费按重量</v>
          </cell>
          <cell r="J144" t="str">
            <v>OCWSA [4A WS10 UK]</v>
          </cell>
          <cell r="K144" t="str">
            <v>0.070</v>
          </cell>
          <cell r="L144" t="str">
            <v>GBP</v>
          </cell>
          <cell r="M144">
            <v>0.07</v>
          </cell>
        </row>
        <row r="145">
          <cell r="D145" t="str">
            <v>OJ723724205GB</v>
          </cell>
          <cell r="E145" t="str">
            <v>未核账</v>
          </cell>
        </row>
        <row r="145">
          <cell r="G145" t="str">
            <v>包裹订单</v>
          </cell>
          <cell r="H145" t="str">
            <v>RM_TR48(48可追踪包裹)</v>
          </cell>
          <cell r="I145" t="str">
            <v>操作费</v>
          </cell>
          <cell r="J145" t="str">
            <v>OCWSA [4A WS10 UK]</v>
          </cell>
          <cell r="K145" t="str">
            <v>0.400</v>
          </cell>
          <cell r="L145" t="str">
            <v>GBP</v>
          </cell>
          <cell r="M145">
            <v>0.4</v>
          </cell>
        </row>
        <row r="146">
          <cell r="D146" t="str">
            <v>OJ723724205GB</v>
          </cell>
          <cell r="E146" t="str">
            <v>未核账</v>
          </cell>
        </row>
        <row r="146">
          <cell r="G146" t="str">
            <v>包裹订单</v>
          </cell>
          <cell r="H146" t="str">
            <v>RM_TR48(48可追踪包裹)</v>
          </cell>
          <cell r="I146" t="str">
            <v>运输费</v>
          </cell>
          <cell r="J146" t="str">
            <v>OCWSA [4A WS10 UK]</v>
          </cell>
          <cell r="K146" t="str">
            <v>2.490</v>
          </cell>
          <cell r="L146" t="str">
            <v>GBP</v>
          </cell>
          <cell r="M146">
            <v>2.49</v>
          </cell>
        </row>
        <row r="147">
          <cell r="D147" t="str">
            <v>OJ723724465GB</v>
          </cell>
          <cell r="E147" t="str">
            <v>未核账</v>
          </cell>
        </row>
        <row r="147">
          <cell r="G147" t="str">
            <v>包裹订单</v>
          </cell>
          <cell r="H147" t="str">
            <v>RM_TR48(48可追踪包裹)</v>
          </cell>
          <cell r="I147" t="str">
            <v>仓储操作附加费按重量</v>
          </cell>
          <cell r="J147" t="str">
            <v>OCWSA [4A WS10 UK]</v>
          </cell>
          <cell r="K147" t="str">
            <v>0.070</v>
          </cell>
          <cell r="L147" t="str">
            <v>GBP</v>
          </cell>
          <cell r="M147">
            <v>0.07</v>
          </cell>
        </row>
        <row r="148">
          <cell r="D148" t="str">
            <v>OJ723724465GB</v>
          </cell>
          <cell r="E148" t="str">
            <v>未核账</v>
          </cell>
        </row>
        <row r="148">
          <cell r="G148" t="str">
            <v>包裹订单</v>
          </cell>
          <cell r="H148" t="str">
            <v>RM_TR48(48可追踪包裹)</v>
          </cell>
          <cell r="I148" t="str">
            <v>操作费</v>
          </cell>
          <cell r="J148" t="str">
            <v>OCWSA [4A WS10 UK]</v>
          </cell>
          <cell r="K148" t="str">
            <v>0.400</v>
          </cell>
          <cell r="L148" t="str">
            <v>GBP</v>
          </cell>
          <cell r="M148">
            <v>0.4</v>
          </cell>
        </row>
        <row r="149">
          <cell r="D149" t="str">
            <v>OJ723724465GB</v>
          </cell>
          <cell r="E149" t="str">
            <v>未核账</v>
          </cell>
        </row>
        <row r="149">
          <cell r="G149" t="str">
            <v>包裹订单</v>
          </cell>
          <cell r="H149" t="str">
            <v>RM_TR48(48可追踪包裹)</v>
          </cell>
          <cell r="I149" t="str">
            <v>运输费</v>
          </cell>
          <cell r="J149" t="str">
            <v>OCWSA [4A WS10 UK]</v>
          </cell>
          <cell r="K149" t="str">
            <v>2.490</v>
          </cell>
          <cell r="L149" t="str">
            <v>GBP</v>
          </cell>
          <cell r="M149">
            <v>2.49</v>
          </cell>
        </row>
        <row r="150">
          <cell r="D150" t="str">
            <v>OJ723730523GB</v>
          </cell>
          <cell r="E150" t="str">
            <v>未核账</v>
          </cell>
        </row>
        <row r="150">
          <cell r="G150" t="str">
            <v>包裹订单</v>
          </cell>
          <cell r="H150" t="str">
            <v>RM_TR48(48可追踪包裹)</v>
          </cell>
          <cell r="I150" t="str">
            <v>仓储操作附加费按重量</v>
          </cell>
          <cell r="J150" t="str">
            <v>OCWSA [4A WS10 UK]</v>
          </cell>
          <cell r="K150" t="str">
            <v>0.070</v>
          </cell>
          <cell r="L150" t="str">
            <v>GBP</v>
          </cell>
          <cell r="M150">
            <v>0.07</v>
          </cell>
        </row>
        <row r="151">
          <cell r="D151" t="str">
            <v>OJ723730523GB</v>
          </cell>
          <cell r="E151" t="str">
            <v>未核账</v>
          </cell>
        </row>
        <row r="151">
          <cell r="G151" t="str">
            <v>包裹订单</v>
          </cell>
          <cell r="H151" t="str">
            <v>RM_TR48(48可追踪包裹)</v>
          </cell>
          <cell r="I151" t="str">
            <v>操作费</v>
          </cell>
          <cell r="J151" t="str">
            <v>OCWSA [4A WS10 UK]</v>
          </cell>
          <cell r="K151" t="str">
            <v>0.400</v>
          </cell>
          <cell r="L151" t="str">
            <v>GBP</v>
          </cell>
          <cell r="M151">
            <v>0.4</v>
          </cell>
        </row>
        <row r="152">
          <cell r="D152" t="str">
            <v>OJ723730523GB</v>
          </cell>
          <cell r="E152" t="str">
            <v>未核账</v>
          </cell>
        </row>
        <row r="152">
          <cell r="G152" t="str">
            <v>包裹订单</v>
          </cell>
          <cell r="H152" t="str">
            <v>RM_TR48(48可追踪包裹)</v>
          </cell>
          <cell r="I152" t="str">
            <v>运输费</v>
          </cell>
          <cell r="J152" t="str">
            <v>OCWSA [4A WS10 UK]</v>
          </cell>
          <cell r="K152" t="str">
            <v>2.490</v>
          </cell>
          <cell r="L152" t="str">
            <v>GBP</v>
          </cell>
          <cell r="M152">
            <v>2.49</v>
          </cell>
        </row>
        <row r="153">
          <cell r="D153" t="str">
            <v>OJ723730466GB</v>
          </cell>
          <cell r="E153" t="str">
            <v>未核账</v>
          </cell>
        </row>
        <row r="153">
          <cell r="G153" t="str">
            <v>包裹订单</v>
          </cell>
          <cell r="H153" t="str">
            <v>RM_TR48(48可追踪包裹)</v>
          </cell>
          <cell r="I153" t="str">
            <v>仓储操作附加费按重量</v>
          </cell>
          <cell r="J153" t="str">
            <v>OCWSA [4A WS10 UK]</v>
          </cell>
          <cell r="K153" t="str">
            <v>0.070</v>
          </cell>
          <cell r="L153" t="str">
            <v>GBP</v>
          </cell>
          <cell r="M153">
            <v>0.07</v>
          </cell>
        </row>
        <row r="154">
          <cell r="D154" t="str">
            <v>OJ723730466GB</v>
          </cell>
          <cell r="E154" t="str">
            <v>未核账</v>
          </cell>
        </row>
        <row r="154">
          <cell r="G154" t="str">
            <v>包裹订单</v>
          </cell>
          <cell r="H154" t="str">
            <v>RM_TR48(48可追踪包裹)</v>
          </cell>
          <cell r="I154" t="str">
            <v>操作费</v>
          </cell>
          <cell r="J154" t="str">
            <v>OCWSA [4A WS10 UK]</v>
          </cell>
          <cell r="K154" t="str">
            <v>0.400</v>
          </cell>
          <cell r="L154" t="str">
            <v>GBP</v>
          </cell>
          <cell r="M154">
            <v>0.4</v>
          </cell>
        </row>
        <row r="155">
          <cell r="D155" t="str">
            <v>OJ723730466GB</v>
          </cell>
          <cell r="E155" t="str">
            <v>未核账</v>
          </cell>
        </row>
        <row r="155">
          <cell r="G155" t="str">
            <v>包裹订单</v>
          </cell>
          <cell r="H155" t="str">
            <v>RM_TR48(48可追踪包裹)</v>
          </cell>
          <cell r="I155" t="str">
            <v>运输费</v>
          </cell>
          <cell r="J155" t="str">
            <v>OCWSA [4A WS10 UK]</v>
          </cell>
          <cell r="K155" t="str">
            <v>2.490</v>
          </cell>
          <cell r="L155" t="str">
            <v>GBP</v>
          </cell>
          <cell r="M155">
            <v>2.49</v>
          </cell>
        </row>
        <row r="156">
          <cell r="D156" t="str">
            <v>OJ723731577GB</v>
          </cell>
          <cell r="E156" t="str">
            <v>未核账</v>
          </cell>
        </row>
        <row r="156">
          <cell r="G156" t="str">
            <v>包裹订单</v>
          </cell>
          <cell r="H156" t="str">
            <v>RM_TR48(48可追踪包裹)</v>
          </cell>
          <cell r="I156" t="str">
            <v>仓储操作附加费按重量</v>
          </cell>
          <cell r="J156" t="str">
            <v>OCWSA [4A WS10 UK]</v>
          </cell>
          <cell r="K156" t="str">
            <v>0.070</v>
          </cell>
          <cell r="L156" t="str">
            <v>GBP</v>
          </cell>
          <cell r="M156">
            <v>0.07</v>
          </cell>
        </row>
        <row r="157">
          <cell r="D157" t="str">
            <v>OJ723731577GB</v>
          </cell>
          <cell r="E157" t="str">
            <v>未核账</v>
          </cell>
        </row>
        <row r="157">
          <cell r="G157" t="str">
            <v>包裹订单</v>
          </cell>
          <cell r="H157" t="str">
            <v>RM_TR48(48可追踪包裹)</v>
          </cell>
          <cell r="I157" t="str">
            <v>操作费</v>
          </cell>
          <cell r="J157" t="str">
            <v>OCWSA [4A WS10 UK]</v>
          </cell>
          <cell r="K157" t="str">
            <v>0.400</v>
          </cell>
          <cell r="L157" t="str">
            <v>GBP</v>
          </cell>
          <cell r="M157">
            <v>0.4</v>
          </cell>
        </row>
        <row r="158">
          <cell r="D158" t="str">
            <v>OJ723731577GB</v>
          </cell>
          <cell r="E158" t="str">
            <v>未核账</v>
          </cell>
        </row>
        <row r="158">
          <cell r="G158" t="str">
            <v>包裹订单</v>
          </cell>
          <cell r="H158" t="str">
            <v>RM_TR48(48可追踪包裹)</v>
          </cell>
          <cell r="I158" t="str">
            <v>运输费</v>
          </cell>
          <cell r="J158" t="str">
            <v>OCWSA [4A WS10 UK]</v>
          </cell>
          <cell r="K158" t="str">
            <v>2.490</v>
          </cell>
          <cell r="L158" t="str">
            <v>GBP</v>
          </cell>
          <cell r="M158">
            <v>2.49</v>
          </cell>
        </row>
        <row r="159">
          <cell r="D159" t="str">
            <v/>
          </cell>
          <cell r="E159" t="str">
            <v>未核账</v>
          </cell>
        </row>
        <row r="159">
          <cell r="G159" t="str">
            <v>仓租</v>
          </cell>
          <cell r="H159" t="str">
            <v>()</v>
          </cell>
          <cell r="I159" t="str">
            <v>仓储费</v>
          </cell>
          <cell r="J159" t="str">
            <v>OCWSA [4A WS10 UK]</v>
          </cell>
          <cell r="K159" t="str">
            <v>13.690</v>
          </cell>
          <cell r="L159" t="str">
            <v>GBP</v>
          </cell>
          <cell r="M159">
            <v>13.69</v>
          </cell>
        </row>
        <row r="160">
          <cell r="D160" t="str">
            <v>OJ722949290GB</v>
          </cell>
          <cell r="E160" t="str">
            <v>未核账</v>
          </cell>
        </row>
        <row r="160">
          <cell r="G160" t="str">
            <v>包裹订单</v>
          </cell>
          <cell r="H160" t="str">
            <v>RM_TR48(48可追踪包裹)</v>
          </cell>
          <cell r="I160" t="str">
            <v>仓储操作附加费按重量</v>
          </cell>
          <cell r="J160" t="str">
            <v>OCWSA [4A WS10 UK]</v>
          </cell>
          <cell r="K160" t="str">
            <v>0.070</v>
          </cell>
          <cell r="L160" t="str">
            <v>GBP</v>
          </cell>
          <cell r="M160">
            <v>0.07</v>
          </cell>
        </row>
        <row r="161">
          <cell r="D161" t="str">
            <v>OJ722949290GB</v>
          </cell>
          <cell r="E161" t="str">
            <v>未核账</v>
          </cell>
        </row>
        <row r="161">
          <cell r="G161" t="str">
            <v>包裹订单</v>
          </cell>
          <cell r="H161" t="str">
            <v>RM_TR48(48可追踪包裹)</v>
          </cell>
          <cell r="I161" t="str">
            <v>操作费</v>
          </cell>
          <cell r="J161" t="str">
            <v>OCWSA [4A WS10 UK]</v>
          </cell>
          <cell r="K161" t="str">
            <v>0.400</v>
          </cell>
          <cell r="L161" t="str">
            <v>GBP</v>
          </cell>
          <cell r="M161">
            <v>0.4</v>
          </cell>
        </row>
        <row r="162">
          <cell r="D162" t="str">
            <v>OJ722949290GB</v>
          </cell>
          <cell r="E162" t="str">
            <v>未核账</v>
          </cell>
        </row>
        <row r="162">
          <cell r="G162" t="str">
            <v>包裹订单</v>
          </cell>
          <cell r="H162" t="str">
            <v>RM_TR48(48可追踪包裹)</v>
          </cell>
          <cell r="I162" t="str">
            <v>运输费</v>
          </cell>
          <cell r="J162" t="str">
            <v>OCWSA [4A WS10 UK]</v>
          </cell>
          <cell r="K162" t="str">
            <v>2.490</v>
          </cell>
          <cell r="L162" t="str">
            <v>GBP</v>
          </cell>
          <cell r="M162">
            <v>2.49</v>
          </cell>
        </row>
        <row r="163">
          <cell r="D163" t="str">
            <v>OJ722950409GB</v>
          </cell>
          <cell r="E163" t="str">
            <v>未核账</v>
          </cell>
        </row>
        <row r="163">
          <cell r="G163" t="str">
            <v>包裹订单</v>
          </cell>
          <cell r="H163" t="str">
            <v>RM_TR48(48可追踪包裹)</v>
          </cell>
          <cell r="I163" t="str">
            <v>仓储操作附加费按重量</v>
          </cell>
          <cell r="J163" t="str">
            <v>OCWSA [4A WS10 UK]</v>
          </cell>
          <cell r="K163" t="str">
            <v>0.070</v>
          </cell>
          <cell r="L163" t="str">
            <v>GBP</v>
          </cell>
          <cell r="M163">
            <v>0.07</v>
          </cell>
        </row>
        <row r="164">
          <cell r="D164" t="str">
            <v>OJ722950409GB</v>
          </cell>
          <cell r="E164" t="str">
            <v>未核账</v>
          </cell>
        </row>
        <row r="164">
          <cell r="G164" t="str">
            <v>包裹订单</v>
          </cell>
          <cell r="H164" t="str">
            <v>RM_TR48(48可追踪包裹)</v>
          </cell>
          <cell r="I164" t="str">
            <v>操作费</v>
          </cell>
          <cell r="J164" t="str">
            <v>OCWSA [4A WS10 UK]</v>
          </cell>
          <cell r="K164" t="str">
            <v>0.400</v>
          </cell>
          <cell r="L164" t="str">
            <v>GBP</v>
          </cell>
          <cell r="M164">
            <v>0.4</v>
          </cell>
        </row>
        <row r="165">
          <cell r="D165" t="str">
            <v>OJ722950409GB</v>
          </cell>
          <cell r="E165" t="str">
            <v>未核账</v>
          </cell>
        </row>
        <row r="165">
          <cell r="G165" t="str">
            <v>包裹订单</v>
          </cell>
          <cell r="H165" t="str">
            <v>RM_TR48(48可追踪包裹)</v>
          </cell>
          <cell r="I165" t="str">
            <v>运输费</v>
          </cell>
          <cell r="J165" t="str">
            <v>OCWSA [4A WS10 UK]</v>
          </cell>
          <cell r="K165" t="str">
            <v>2.490</v>
          </cell>
          <cell r="L165" t="str">
            <v>GBP</v>
          </cell>
          <cell r="M165">
            <v>2.49</v>
          </cell>
        </row>
        <row r="166">
          <cell r="D166" t="str">
            <v>OJ722951625GB</v>
          </cell>
          <cell r="E166" t="str">
            <v>未核账</v>
          </cell>
        </row>
        <row r="166">
          <cell r="G166" t="str">
            <v>包裹订单</v>
          </cell>
          <cell r="H166" t="str">
            <v>RM_TR48(48可追踪包裹)</v>
          </cell>
          <cell r="I166" t="str">
            <v>仓储操作附加费按重量</v>
          </cell>
          <cell r="J166" t="str">
            <v>OCWSA [4A WS10 UK]</v>
          </cell>
          <cell r="K166" t="str">
            <v>0.070</v>
          </cell>
          <cell r="L166" t="str">
            <v>GBP</v>
          </cell>
          <cell r="M166">
            <v>0.07</v>
          </cell>
        </row>
        <row r="167">
          <cell r="D167" t="str">
            <v>OJ722951625GB</v>
          </cell>
          <cell r="E167" t="str">
            <v>未核账</v>
          </cell>
        </row>
        <row r="167">
          <cell r="G167" t="str">
            <v>包裹订单</v>
          </cell>
          <cell r="H167" t="str">
            <v>RM_TR48(48可追踪包裹)</v>
          </cell>
          <cell r="I167" t="str">
            <v>操作费</v>
          </cell>
          <cell r="J167" t="str">
            <v>OCWSA [4A WS10 UK]</v>
          </cell>
          <cell r="K167" t="str">
            <v>0.400</v>
          </cell>
          <cell r="L167" t="str">
            <v>GBP</v>
          </cell>
          <cell r="M167">
            <v>0.4</v>
          </cell>
        </row>
        <row r="168">
          <cell r="D168" t="str">
            <v>OJ722951625GB</v>
          </cell>
          <cell r="E168" t="str">
            <v>未核账</v>
          </cell>
        </row>
        <row r="168">
          <cell r="G168" t="str">
            <v>包裹订单</v>
          </cell>
          <cell r="H168" t="str">
            <v>RM_TR48(48可追踪包裹)</v>
          </cell>
          <cell r="I168" t="str">
            <v>运输费</v>
          </cell>
          <cell r="J168" t="str">
            <v>OCWSA [4A WS10 UK]</v>
          </cell>
          <cell r="K168" t="str">
            <v>2.490</v>
          </cell>
          <cell r="L168" t="str">
            <v>GBP</v>
          </cell>
          <cell r="M168">
            <v>2.49</v>
          </cell>
        </row>
        <row r="169">
          <cell r="D169" t="str">
            <v>OJ722952183GB</v>
          </cell>
          <cell r="E169" t="str">
            <v>未核账</v>
          </cell>
        </row>
        <row r="169">
          <cell r="G169" t="str">
            <v>包裹订单</v>
          </cell>
          <cell r="H169" t="str">
            <v>RM_TR48(48可追踪包裹)</v>
          </cell>
          <cell r="I169" t="str">
            <v>仓储操作附加费按重量</v>
          </cell>
          <cell r="J169" t="str">
            <v>OCWSA [4A WS10 UK]</v>
          </cell>
          <cell r="K169" t="str">
            <v>0.070</v>
          </cell>
          <cell r="L169" t="str">
            <v>GBP</v>
          </cell>
          <cell r="M169">
            <v>0.07</v>
          </cell>
        </row>
        <row r="170">
          <cell r="D170" t="str">
            <v>OJ722952183GB</v>
          </cell>
          <cell r="E170" t="str">
            <v>未核账</v>
          </cell>
        </row>
        <row r="170">
          <cell r="G170" t="str">
            <v>包裹订单</v>
          </cell>
          <cell r="H170" t="str">
            <v>RM_TR48(48可追踪包裹)</v>
          </cell>
          <cell r="I170" t="str">
            <v>操作费</v>
          </cell>
          <cell r="J170" t="str">
            <v>OCWSA [4A WS10 UK]</v>
          </cell>
          <cell r="K170" t="str">
            <v>0.400</v>
          </cell>
          <cell r="L170" t="str">
            <v>GBP</v>
          </cell>
          <cell r="M170">
            <v>0.4</v>
          </cell>
        </row>
        <row r="171">
          <cell r="D171" t="str">
            <v>OJ722952183GB</v>
          </cell>
          <cell r="E171" t="str">
            <v>未核账</v>
          </cell>
        </row>
        <row r="171">
          <cell r="G171" t="str">
            <v>包裹订单</v>
          </cell>
          <cell r="H171" t="str">
            <v>RM_TR48(48可追踪包裹)</v>
          </cell>
          <cell r="I171" t="str">
            <v>运输费</v>
          </cell>
          <cell r="J171" t="str">
            <v>OCWSA [4A WS10 UK]</v>
          </cell>
          <cell r="K171" t="str">
            <v>2.490</v>
          </cell>
          <cell r="L171" t="str">
            <v>GBP</v>
          </cell>
          <cell r="M171">
            <v>2.49</v>
          </cell>
        </row>
        <row r="172">
          <cell r="D172" t="str">
            <v>OJ722951280GB</v>
          </cell>
          <cell r="E172" t="str">
            <v>未核账</v>
          </cell>
        </row>
        <row r="172">
          <cell r="G172" t="str">
            <v>包裹订单</v>
          </cell>
          <cell r="H172" t="str">
            <v>RM_TR48(48可追踪包裹)</v>
          </cell>
          <cell r="I172" t="str">
            <v>仓储操作附加费按重量</v>
          </cell>
          <cell r="J172" t="str">
            <v>OCWSA [4A WS10 UK]</v>
          </cell>
          <cell r="K172" t="str">
            <v>0.070</v>
          </cell>
          <cell r="L172" t="str">
            <v>GBP</v>
          </cell>
          <cell r="M172">
            <v>0.07</v>
          </cell>
        </row>
        <row r="173">
          <cell r="D173" t="str">
            <v>OJ722951280GB</v>
          </cell>
          <cell r="E173" t="str">
            <v>未核账</v>
          </cell>
        </row>
        <row r="173">
          <cell r="G173" t="str">
            <v>包裹订单</v>
          </cell>
          <cell r="H173" t="str">
            <v>RM_TR48(48可追踪包裹)</v>
          </cell>
          <cell r="I173" t="str">
            <v>操作费</v>
          </cell>
          <cell r="J173" t="str">
            <v>OCWSA [4A WS10 UK]</v>
          </cell>
          <cell r="K173" t="str">
            <v>0.400</v>
          </cell>
          <cell r="L173" t="str">
            <v>GBP</v>
          </cell>
          <cell r="M173">
            <v>0.4</v>
          </cell>
        </row>
        <row r="174">
          <cell r="D174" t="str">
            <v>OJ722951280GB</v>
          </cell>
          <cell r="E174" t="str">
            <v>未核账</v>
          </cell>
        </row>
        <row r="174">
          <cell r="G174" t="str">
            <v>包裹订单</v>
          </cell>
          <cell r="H174" t="str">
            <v>RM_TR48(48可追踪包裹)</v>
          </cell>
          <cell r="I174" t="str">
            <v>运输费</v>
          </cell>
          <cell r="J174" t="str">
            <v>OCWSA [4A WS10 UK]</v>
          </cell>
          <cell r="K174" t="str">
            <v>2.490</v>
          </cell>
          <cell r="L174" t="str">
            <v>GBP</v>
          </cell>
          <cell r="M174">
            <v>2.49</v>
          </cell>
        </row>
        <row r="175">
          <cell r="D175" t="str">
            <v>OJ722950797GB</v>
          </cell>
          <cell r="E175" t="str">
            <v>未核账</v>
          </cell>
        </row>
        <row r="175">
          <cell r="G175" t="str">
            <v>包裹订单</v>
          </cell>
          <cell r="H175" t="str">
            <v>RM_TR48(48可追踪包裹)</v>
          </cell>
          <cell r="I175" t="str">
            <v>仓储操作附加费按重量</v>
          </cell>
          <cell r="J175" t="str">
            <v>OCWSA [4A WS10 UK]</v>
          </cell>
          <cell r="K175" t="str">
            <v>0.070</v>
          </cell>
          <cell r="L175" t="str">
            <v>GBP</v>
          </cell>
          <cell r="M175">
            <v>0.07</v>
          </cell>
        </row>
        <row r="176">
          <cell r="D176" t="str">
            <v>OJ722950797GB</v>
          </cell>
          <cell r="E176" t="str">
            <v>未核账</v>
          </cell>
        </row>
        <row r="176">
          <cell r="G176" t="str">
            <v>包裹订单</v>
          </cell>
          <cell r="H176" t="str">
            <v>RM_TR48(48可追踪包裹)</v>
          </cell>
          <cell r="I176" t="str">
            <v>操作费</v>
          </cell>
          <cell r="J176" t="str">
            <v>OCWSA [4A WS10 UK]</v>
          </cell>
          <cell r="K176" t="str">
            <v>0.400</v>
          </cell>
          <cell r="L176" t="str">
            <v>GBP</v>
          </cell>
          <cell r="M176">
            <v>0.4</v>
          </cell>
        </row>
        <row r="177">
          <cell r="D177" t="str">
            <v>OJ722950797GB</v>
          </cell>
          <cell r="E177" t="str">
            <v>未核账</v>
          </cell>
        </row>
        <row r="177">
          <cell r="G177" t="str">
            <v>包裹订单</v>
          </cell>
          <cell r="H177" t="str">
            <v>RM_TR48(48可追踪包裹)</v>
          </cell>
          <cell r="I177" t="str">
            <v>运输费</v>
          </cell>
          <cell r="J177" t="str">
            <v>OCWSA [4A WS10 UK]</v>
          </cell>
          <cell r="K177" t="str">
            <v>2.490</v>
          </cell>
          <cell r="L177" t="str">
            <v>GBP</v>
          </cell>
          <cell r="M177">
            <v>2.49</v>
          </cell>
        </row>
        <row r="178">
          <cell r="D178" t="str">
            <v>OJ722951801GB</v>
          </cell>
          <cell r="E178" t="str">
            <v>未核账</v>
          </cell>
        </row>
        <row r="178">
          <cell r="G178" t="str">
            <v>包裹订单</v>
          </cell>
          <cell r="H178" t="str">
            <v>RM_TR48(48可追踪包裹)</v>
          </cell>
          <cell r="I178" t="str">
            <v>仓储操作附加费按重量</v>
          </cell>
          <cell r="J178" t="str">
            <v>OCWSA [4A WS10 UK]</v>
          </cell>
          <cell r="K178" t="str">
            <v>0.070</v>
          </cell>
          <cell r="L178" t="str">
            <v>GBP</v>
          </cell>
          <cell r="M178">
            <v>0.07</v>
          </cell>
        </row>
        <row r="179">
          <cell r="D179" t="str">
            <v>OJ722951801GB</v>
          </cell>
          <cell r="E179" t="str">
            <v>未核账</v>
          </cell>
        </row>
        <row r="179">
          <cell r="G179" t="str">
            <v>包裹订单</v>
          </cell>
          <cell r="H179" t="str">
            <v>RM_TR48(48可追踪包裹)</v>
          </cell>
          <cell r="I179" t="str">
            <v>操作费</v>
          </cell>
          <cell r="J179" t="str">
            <v>OCWSA [4A WS10 UK]</v>
          </cell>
          <cell r="K179" t="str">
            <v>0.400</v>
          </cell>
          <cell r="L179" t="str">
            <v>GBP</v>
          </cell>
          <cell r="M179">
            <v>0.4</v>
          </cell>
        </row>
        <row r="180">
          <cell r="D180" t="str">
            <v>OJ722951801GB</v>
          </cell>
          <cell r="E180" t="str">
            <v>未核账</v>
          </cell>
        </row>
        <row r="180">
          <cell r="G180" t="str">
            <v>包裹订单</v>
          </cell>
          <cell r="H180" t="str">
            <v>RM_TR48(48可追踪包裹)</v>
          </cell>
          <cell r="I180" t="str">
            <v>运输费</v>
          </cell>
          <cell r="J180" t="str">
            <v>OCWSA [4A WS10 UK]</v>
          </cell>
          <cell r="K180" t="str">
            <v>2.490</v>
          </cell>
          <cell r="L180" t="str">
            <v>GBP</v>
          </cell>
          <cell r="M180">
            <v>2.49</v>
          </cell>
        </row>
        <row r="181">
          <cell r="D181" t="str">
            <v>OJ722951863GB</v>
          </cell>
          <cell r="E181" t="str">
            <v>未核账</v>
          </cell>
        </row>
        <row r="181">
          <cell r="G181" t="str">
            <v>包裹订单</v>
          </cell>
          <cell r="H181" t="str">
            <v>RM_TR48(48可追踪包裹)</v>
          </cell>
          <cell r="I181" t="str">
            <v>仓储操作附加费按重量</v>
          </cell>
          <cell r="J181" t="str">
            <v>OCWSA [4A WS10 UK]</v>
          </cell>
          <cell r="K181" t="str">
            <v>0.070</v>
          </cell>
          <cell r="L181" t="str">
            <v>GBP</v>
          </cell>
          <cell r="M181">
            <v>0.07</v>
          </cell>
        </row>
        <row r="182">
          <cell r="D182" t="str">
            <v>OJ722951863GB</v>
          </cell>
          <cell r="E182" t="str">
            <v>未核账</v>
          </cell>
        </row>
        <row r="182">
          <cell r="G182" t="str">
            <v>包裹订单</v>
          </cell>
          <cell r="H182" t="str">
            <v>RM_TR48(48可追踪包裹)</v>
          </cell>
          <cell r="I182" t="str">
            <v>操作费</v>
          </cell>
          <cell r="J182" t="str">
            <v>OCWSA [4A WS10 UK]</v>
          </cell>
          <cell r="K182" t="str">
            <v>0.400</v>
          </cell>
          <cell r="L182" t="str">
            <v>GBP</v>
          </cell>
          <cell r="M182">
            <v>0.4</v>
          </cell>
        </row>
        <row r="183">
          <cell r="D183" t="str">
            <v>OJ722951863GB</v>
          </cell>
          <cell r="E183" t="str">
            <v>未核账</v>
          </cell>
        </row>
        <row r="183">
          <cell r="G183" t="str">
            <v>包裹订单</v>
          </cell>
          <cell r="H183" t="str">
            <v>RM_TR48(48可追踪包裹)</v>
          </cell>
          <cell r="I183" t="str">
            <v>运输费</v>
          </cell>
          <cell r="J183" t="str">
            <v>OCWSA [4A WS10 UK]</v>
          </cell>
          <cell r="K183" t="str">
            <v>2.490</v>
          </cell>
          <cell r="L183" t="str">
            <v>GBP</v>
          </cell>
          <cell r="M183">
            <v>2.49</v>
          </cell>
        </row>
        <row r="184">
          <cell r="D184" t="str">
            <v>OJ722951673GB</v>
          </cell>
          <cell r="E184" t="str">
            <v>未核账</v>
          </cell>
        </row>
        <row r="184">
          <cell r="G184" t="str">
            <v>包裹订单</v>
          </cell>
          <cell r="H184" t="str">
            <v>RM_TR48(48可追踪包裹)</v>
          </cell>
          <cell r="I184" t="str">
            <v>仓储操作附加费按重量</v>
          </cell>
          <cell r="J184" t="str">
            <v>OCWSA [4A WS10 UK]</v>
          </cell>
          <cell r="K184" t="str">
            <v>0.070</v>
          </cell>
          <cell r="L184" t="str">
            <v>GBP</v>
          </cell>
          <cell r="M184">
            <v>0.07</v>
          </cell>
        </row>
        <row r="185">
          <cell r="D185" t="str">
            <v>OJ722951673GB</v>
          </cell>
          <cell r="E185" t="str">
            <v>未核账</v>
          </cell>
        </row>
        <row r="185">
          <cell r="G185" t="str">
            <v>包裹订单</v>
          </cell>
          <cell r="H185" t="str">
            <v>RM_TR48(48可追踪包裹)</v>
          </cell>
          <cell r="I185" t="str">
            <v>操作费</v>
          </cell>
          <cell r="J185" t="str">
            <v>OCWSA [4A WS10 UK]</v>
          </cell>
          <cell r="K185" t="str">
            <v>0.400</v>
          </cell>
          <cell r="L185" t="str">
            <v>GBP</v>
          </cell>
          <cell r="M185">
            <v>0.4</v>
          </cell>
        </row>
        <row r="186">
          <cell r="D186" t="str">
            <v>OJ722951673GB</v>
          </cell>
          <cell r="E186" t="str">
            <v>未核账</v>
          </cell>
        </row>
        <row r="186">
          <cell r="G186" t="str">
            <v>包裹订单</v>
          </cell>
          <cell r="H186" t="str">
            <v>RM_TR48(48可追踪包裹)</v>
          </cell>
          <cell r="I186" t="str">
            <v>运输费</v>
          </cell>
          <cell r="J186" t="str">
            <v>OCWSA [4A WS10 UK]</v>
          </cell>
          <cell r="K186" t="str">
            <v>2.490</v>
          </cell>
          <cell r="L186" t="str">
            <v>GBP</v>
          </cell>
          <cell r="M186">
            <v>2.49</v>
          </cell>
        </row>
        <row r="187">
          <cell r="D187" t="str">
            <v>OJ722951466GB</v>
          </cell>
          <cell r="E187" t="str">
            <v>未核账</v>
          </cell>
        </row>
        <row r="187">
          <cell r="G187" t="str">
            <v>包裹订单</v>
          </cell>
          <cell r="H187" t="str">
            <v>RM_TR48(48可追踪包裹)</v>
          </cell>
          <cell r="I187" t="str">
            <v>仓储操作附加费按重量</v>
          </cell>
          <cell r="J187" t="str">
            <v>OCWSA [4A WS10 UK]</v>
          </cell>
          <cell r="K187" t="str">
            <v>0.070</v>
          </cell>
          <cell r="L187" t="str">
            <v>GBP</v>
          </cell>
          <cell r="M187">
            <v>0.07</v>
          </cell>
        </row>
        <row r="188">
          <cell r="D188" t="str">
            <v>OJ722951466GB</v>
          </cell>
          <cell r="E188" t="str">
            <v>未核账</v>
          </cell>
        </row>
        <row r="188">
          <cell r="G188" t="str">
            <v>包裹订单</v>
          </cell>
          <cell r="H188" t="str">
            <v>RM_TR48(48可追踪包裹)</v>
          </cell>
          <cell r="I188" t="str">
            <v>操作费</v>
          </cell>
          <cell r="J188" t="str">
            <v>OCWSA [4A WS10 UK]</v>
          </cell>
          <cell r="K188" t="str">
            <v>0.400</v>
          </cell>
          <cell r="L188" t="str">
            <v>GBP</v>
          </cell>
          <cell r="M188">
            <v>0.4</v>
          </cell>
        </row>
        <row r="189">
          <cell r="D189" t="str">
            <v>OJ722951466GB</v>
          </cell>
          <cell r="E189" t="str">
            <v>未核账</v>
          </cell>
        </row>
        <row r="189">
          <cell r="G189" t="str">
            <v>包裹订单</v>
          </cell>
          <cell r="H189" t="str">
            <v>RM_TR48(48可追踪包裹)</v>
          </cell>
          <cell r="I189" t="str">
            <v>运输费</v>
          </cell>
          <cell r="J189" t="str">
            <v>OCWSA [4A WS10 UK]</v>
          </cell>
          <cell r="K189" t="str">
            <v>2.490</v>
          </cell>
          <cell r="L189" t="str">
            <v>GBP</v>
          </cell>
          <cell r="M189">
            <v>2.49</v>
          </cell>
        </row>
        <row r="190">
          <cell r="D190" t="str">
            <v>OJ722951165GB</v>
          </cell>
          <cell r="E190" t="str">
            <v>未核账</v>
          </cell>
        </row>
        <row r="190">
          <cell r="G190" t="str">
            <v>包裹订单</v>
          </cell>
          <cell r="H190" t="str">
            <v>RM_TR48(48可追踪包裹)</v>
          </cell>
          <cell r="I190" t="str">
            <v>仓储操作附加费按重量</v>
          </cell>
          <cell r="J190" t="str">
            <v>OCWSA [4A WS10 UK]</v>
          </cell>
          <cell r="K190" t="str">
            <v>0.070</v>
          </cell>
          <cell r="L190" t="str">
            <v>GBP</v>
          </cell>
          <cell r="M190">
            <v>0.07</v>
          </cell>
        </row>
        <row r="191">
          <cell r="D191" t="str">
            <v>OJ722951165GB</v>
          </cell>
          <cell r="E191" t="str">
            <v>未核账</v>
          </cell>
        </row>
        <row r="191">
          <cell r="G191" t="str">
            <v>包裹订单</v>
          </cell>
          <cell r="H191" t="str">
            <v>RM_TR48(48可追踪包裹)</v>
          </cell>
          <cell r="I191" t="str">
            <v>操作费</v>
          </cell>
          <cell r="J191" t="str">
            <v>OCWSA [4A WS10 UK]</v>
          </cell>
          <cell r="K191" t="str">
            <v>0.400</v>
          </cell>
          <cell r="L191" t="str">
            <v>GBP</v>
          </cell>
          <cell r="M191">
            <v>0.4</v>
          </cell>
        </row>
        <row r="192">
          <cell r="D192" t="str">
            <v>OJ722951165GB</v>
          </cell>
          <cell r="E192" t="str">
            <v>未核账</v>
          </cell>
        </row>
        <row r="192">
          <cell r="G192" t="str">
            <v>包裹订单</v>
          </cell>
          <cell r="H192" t="str">
            <v>RM_TR48(48可追踪包裹)</v>
          </cell>
          <cell r="I192" t="str">
            <v>运输费</v>
          </cell>
          <cell r="J192" t="str">
            <v>OCWSA [4A WS10 UK]</v>
          </cell>
          <cell r="K192" t="str">
            <v>2.490</v>
          </cell>
          <cell r="L192" t="str">
            <v>GBP</v>
          </cell>
          <cell r="M192">
            <v>2.49</v>
          </cell>
        </row>
        <row r="193">
          <cell r="D193" t="str">
            <v>OJ722951585GB</v>
          </cell>
          <cell r="E193" t="str">
            <v>未核账</v>
          </cell>
        </row>
        <row r="193">
          <cell r="G193" t="str">
            <v>包裹订单</v>
          </cell>
          <cell r="H193" t="str">
            <v>RM_TR48(48可追踪包裹)</v>
          </cell>
          <cell r="I193" t="str">
            <v>仓储操作附加费按重量</v>
          </cell>
          <cell r="J193" t="str">
            <v>OCWSA [4A WS10 UK]</v>
          </cell>
          <cell r="K193" t="str">
            <v>0.070</v>
          </cell>
          <cell r="L193" t="str">
            <v>GBP</v>
          </cell>
          <cell r="M193">
            <v>0.07</v>
          </cell>
        </row>
        <row r="194">
          <cell r="D194" t="str">
            <v>OJ722951585GB</v>
          </cell>
          <cell r="E194" t="str">
            <v>未核账</v>
          </cell>
        </row>
        <row r="194">
          <cell r="G194" t="str">
            <v>包裹订单</v>
          </cell>
          <cell r="H194" t="str">
            <v>RM_TR48(48可追踪包裹)</v>
          </cell>
          <cell r="I194" t="str">
            <v>操作费</v>
          </cell>
          <cell r="J194" t="str">
            <v>OCWSA [4A WS10 UK]</v>
          </cell>
          <cell r="K194" t="str">
            <v>0.400</v>
          </cell>
          <cell r="L194" t="str">
            <v>GBP</v>
          </cell>
          <cell r="M194">
            <v>0.4</v>
          </cell>
        </row>
        <row r="195">
          <cell r="D195" t="str">
            <v>OJ722951585GB</v>
          </cell>
          <cell r="E195" t="str">
            <v>未核账</v>
          </cell>
        </row>
        <row r="195">
          <cell r="G195" t="str">
            <v>包裹订单</v>
          </cell>
          <cell r="H195" t="str">
            <v>RM_TR48(48可追踪包裹)</v>
          </cell>
          <cell r="I195" t="str">
            <v>运输费</v>
          </cell>
          <cell r="J195" t="str">
            <v>OCWSA [4A WS10 UK]</v>
          </cell>
          <cell r="K195" t="str">
            <v>2.490</v>
          </cell>
          <cell r="L195" t="str">
            <v>GBP</v>
          </cell>
          <cell r="M195">
            <v>2.49</v>
          </cell>
        </row>
        <row r="196">
          <cell r="D196" t="str">
            <v>OJ722952149GB</v>
          </cell>
          <cell r="E196" t="str">
            <v>未核账</v>
          </cell>
        </row>
        <row r="196">
          <cell r="G196" t="str">
            <v>包裹订单</v>
          </cell>
          <cell r="H196" t="str">
            <v>RM_TR48(48可追踪包裹)</v>
          </cell>
          <cell r="I196" t="str">
            <v>仓储操作附加费按件数</v>
          </cell>
          <cell r="J196" t="str">
            <v>OCWSA [4A WS10 UK]</v>
          </cell>
          <cell r="K196" t="str">
            <v>0.300</v>
          </cell>
          <cell r="L196" t="str">
            <v>GBP</v>
          </cell>
          <cell r="M196">
            <v>0.3</v>
          </cell>
        </row>
        <row r="197">
          <cell r="D197" t="str">
            <v>OJ722952149GB</v>
          </cell>
          <cell r="E197" t="str">
            <v>未核账</v>
          </cell>
        </row>
        <row r="197">
          <cell r="G197" t="str">
            <v>包裹订单</v>
          </cell>
          <cell r="H197" t="str">
            <v>RM_TR48(48可追踪包裹)</v>
          </cell>
          <cell r="I197" t="str">
            <v>仓储操作附加费按重量</v>
          </cell>
          <cell r="J197" t="str">
            <v>OCWSA [4A WS10 UK]</v>
          </cell>
          <cell r="K197" t="str">
            <v>0.140</v>
          </cell>
          <cell r="L197" t="str">
            <v>GBP</v>
          </cell>
          <cell r="M197">
            <v>0.14</v>
          </cell>
        </row>
        <row r="198">
          <cell r="D198" t="str">
            <v>OJ722952149GB</v>
          </cell>
          <cell r="E198" t="str">
            <v>未核账</v>
          </cell>
        </row>
        <row r="198">
          <cell r="G198" t="str">
            <v>包裹订单</v>
          </cell>
          <cell r="H198" t="str">
            <v>RM_TR48(48可追踪包裹)</v>
          </cell>
          <cell r="I198" t="str">
            <v>操作费</v>
          </cell>
          <cell r="J198" t="str">
            <v>OCWSA [4A WS10 UK]</v>
          </cell>
          <cell r="K198" t="str">
            <v>0.400</v>
          </cell>
          <cell r="L198" t="str">
            <v>GBP</v>
          </cell>
          <cell r="M198">
            <v>0.4</v>
          </cell>
        </row>
        <row r="199">
          <cell r="D199" t="str">
            <v>OJ722952149GB</v>
          </cell>
          <cell r="E199" t="str">
            <v>未核账</v>
          </cell>
        </row>
        <row r="199">
          <cell r="G199" t="str">
            <v>包裹订单</v>
          </cell>
          <cell r="H199" t="str">
            <v>RM_TR48(48可追踪包裹)</v>
          </cell>
          <cell r="I199" t="str">
            <v>运输费</v>
          </cell>
          <cell r="J199" t="str">
            <v>OCWSA [4A WS10 UK]</v>
          </cell>
          <cell r="K199" t="str">
            <v>2.860</v>
          </cell>
          <cell r="L199" t="str">
            <v>GBP</v>
          </cell>
          <cell r="M199">
            <v>2.86</v>
          </cell>
        </row>
        <row r="200">
          <cell r="D200" t="str">
            <v>OJ722949312GB</v>
          </cell>
          <cell r="E200" t="str">
            <v>未核账</v>
          </cell>
        </row>
        <row r="200">
          <cell r="G200" t="str">
            <v>包裹订单</v>
          </cell>
          <cell r="H200" t="str">
            <v>RM_TR48(48可追踪包裹)</v>
          </cell>
          <cell r="I200" t="str">
            <v>仓储操作附加费按重量</v>
          </cell>
          <cell r="J200" t="str">
            <v>OCWSA [4A WS10 UK]</v>
          </cell>
          <cell r="K200" t="str">
            <v>0.070</v>
          </cell>
          <cell r="L200" t="str">
            <v>GBP</v>
          </cell>
          <cell r="M200">
            <v>0.07</v>
          </cell>
        </row>
        <row r="201">
          <cell r="D201" t="str">
            <v>OJ722949312GB</v>
          </cell>
          <cell r="E201" t="str">
            <v>未核账</v>
          </cell>
        </row>
        <row r="201">
          <cell r="G201" t="str">
            <v>包裹订单</v>
          </cell>
          <cell r="H201" t="str">
            <v>RM_TR48(48可追踪包裹)</v>
          </cell>
          <cell r="I201" t="str">
            <v>操作费</v>
          </cell>
          <cell r="J201" t="str">
            <v>OCWSA [4A WS10 UK]</v>
          </cell>
          <cell r="K201" t="str">
            <v>0.400</v>
          </cell>
          <cell r="L201" t="str">
            <v>GBP</v>
          </cell>
          <cell r="M201">
            <v>0.4</v>
          </cell>
        </row>
        <row r="202">
          <cell r="D202" t="str">
            <v>OJ722949312GB</v>
          </cell>
          <cell r="E202" t="str">
            <v>未核账</v>
          </cell>
        </row>
        <row r="202">
          <cell r="G202" t="str">
            <v>包裹订单</v>
          </cell>
          <cell r="H202" t="str">
            <v>RM_TR48(48可追踪包裹)</v>
          </cell>
          <cell r="I202" t="str">
            <v>运输费</v>
          </cell>
          <cell r="J202" t="str">
            <v>OCWSA [4A WS10 UK]</v>
          </cell>
          <cell r="K202" t="str">
            <v>2.490</v>
          </cell>
          <cell r="L202" t="str">
            <v>GBP</v>
          </cell>
          <cell r="M202">
            <v>2.49</v>
          </cell>
        </row>
        <row r="203">
          <cell r="D203" t="str">
            <v>OJ722949309GB</v>
          </cell>
          <cell r="E203" t="str">
            <v>未核账</v>
          </cell>
        </row>
        <row r="203">
          <cell r="G203" t="str">
            <v>包裹订单</v>
          </cell>
          <cell r="H203" t="str">
            <v>RM_TR48(48可追踪包裹)</v>
          </cell>
          <cell r="I203" t="str">
            <v>仓储操作附加费按重量</v>
          </cell>
          <cell r="J203" t="str">
            <v>OCWSA [4A WS10 UK]</v>
          </cell>
          <cell r="K203" t="str">
            <v>0.070</v>
          </cell>
          <cell r="L203" t="str">
            <v>GBP</v>
          </cell>
          <cell r="M203">
            <v>0.07</v>
          </cell>
        </row>
        <row r="204">
          <cell r="D204" t="str">
            <v>OJ722949309GB</v>
          </cell>
          <cell r="E204" t="str">
            <v>未核账</v>
          </cell>
        </row>
        <row r="204">
          <cell r="G204" t="str">
            <v>包裹订单</v>
          </cell>
          <cell r="H204" t="str">
            <v>RM_TR48(48可追踪包裹)</v>
          </cell>
          <cell r="I204" t="str">
            <v>操作费</v>
          </cell>
          <cell r="J204" t="str">
            <v>OCWSA [4A WS10 UK]</v>
          </cell>
          <cell r="K204" t="str">
            <v>0.400</v>
          </cell>
          <cell r="L204" t="str">
            <v>GBP</v>
          </cell>
          <cell r="M204">
            <v>0.4</v>
          </cell>
        </row>
        <row r="205">
          <cell r="D205" t="str">
            <v>OJ722949309GB</v>
          </cell>
          <cell r="E205" t="str">
            <v>未核账</v>
          </cell>
        </row>
        <row r="205">
          <cell r="G205" t="str">
            <v>包裹订单</v>
          </cell>
          <cell r="H205" t="str">
            <v>RM_TR48(48可追踪包裹)</v>
          </cell>
          <cell r="I205" t="str">
            <v>运输费</v>
          </cell>
          <cell r="J205" t="str">
            <v>OCWSA [4A WS10 UK]</v>
          </cell>
          <cell r="K205" t="str">
            <v>2.490</v>
          </cell>
          <cell r="L205" t="str">
            <v>GBP</v>
          </cell>
          <cell r="M205">
            <v>2.49</v>
          </cell>
        </row>
        <row r="206">
          <cell r="D206" t="str">
            <v>OJ722950355GB</v>
          </cell>
          <cell r="E206" t="str">
            <v>未核账</v>
          </cell>
        </row>
        <row r="206">
          <cell r="G206" t="str">
            <v>包裹订单</v>
          </cell>
          <cell r="H206" t="str">
            <v>RM_TR48(48可追踪包裹)</v>
          </cell>
          <cell r="I206" t="str">
            <v>仓储操作附加费按重量</v>
          </cell>
          <cell r="J206" t="str">
            <v>OCWSA [4A WS10 UK]</v>
          </cell>
          <cell r="K206" t="str">
            <v>0.070</v>
          </cell>
          <cell r="L206" t="str">
            <v>GBP</v>
          </cell>
          <cell r="M206">
            <v>0.07</v>
          </cell>
        </row>
        <row r="207">
          <cell r="D207" t="str">
            <v>OJ722950355GB</v>
          </cell>
          <cell r="E207" t="str">
            <v>未核账</v>
          </cell>
        </row>
        <row r="207">
          <cell r="G207" t="str">
            <v>包裹订单</v>
          </cell>
          <cell r="H207" t="str">
            <v>RM_TR48(48可追踪包裹)</v>
          </cell>
          <cell r="I207" t="str">
            <v>操作费</v>
          </cell>
          <cell r="J207" t="str">
            <v>OCWSA [4A WS10 UK]</v>
          </cell>
          <cell r="K207" t="str">
            <v>0.400</v>
          </cell>
          <cell r="L207" t="str">
            <v>GBP</v>
          </cell>
          <cell r="M207">
            <v>0.4</v>
          </cell>
        </row>
        <row r="208">
          <cell r="D208" t="str">
            <v>OJ722950355GB</v>
          </cell>
          <cell r="E208" t="str">
            <v>未核账</v>
          </cell>
        </row>
        <row r="208">
          <cell r="G208" t="str">
            <v>包裹订单</v>
          </cell>
          <cell r="H208" t="str">
            <v>RM_TR48(48可追踪包裹)</v>
          </cell>
          <cell r="I208" t="str">
            <v>运输费</v>
          </cell>
          <cell r="J208" t="str">
            <v>OCWSA [4A WS10 UK]</v>
          </cell>
          <cell r="K208" t="str">
            <v>2.490</v>
          </cell>
          <cell r="L208" t="str">
            <v>GBP</v>
          </cell>
          <cell r="M208">
            <v>2.49</v>
          </cell>
        </row>
        <row r="209">
          <cell r="D209" t="str">
            <v>OJ722951758GB</v>
          </cell>
          <cell r="E209" t="str">
            <v>未核账</v>
          </cell>
        </row>
        <row r="209">
          <cell r="G209" t="str">
            <v>包裹订单</v>
          </cell>
          <cell r="H209" t="str">
            <v>RM_TR48(48可追踪包裹)</v>
          </cell>
          <cell r="I209" t="str">
            <v>仓储操作附加费按重量</v>
          </cell>
          <cell r="J209" t="str">
            <v>OCWSA [4A WS10 UK]</v>
          </cell>
          <cell r="K209" t="str">
            <v>0.070</v>
          </cell>
          <cell r="L209" t="str">
            <v>GBP</v>
          </cell>
          <cell r="M209">
            <v>0.07</v>
          </cell>
        </row>
        <row r="210">
          <cell r="D210" t="str">
            <v>OJ722951758GB</v>
          </cell>
          <cell r="E210" t="str">
            <v>未核账</v>
          </cell>
        </row>
        <row r="210">
          <cell r="G210" t="str">
            <v>包裹订单</v>
          </cell>
          <cell r="H210" t="str">
            <v>RM_TR48(48可追踪包裹)</v>
          </cell>
          <cell r="I210" t="str">
            <v>操作费</v>
          </cell>
          <cell r="J210" t="str">
            <v>OCWSA [4A WS10 UK]</v>
          </cell>
          <cell r="K210" t="str">
            <v>0.400</v>
          </cell>
          <cell r="L210" t="str">
            <v>GBP</v>
          </cell>
          <cell r="M210">
            <v>0.4</v>
          </cell>
        </row>
        <row r="211">
          <cell r="D211" t="str">
            <v>OJ722951758GB</v>
          </cell>
          <cell r="E211" t="str">
            <v>未核账</v>
          </cell>
        </row>
        <row r="211">
          <cell r="G211" t="str">
            <v>包裹订单</v>
          </cell>
          <cell r="H211" t="str">
            <v>RM_TR48(48可追踪包裹)</v>
          </cell>
          <cell r="I211" t="str">
            <v>运输费</v>
          </cell>
          <cell r="J211" t="str">
            <v>OCWSA [4A WS10 UK]</v>
          </cell>
          <cell r="K211" t="str">
            <v>2.490</v>
          </cell>
          <cell r="L211" t="str">
            <v>GBP</v>
          </cell>
          <cell r="M211">
            <v>2.49</v>
          </cell>
        </row>
        <row r="212">
          <cell r="D212" t="str">
            <v>OJ722952170GB</v>
          </cell>
          <cell r="E212" t="str">
            <v>未核账</v>
          </cell>
        </row>
        <row r="212">
          <cell r="G212" t="str">
            <v>包裹订单</v>
          </cell>
          <cell r="H212" t="str">
            <v>RM_TR48(48可追踪包裹)</v>
          </cell>
          <cell r="I212" t="str">
            <v>仓储操作附加费按重量</v>
          </cell>
          <cell r="J212" t="str">
            <v>OCWSA [4A WS10 UK]</v>
          </cell>
          <cell r="K212" t="str">
            <v>0.070</v>
          </cell>
          <cell r="L212" t="str">
            <v>GBP</v>
          </cell>
          <cell r="M212">
            <v>0.07</v>
          </cell>
        </row>
        <row r="213">
          <cell r="D213" t="str">
            <v>OJ722952170GB</v>
          </cell>
          <cell r="E213" t="str">
            <v>未核账</v>
          </cell>
        </row>
        <row r="213">
          <cell r="G213" t="str">
            <v>包裹订单</v>
          </cell>
          <cell r="H213" t="str">
            <v>RM_TR48(48可追踪包裹)</v>
          </cell>
          <cell r="I213" t="str">
            <v>操作费</v>
          </cell>
          <cell r="J213" t="str">
            <v>OCWSA [4A WS10 UK]</v>
          </cell>
          <cell r="K213" t="str">
            <v>0.400</v>
          </cell>
          <cell r="L213" t="str">
            <v>GBP</v>
          </cell>
          <cell r="M213">
            <v>0.4</v>
          </cell>
        </row>
        <row r="214">
          <cell r="D214" t="str">
            <v>OJ722952170GB</v>
          </cell>
          <cell r="E214" t="str">
            <v>未核账</v>
          </cell>
        </row>
        <row r="214">
          <cell r="G214" t="str">
            <v>包裹订单</v>
          </cell>
          <cell r="H214" t="str">
            <v>RM_TR48(48可追踪包裹)</v>
          </cell>
          <cell r="I214" t="str">
            <v>运输费</v>
          </cell>
          <cell r="J214" t="str">
            <v>OCWSA [4A WS10 UK]</v>
          </cell>
          <cell r="K214" t="str">
            <v>2.490</v>
          </cell>
          <cell r="L214" t="str">
            <v>GBP</v>
          </cell>
          <cell r="M214">
            <v>2.49</v>
          </cell>
        </row>
        <row r="215">
          <cell r="D215" t="str">
            <v>OJ722951965GB</v>
          </cell>
          <cell r="E215" t="str">
            <v>未核账</v>
          </cell>
        </row>
        <row r="215">
          <cell r="G215" t="str">
            <v>包裹订单</v>
          </cell>
          <cell r="H215" t="str">
            <v>RM_TR48(48可追踪包裹)</v>
          </cell>
          <cell r="I215" t="str">
            <v>仓储操作附加费按重量</v>
          </cell>
          <cell r="J215" t="str">
            <v>OCWSA [4A WS10 UK]</v>
          </cell>
          <cell r="K215" t="str">
            <v>0.070</v>
          </cell>
          <cell r="L215" t="str">
            <v>GBP</v>
          </cell>
          <cell r="M215">
            <v>0.07</v>
          </cell>
        </row>
        <row r="216">
          <cell r="D216" t="str">
            <v>OJ722951965GB</v>
          </cell>
          <cell r="E216" t="str">
            <v>未核账</v>
          </cell>
        </row>
        <row r="216">
          <cell r="G216" t="str">
            <v>包裹订单</v>
          </cell>
          <cell r="H216" t="str">
            <v>RM_TR48(48可追踪包裹)</v>
          </cell>
          <cell r="I216" t="str">
            <v>操作费</v>
          </cell>
          <cell r="J216" t="str">
            <v>OCWSA [4A WS10 UK]</v>
          </cell>
          <cell r="K216" t="str">
            <v>0.400</v>
          </cell>
          <cell r="L216" t="str">
            <v>GBP</v>
          </cell>
          <cell r="M216">
            <v>0.4</v>
          </cell>
        </row>
        <row r="217">
          <cell r="D217" t="str">
            <v>OJ722951965GB</v>
          </cell>
          <cell r="E217" t="str">
            <v>未核账</v>
          </cell>
        </row>
        <row r="217">
          <cell r="G217" t="str">
            <v>包裹订单</v>
          </cell>
          <cell r="H217" t="str">
            <v>RM_TR48(48可追踪包裹)</v>
          </cell>
          <cell r="I217" t="str">
            <v>运输费</v>
          </cell>
          <cell r="J217" t="str">
            <v>OCWSA [4A WS10 UK]</v>
          </cell>
          <cell r="K217" t="str">
            <v>2.490</v>
          </cell>
          <cell r="L217" t="str">
            <v>GBP</v>
          </cell>
          <cell r="M217">
            <v>2.49</v>
          </cell>
        </row>
        <row r="218">
          <cell r="D218" t="str">
            <v>OJ722951364GB</v>
          </cell>
          <cell r="E218" t="str">
            <v>未核账</v>
          </cell>
        </row>
        <row r="218">
          <cell r="G218" t="str">
            <v>包裹订单</v>
          </cell>
          <cell r="H218" t="str">
            <v>RM_TR48(48可追踪包裹)</v>
          </cell>
          <cell r="I218" t="str">
            <v>仓储操作附加费按重量</v>
          </cell>
          <cell r="J218" t="str">
            <v>OCWSA [4A WS10 UK]</v>
          </cell>
          <cell r="K218" t="str">
            <v>0.070</v>
          </cell>
          <cell r="L218" t="str">
            <v>GBP</v>
          </cell>
          <cell r="M218">
            <v>0.07</v>
          </cell>
        </row>
        <row r="219">
          <cell r="D219" t="str">
            <v>OJ722951364GB</v>
          </cell>
          <cell r="E219" t="str">
            <v>未核账</v>
          </cell>
        </row>
        <row r="219">
          <cell r="G219" t="str">
            <v>包裹订单</v>
          </cell>
          <cell r="H219" t="str">
            <v>RM_TR48(48可追踪包裹)</v>
          </cell>
          <cell r="I219" t="str">
            <v>操作费</v>
          </cell>
          <cell r="J219" t="str">
            <v>OCWSA [4A WS10 UK]</v>
          </cell>
          <cell r="K219" t="str">
            <v>0.400</v>
          </cell>
          <cell r="L219" t="str">
            <v>GBP</v>
          </cell>
          <cell r="M219">
            <v>0.4</v>
          </cell>
        </row>
        <row r="220">
          <cell r="D220" t="str">
            <v>OJ722951364GB</v>
          </cell>
          <cell r="E220" t="str">
            <v>未核账</v>
          </cell>
        </row>
        <row r="220">
          <cell r="G220" t="str">
            <v>包裹订单</v>
          </cell>
          <cell r="H220" t="str">
            <v>RM_TR48(48可追踪包裹)</v>
          </cell>
          <cell r="I220" t="str">
            <v>运输费</v>
          </cell>
          <cell r="J220" t="str">
            <v>OCWSA [4A WS10 UK]</v>
          </cell>
          <cell r="K220" t="str">
            <v>2.490</v>
          </cell>
          <cell r="L220" t="str">
            <v>GBP</v>
          </cell>
          <cell r="M220">
            <v>2.49</v>
          </cell>
        </row>
        <row r="221">
          <cell r="D221" t="str">
            <v>OJ722981750GB</v>
          </cell>
          <cell r="E221" t="str">
            <v>未核账</v>
          </cell>
        </row>
        <row r="221">
          <cell r="G221" t="str">
            <v>包裹订单</v>
          </cell>
          <cell r="H221" t="str">
            <v>RM_TR48(48可追踪包裹)</v>
          </cell>
          <cell r="I221" t="str">
            <v>仓储操作附加费按重量</v>
          </cell>
          <cell r="J221" t="str">
            <v>OCWSA [4A WS10 UK]</v>
          </cell>
          <cell r="K221" t="str">
            <v>0.070</v>
          </cell>
          <cell r="L221" t="str">
            <v>GBP</v>
          </cell>
          <cell r="M221">
            <v>0.07</v>
          </cell>
        </row>
        <row r="222">
          <cell r="D222" t="str">
            <v>OJ722981750GB</v>
          </cell>
          <cell r="E222" t="str">
            <v>未核账</v>
          </cell>
        </row>
        <row r="222">
          <cell r="G222" t="str">
            <v>包裹订单</v>
          </cell>
          <cell r="H222" t="str">
            <v>RM_TR48(48可追踪包裹)</v>
          </cell>
          <cell r="I222" t="str">
            <v>操作费</v>
          </cell>
          <cell r="J222" t="str">
            <v>OCWSA [4A WS10 UK]</v>
          </cell>
          <cell r="K222" t="str">
            <v>0.400</v>
          </cell>
          <cell r="L222" t="str">
            <v>GBP</v>
          </cell>
          <cell r="M222">
            <v>0.4</v>
          </cell>
        </row>
        <row r="223">
          <cell r="D223" t="str">
            <v>OJ722981750GB</v>
          </cell>
          <cell r="E223" t="str">
            <v>未核账</v>
          </cell>
        </row>
        <row r="223">
          <cell r="G223" t="str">
            <v>包裹订单</v>
          </cell>
          <cell r="H223" t="str">
            <v>RM_TR48(48可追踪包裹)</v>
          </cell>
          <cell r="I223" t="str">
            <v>运输费</v>
          </cell>
          <cell r="J223" t="str">
            <v>OCWSA [4A WS10 UK]</v>
          </cell>
          <cell r="K223" t="str">
            <v>2.490</v>
          </cell>
          <cell r="L223" t="str">
            <v>GBP</v>
          </cell>
          <cell r="M223">
            <v>2.49</v>
          </cell>
        </row>
        <row r="224">
          <cell r="D224" t="str">
            <v>OJ723069164GB</v>
          </cell>
          <cell r="E224" t="str">
            <v>未核账</v>
          </cell>
        </row>
        <row r="224">
          <cell r="G224" t="str">
            <v>包裹订单</v>
          </cell>
          <cell r="H224" t="str">
            <v>RM_TR48(48可追踪包裹)</v>
          </cell>
          <cell r="I224" t="str">
            <v>仓储操作附加费按重量</v>
          </cell>
          <cell r="J224" t="str">
            <v>OCWSA [4A WS10 UK]</v>
          </cell>
          <cell r="K224" t="str">
            <v>0.070</v>
          </cell>
          <cell r="L224" t="str">
            <v>GBP</v>
          </cell>
          <cell r="M224">
            <v>0.07</v>
          </cell>
        </row>
        <row r="225">
          <cell r="D225" t="str">
            <v>OJ723069164GB</v>
          </cell>
          <cell r="E225" t="str">
            <v>未核账</v>
          </cell>
        </row>
        <row r="225">
          <cell r="G225" t="str">
            <v>包裹订单</v>
          </cell>
          <cell r="H225" t="str">
            <v>RM_TR48(48可追踪包裹)</v>
          </cell>
          <cell r="I225" t="str">
            <v>操作费</v>
          </cell>
          <cell r="J225" t="str">
            <v>OCWSA [4A WS10 UK]</v>
          </cell>
          <cell r="K225" t="str">
            <v>0.400</v>
          </cell>
          <cell r="L225" t="str">
            <v>GBP</v>
          </cell>
          <cell r="M225">
            <v>0.4</v>
          </cell>
        </row>
        <row r="226">
          <cell r="D226" t="str">
            <v>OJ723069164GB</v>
          </cell>
          <cell r="E226" t="str">
            <v>未核账</v>
          </cell>
        </row>
        <row r="226">
          <cell r="G226" t="str">
            <v>包裹订单</v>
          </cell>
          <cell r="H226" t="str">
            <v>RM_TR48(48可追踪包裹)</v>
          </cell>
          <cell r="I226" t="str">
            <v>运输费</v>
          </cell>
          <cell r="J226" t="str">
            <v>OCWSA [4A WS10 UK]</v>
          </cell>
          <cell r="K226" t="str">
            <v>2.490</v>
          </cell>
          <cell r="L226" t="str">
            <v>GBP</v>
          </cell>
          <cell r="M226">
            <v>2.49</v>
          </cell>
        </row>
        <row r="227">
          <cell r="D227" t="str">
            <v>OJ723142385GB</v>
          </cell>
          <cell r="E227" t="str">
            <v>未核账</v>
          </cell>
        </row>
        <row r="227">
          <cell r="G227" t="str">
            <v>包裹订单</v>
          </cell>
          <cell r="H227" t="str">
            <v>RM_TR48(48可追踪包裹)</v>
          </cell>
          <cell r="I227" t="str">
            <v>仓储操作附加费按重量</v>
          </cell>
          <cell r="J227" t="str">
            <v>OCWSA [4A WS10 UK]</v>
          </cell>
          <cell r="K227" t="str">
            <v>0.070</v>
          </cell>
          <cell r="L227" t="str">
            <v>GBP</v>
          </cell>
          <cell r="M227">
            <v>0.07</v>
          </cell>
        </row>
        <row r="228">
          <cell r="D228" t="str">
            <v>OJ723142385GB</v>
          </cell>
          <cell r="E228" t="str">
            <v>未核账</v>
          </cell>
        </row>
        <row r="228">
          <cell r="G228" t="str">
            <v>包裹订单</v>
          </cell>
          <cell r="H228" t="str">
            <v>RM_TR48(48可追踪包裹)</v>
          </cell>
          <cell r="I228" t="str">
            <v>操作费</v>
          </cell>
          <cell r="J228" t="str">
            <v>OCWSA [4A WS10 UK]</v>
          </cell>
          <cell r="K228" t="str">
            <v>0.400</v>
          </cell>
          <cell r="L228" t="str">
            <v>GBP</v>
          </cell>
          <cell r="M228">
            <v>0.4</v>
          </cell>
        </row>
        <row r="229">
          <cell r="D229" t="str">
            <v>OJ723142385GB</v>
          </cell>
          <cell r="E229" t="str">
            <v>未核账</v>
          </cell>
        </row>
        <row r="229">
          <cell r="G229" t="str">
            <v>包裹订单</v>
          </cell>
          <cell r="H229" t="str">
            <v>RM_TR48(48可追踪包裹)</v>
          </cell>
          <cell r="I229" t="str">
            <v>运输费</v>
          </cell>
          <cell r="J229" t="str">
            <v>OCWSA [4A WS10 UK]</v>
          </cell>
          <cell r="K229" t="str">
            <v>2.490</v>
          </cell>
          <cell r="L229" t="str">
            <v>GBP</v>
          </cell>
          <cell r="M229">
            <v>2.49</v>
          </cell>
        </row>
        <row r="230">
          <cell r="D230" t="str">
            <v>OJ722952387GB</v>
          </cell>
          <cell r="E230" t="str">
            <v>未核账</v>
          </cell>
        </row>
        <row r="230">
          <cell r="G230" t="str">
            <v>包裹订单</v>
          </cell>
          <cell r="H230" t="str">
            <v>RM_TR48(48可追踪包裹)</v>
          </cell>
          <cell r="I230" t="str">
            <v>仓储操作附加费按重量</v>
          </cell>
          <cell r="J230" t="str">
            <v>OCWSA [4A WS10 UK]</v>
          </cell>
          <cell r="K230" t="str">
            <v>0.070</v>
          </cell>
          <cell r="L230" t="str">
            <v>GBP</v>
          </cell>
          <cell r="M230">
            <v>0.07</v>
          </cell>
        </row>
        <row r="231">
          <cell r="D231" t="str">
            <v>OJ722952387GB</v>
          </cell>
          <cell r="E231" t="str">
            <v>未核账</v>
          </cell>
        </row>
        <row r="231">
          <cell r="G231" t="str">
            <v>包裹订单</v>
          </cell>
          <cell r="H231" t="str">
            <v>RM_TR48(48可追踪包裹)</v>
          </cell>
          <cell r="I231" t="str">
            <v>操作费</v>
          </cell>
          <cell r="J231" t="str">
            <v>OCWSA [4A WS10 UK]</v>
          </cell>
          <cell r="K231" t="str">
            <v>0.400</v>
          </cell>
          <cell r="L231" t="str">
            <v>GBP</v>
          </cell>
          <cell r="M231">
            <v>0.4</v>
          </cell>
        </row>
        <row r="232">
          <cell r="D232" t="str">
            <v>OJ722952387GB</v>
          </cell>
          <cell r="E232" t="str">
            <v>未核账</v>
          </cell>
        </row>
        <row r="232">
          <cell r="G232" t="str">
            <v>包裹订单</v>
          </cell>
          <cell r="H232" t="str">
            <v>RM_TR48(48可追踪包裹)</v>
          </cell>
          <cell r="I232" t="str">
            <v>运输费</v>
          </cell>
          <cell r="J232" t="str">
            <v>OCWSA [4A WS10 UK]</v>
          </cell>
          <cell r="K232" t="str">
            <v>2.490</v>
          </cell>
          <cell r="L232" t="str">
            <v>GBP</v>
          </cell>
          <cell r="M232">
            <v>2.49</v>
          </cell>
        </row>
        <row r="233">
          <cell r="D233" t="str">
            <v>OJ722946126GB</v>
          </cell>
          <cell r="E233" t="str">
            <v>未核账</v>
          </cell>
        </row>
        <row r="233">
          <cell r="G233" t="str">
            <v>包裹订单</v>
          </cell>
          <cell r="H233" t="str">
            <v>RM_TR48(48可追踪包裹)</v>
          </cell>
          <cell r="I233" t="str">
            <v>仓储操作附加费按重量</v>
          </cell>
          <cell r="J233" t="str">
            <v>OCWSA [4A WS10 UK]</v>
          </cell>
          <cell r="K233" t="str">
            <v>0.070</v>
          </cell>
          <cell r="L233" t="str">
            <v>GBP</v>
          </cell>
          <cell r="M233">
            <v>0.07</v>
          </cell>
        </row>
        <row r="234">
          <cell r="D234" t="str">
            <v>OJ722946126GB</v>
          </cell>
          <cell r="E234" t="str">
            <v>未核账</v>
          </cell>
        </row>
        <row r="234">
          <cell r="G234" t="str">
            <v>包裹订单</v>
          </cell>
          <cell r="H234" t="str">
            <v>RM_TR48(48可追踪包裹)</v>
          </cell>
          <cell r="I234" t="str">
            <v>操作费</v>
          </cell>
          <cell r="J234" t="str">
            <v>OCWSA [4A WS10 UK]</v>
          </cell>
          <cell r="K234" t="str">
            <v>0.400</v>
          </cell>
          <cell r="L234" t="str">
            <v>GBP</v>
          </cell>
          <cell r="M234">
            <v>0.4</v>
          </cell>
        </row>
        <row r="235">
          <cell r="D235" t="str">
            <v>OJ722946126GB</v>
          </cell>
          <cell r="E235" t="str">
            <v>未核账</v>
          </cell>
        </row>
        <row r="235">
          <cell r="G235" t="str">
            <v>包裹订单</v>
          </cell>
          <cell r="H235" t="str">
            <v>RM_TR48(48可追踪包裹)</v>
          </cell>
          <cell r="I235" t="str">
            <v>运输费</v>
          </cell>
          <cell r="J235" t="str">
            <v>OCWSA [4A WS10 UK]</v>
          </cell>
          <cell r="K235" t="str">
            <v>2.490</v>
          </cell>
          <cell r="L235" t="str">
            <v>GBP</v>
          </cell>
          <cell r="M235">
            <v>2.49</v>
          </cell>
        </row>
        <row r="236">
          <cell r="D236" t="str">
            <v>OJ722930165GB</v>
          </cell>
          <cell r="E236" t="str">
            <v>未核账</v>
          </cell>
        </row>
        <row r="236">
          <cell r="G236" t="str">
            <v>包裹订单</v>
          </cell>
          <cell r="H236" t="str">
            <v>RM_TR48(48可追踪包裹)</v>
          </cell>
          <cell r="I236" t="str">
            <v>包材费用</v>
          </cell>
          <cell r="J236" t="str">
            <v>OCWSA [4A WS10 UK]</v>
          </cell>
          <cell r="K236" t="str">
            <v>1.000</v>
          </cell>
          <cell r="L236" t="str">
            <v>GBP</v>
          </cell>
          <cell r="M236">
            <v>1</v>
          </cell>
        </row>
        <row r="237">
          <cell r="D237" t="str">
            <v>OJ722930165GB</v>
          </cell>
          <cell r="E237" t="str">
            <v>未核账</v>
          </cell>
        </row>
        <row r="237">
          <cell r="G237" t="str">
            <v>包裹订单</v>
          </cell>
          <cell r="H237" t="str">
            <v>RM_TR48(48可追踪包裹)</v>
          </cell>
          <cell r="I237" t="str">
            <v>操作费</v>
          </cell>
          <cell r="J237" t="str">
            <v>OCWSA [4A WS10 UK]</v>
          </cell>
          <cell r="K237" t="str">
            <v>0.400</v>
          </cell>
          <cell r="L237" t="str">
            <v>GBP</v>
          </cell>
          <cell r="M237">
            <v>0.4</v>
          </cell>
        </row>
        <row r="238">
          <cell r="D238" t="str">
            <v>OJ722930165GB</v>
          </cell>
          <cell r="E238" t="str">
            <v>未核账</v>
          </cell>
        </row>
        <row r="238">
          <cell r="G238" t="str">
            <v>包裹订单</v>
          </cell>
          <cell r="H238" t="str">
            <v>RM_TR48(48可追踪包裹)</v>
          </cell>
          <cell r="I238" t="str">
            <v>运输费</v>
          </cell>
          <cell r="J238" t="str">
            <v>OCWSA [4A WS10 UK]</v>
          </cell>
          <cell r="K238" t="str">
            <v>2.490</v>
          </cell>
          <cell r="L238" t="str">
            <v>GBP</v>
          </cell>
          <cell r="M238">
            <v>2.49</v>
          </cell>
        </row>
        <row r="239">
          <cell r="D239" t="str">
            <v/>
          </cell>
          <cell r="E239" t="str">
            <v>未核账</v>
          </cell>
        </row>
        <row r="239">
          <cell r="G239" t="str">
            <v>仓租</v>
          </cell>
          <cell r="H239" t="str">
            <v>()</v>
          </cell>
          <cell r="I239" t="str">
            <v>仓储费</v>
          </cell>
          <cell r="J239" t="str">
            <v>OCWSA [4A WS10 UK]</v>
          </cell>
          <cell r="K239" t="str">
            <v>13.701</v>
          </cell>
          <cell r="L239" t="str">
            <v>GBP</v>
          </cell>
          <cell r="M239">
            <v>13.701</v>
          </cell>
        </row>
        <row r="240">
          <cell r="D240" t="str">
            <v>OJ722089675GB</v>
          </cell>
          <cell r="E240" t="str">
            <v>未核账</v>
          </cell>
        </row>
        <row r="240">
          <cell r="G240" t="str">
            <v>包裹订单</v>
          </cell>
          <cell r="H240" t="str">
            <v>RM_TR48(48可追踪包裹)</v>
          </cell>
          <cell r="I240" t="str">
            <v>仓储操作附加费按重量</v>
          </cell>
          <cell r="J240" t="str">
            <v>OCWSA [4A WS10 UK]</v>
          </cell>
          <cell r="K240" t="str">
            <v>0.070</v>
          </cell>
          <cell r="L240" t="str">
            <v>GBP</v>
          </cell>
          <cell r="M240">
            <v>0.07</v>
          </cell>
        </row>
        <row r="241">
          <cell r="D241" t="str">
            <v>OJ722089675GB</v>
          </cell>
          <cell r="E241" t="str">
            <v>未核账</v>
          </cell>
        </row>
        <row r="241">
          <cell r="G241" t="str">
            <v>包裹订单</v>
          </cell>
          <cell r="H241" t="str">
            <v>RM_TR48(48可追踪包裹)</v>
          </cell>
          <cell r="I241" t="str">
            <v>操作费</v>
          </cell>
          <cell r="J241" t="str">
            <v>OCWSA [4A WS10 UK]</v>
          </cell>
          <cell r="K241" t="str">
            <v>0.400</v>
          </cell>
          <cell r="L241" t="str">
            <v>GBP</v>
          </cell>
          <cell r="M241">
            <v>0.4</v>
          </cell>
        </row>
        <row r="242">
          <cell r="D242" t="str">
            <v>OJ722089675GB</v>
          </cell>
          <cell r="E242" t="str">
            <v>未核账</v>
          </cell>
        </row>
        <row r="242">
          <cell r="G242" t="str">
            <v>包裹订单</v>
          </cell>
          <cell r="H242" t="str">
            <v>RM_TR48(48可追踪包裹)</v>
          </cell>
          <cell r="I242" t="str">
            <v>运输费</v>
          </cell>
          <cell r="J242" t="str">
            <v>OCWSA [4A WS10 UK]</v>
          </cell>
          <cell r="K242" t="str">
            <v>2.490</v>
          </cell>
          <cell r="L242" t="str">
            <v>GBP</v>
          </cell>
          <cell r="M242">
            <v>2.49</v>
          </cell>
        </row>
        <row r="243">
          <cell r="D243" t="str">
            <v>OJ722103465GB</v>
          </cell>
          <cell r="E243" t="str">
            <v>未核账</v>
          </cell>
        </row>
        <row r="243">
          <cell r="G243" t="str">
            <v>包裹订单</v>
          </cell>
          <cell r="H243" t="str">
            <v>RM_TR48(48可追踪包裹)</v>
          </cell>
          <cell r="I243" t="str">
            <v>仓储操作附加费按重量</v>
          </cell>
          <cell r="J243" t="str">
            <v>OCWSA [4A WS10 UK]</v>
          </cell>
          <cell r="K243" t="str">
            <v>0.070</v>
          </cell>
          <cell r="L243" t="str">
            <v>GBP</v>
          </cell>
          <cell r="M243">
            <v>0.07</v>
          </cell>
        </row>
        <row r="244">
          <cell r="D244" t="str">
            <v>OJ722103465GB</v>
          </cell>
          <cell r="E244" t="str">
            <v>未核账</v>
          </cell>
        </row>
        <row r="244">
          <cell r="G244" t="str">
            <v>包裹订单</v>
          </cell>
          <cell r="H244" t="str">
            <v>RM_TR48(48可追踪包裹)</v>
          </cell>
          <cell r="I244" t="str">
            <v>操作费</v>
          </cell>
          <cell r="J244" t="str">
            <v>OCWSA [4A WS10 UK]</v>
          </cell>
          <cell r="K244" t="str">
            <v>0.400</v>
          </cell>
          <cell r="L244" t="str">
            <v>GBP</v>
          </cell>
          <cell r="M244">
            <v>0.4</v>
          </cell>
        </row>
        <row r="245">
          <cell r="D245" t="str">
            <v>OJ722103465GB</v>
          </cell>
          <cell r="E245" t="str">
            <v>未核账</v>
          </cell>
        </row>
        <row r="245">
          <cell r="G245" t="str">
            <v>包裹订单</v>
          </cell>
          <cell r="H245" t="str">
            <v>RM_TR48(48可追踪包裹)</v>
          </cell>
          <cell r="I245" t="str">
            <v>运输费</v>
          </cell>
          <cell r="J245" t="str">
            <v>OCWSA [4A WS10 UK]</v>
          </cell>
          <cell r="K245" t="str">
            <v>2.490</v>
          </cell>
          <cell r="L245" t="str">
            <v>GBP</v>
          </cell>
          <cell r="M245">
            <v>2.49</v>
          </cell>
        </row>
        <row r="246">
          <cell r="D246" t="str">
            <v>OJ722089658GB</v>
          </cell>
          <cell r="E246" t="str">
            <v>未核账</v>
          </cell>
        </row>
        <row r="246">
          <cell r="G246" t="str">
            <v>包裹订单</v>
          </cell>
          <cell r="H246" t="str">
            <v>RM_TR48(48可追踪包裹)</v>
          </cell>
          <cell r="I246" t="str">
            <v>包材费用</v>
          </cell>
          <cell r="J246" t="str">
            <v>OCWSA [4A WS10 UK]</v>
          </cell>
          <cell r="K246" t="str">
            <v>0.800</v>
          </cell>
          <cell r="L246" t="str">
            <v>GBP</v>
          </cell>
          <cell r="M246">
            <v>0.8</v>
          </cell>
        </row>
        <row r="247">
          <cell r="D247" t="str">
            <v>OJ722089658GB</v>
          </cell>
          <cell r="E247" t="str">
            <v>未核账</v>
          </cell>
        </row>
        <row r="247">
          <cell r="G247" t="str">
            <v>包裹订单</v>
          </cell>
          <cell r="H247" t="str">
            <v>RM_TR48(48可追踪包裹)</v>
          </cell>
          <cell r="I247" t="str">
            <v>仓储操作附加费按重量</v>
          </cell>
          <cell r="J247" t="str">
            <v>OCWSA [4A WS10 UK]</v>
          </cell>
          <cell r="K247" t="str">
            <v>0.070</v>
          </cell>
          <cell r="L247" t="str">
            <v>GBP</v>
          </cell>
          <cell r="M247">
            <v>0.07</v>
          </cell>
        </row>
        <row r="248">
          <cell r="D248" t="str">
            <v>OJ722089658GB</v>
          </cell>
          <cell r="E248" t="str">
            <v>未核账</v>
          </cell>
        </row>
        <row r="248">
          <cell r="G248" t="str">
            <v>包裹订单</v>
          </cell>
          <cell r="H248" t="str">
            <v>RM_TR48(48可追踪包裹)</v>
          </cell>
          <cell r="I248" t="str">
            <v>操作费</v>
          </cell>
          <cell r="J248" t="str">
            <v>OCWSA [4A WS10 UK]</v>
          </cell>
          <cell r="K248" t="str">
            <v>0.400</v>
          </cell>
          <cell r="L248" t="str">
            <v>GBP</v>
          </cell>
          <cell r="M248">
            <v>0.4</v>
          </cell>
        </row>
        <row r="249">
          <cell r="D249" t="str">
            <v>OJ722089658GB</v>
          </cell>
          <cell r="E249" t="str">
            <v>未核账</v>
          </cell>
        </row>
        <row r="249">
          <cell r="G249" t="str">
            <v>包裹订单</v>
          </cell>
          <cell r="H249" t="str">
            <v>RM_TR48(48可追踪包裹)</v>
          </cell>
          <cell r="I249" t="str">
            <v>运输费</v>
          </cell>
          <cell r="J249" t="str">
            <v>OCWSA [4A WS10 UK]</v>
          </cell>
          <cell r="K249" t="str">
            <v>2.490</v>
          </cell>
          <cell r="L249" t="str">
            <v>GBP</v>
          </cell>
          <cell r="M249">
            <v>2.49</v>
          </cell>
        </row>
        <row r="250">
          <cell r="D250" t="str">
            <v/>
          </cell>
          <cell r="E250" t="str">
            <v>未核账</v>
          </cell>
        </row>
        <row r="250">
          <cell r="G250" t="str">
            <v>仓租</v>
          </cell>
          <cell r="H250" t="str">
            <v>()</v>
          </cell>
          <cell r="I250" t="str">
            <v>仓储费</v>
          </cell>
          <cell r="J250" t="str">
            <v>OCWSA [4A WS10 UK]</v>
          </cell>
          <cell r="K250" t="str">
            <v>13.703</v>
          </cell>
          <cell r="L250" t="str">
            <v>GBP</v>
          </cell>
          <cell r="M250">
            <v>13.703</v>
          </cell>
        </row>
        <row r="251">
          <cell r="D251" t="str">
            <v>OJ721621636GB</v>
          </cell>
          <cell r="E251" t="str">
            <v>未核账</v>
          </cell>
        </row>
        <row r="251">
          <cell r="G251" t="str">
            <v>包裹订单</v>
          </cell>
          <cell r="H251" t="str">
            <v>RM_TR48(48可追踪包裹)</v>
          </cell>
          <cell r="I251" t="str">
            <v>仓储操作附加费按重量</v>
          </cell>
          <cell r="J251" t="str">
            <v>OCWSA [4A WS10 UK]</v>
          </cell>
          <cell r="K251" t="str">
            <v>0.070</v>
          </cell>
          <cell r="L251" t="str">
            <v>GBP</v>
          </cell>
          <cell r="M251">
            <v>0.07</v>
          </cell>
        </row>
        <row r="252">
          <cell r="D252" t="str">
            <v>OJ721621636GB</v>
          </cell>
          <cell r="E252" t="str">
            <v>未核账</v>
          </cell>
        </row>
        <row r="252">
          <cell r="G252" t="str">
            <v>包裹订单</v>
          </cell>
          <cell r="H252" t="str">
            <v>RM_TR48(48可追踪包裹)</v>
          </cell>
          <cell r="I252" t="str">
            <v>操作费</v>
          </cell>
          <cell r="J252" t="str">
            <v>OCWSA [4A WS10 UK]</v>
          </cell>
          <cell r="K252" t="str">
            <v>0.400</v>
          </cell>
          <cell r="L252" t="str">
            <v>GBP</v>
          </cell>
          <cell r="M252">
            <v>0.4</v>
          </cell>
        </row>
        <row r="253">
          <cell r="D253" t="str">
            <v>OJ721621636GB</v>
          </cell>
          <cell r="E253" t="str">
            <v>未核账</v>
          </cell>
        </row>
        <row r="253">
          <cell r="G253" t="str">
            <v>包裹订单</v>
          </cell>
          <cell r="H253" t="str">
            <v>RM_TR48(48可追踪包裹)</v>
          </cell>
          <cell r="I253" t="str">
            <v>运输费</v>
          </cell>
          <cell r="J253" t="str">
            <v>OCWSA [4A WS10 UK]</v>
          </cell>
          <cell r="K253" t="str">
            <v>2.490</v>
          </cell>
          <cell r="L253" t="str">
            <v>GBP</v>
          </cell>
          <cell r="M253">
            <v>2.49</v>
          </cell>
        </row>
        <row r="254">
          <cell r="D254" t="str">
            <v>OJ721055370GB</v>
          </cell>
          <cell r="E254" t="str">
            <v>未核账</v>
          </cell>
        </row>
        <row r="254">
          <cell r="G254" t="str">
            <v>包裹订单</v>
          </cell>
          <cell r="H254" t="str">
            <v>RM_TR48(48可追踪包裹)</v>
          </cell>
          <cell r="I254" t="str">
            <v>包材费用</v>
          </cell>
          <cell r="J254" t="str">
            <v>OCWSA [4A WS10 UK]</v>
          </cell>
          <cell r="K254" t="str">
            <v>0.800</v>
          </cell>
          <cell r="L254" t="str">
            <v>GBP</v>
          </cell>
          <cell r="M254">
            <v>0.8</v>
          </cell>
        </row>
        <row r="255">
          <cell r="D255" t="str">
            <v>OJ721055370GB</v>
          </cell>
          <cell r="E255" t="str">
            <v>未核账</v>
          </cell>
        </row>
        <row r="255">
          <cell r="G255" t="str">
            <v>包裹订单</v>
          </cell>
          <cell r="H255" t="str">
            <v>RM_TR48(48可追踪包裹)</v>
          </cell>
          <cell r="I255" t="str">
            <v>仓储操作附加费按重量</v>
          </cell>
          <cell r="J255" t="str">
            <v>OCWSA [4A WS10 UK]</v>
          </cell>
          <cell r="K255" t="str">
            <v>0.070</v>
          </cell>
          <cell r="L255" t="str">
            <v>GBP</v>
          </cell>
          <cell r="M255">
            <v>0.07</v>
          </cell>
        </row>
        <row r="256">
          <cell r="D256" t="str">
            <v>OJ721055370GB</v>
          </cell>
          <cell r="E256" t="str">
            <v>未核账</v>
          </cell>
        </row>
        <row r="256">
          <cell r="G256" t="str">
            <v>包裹订单</v>
          </cell>
          <cell r="H256" t="str">
            <v>RM_TR48(48可追踪包裹)</v>
          </cell>
          <cell r="I256" t="str">
            <v>操作费</v>
          </cell>
          <cell r="J256" t="str">
            <v>OCWSA [4A WS10 UK]</v>
          </cell>
          <cell r="K256" t="str">
            <v>0.400</v>
          </cell>
          <cell r="L256" t="str">
            <v>GBP</v>
          </cell>
          <cell r="M256">
            <v>0.4</v>
          </cell>
        </row>
        <row r="257">
          <cell r="D257" t="str">
            <v>OJ721055370GB</v>
          </cell>
          <cell r="E257" t="str">
            <v>未核账</v>
          </cell>
        </row>
        <row r="257">
          <cell r="G257" t="str">
            <v>包裹订单</v>
          </cell>
          <cell r="H257" t="str">
            <v>RM_TR48(48可追踪包裹)</v>
          </cell>
          <cell r="I257" t="str">
            <v>运输费</v>
          </cell>
          <cell r="J257" t="str">
            <v>OCWSA [4A WS10 UK]</v>
          </cell>
          <cell r="K257" t="str">
            <v>2.490</v>
          </cell>
          <cell r="L257" t="str">
            <v>GBP</v>
          </cell>
          <cell r="M257">
            <v>2.49</v>
          </cell>
        </row>
        <row r="258">
          <cell r="D258" t="str">
            <v>OJ720320189GB</v>
          </cell>
          <cell r="E258" t="str">
            <v>未核账</v>
          </cell>
        </row>
        <row r="258">
          <cell r="G258" t="str">
            <v>包裹订单</v>
          </cell>
          <cell r="H258" t="str">
            <v>RM_TR48(48可追踪包裹)</v>
          </cell>
          <cell r="I258" t="str">
            <v>包材费用</v>
          </cell>
          <cell r="J258" t="str">
            <v>OCWSA [4A WS10 UK]</v>
          </cell>
          <cell r="K258" t="str">
            <v>0.800</v>
          </cell>
          <cell r="L258" t="str">
            <v>GBP</v>
          </cell>
          <cell r="M258">
            <v>0.8</v>
          </cell>
        </row>
        <row r="259">
          <cell r="D259" t="str">
            <v>OJ720320189GB</v>
          </cell>
          <cell r="E259" t="str">
            <v>未核账</v>
          </cell>
        </row>
        <row r="259">
          <cell r="G259" t="str">
            <v>包裹订单</v>
          </cell>
          <cell r="H259" t="str">
            <v>RM_TR48(48可追踪包裹)</v>
          </cell>
          <cell r="I259" t="str">
            <v>仓储操作附加费按重量</v>
          </cell>
          <cell r="J259" t="str">
            <v>OCWSA [4A WS10 UK]</v>
          </cell>
          <cell r="K259" t="str">
            <v>0.070</v>
          </cell>
          <cell r="L259" t="str">
            <v>GBP</v>
          </cell>
          <cell r="M259">
            <v>0.07</v>
          </cell>
        </row>
        <row r="260">
          <cell r="D260" t="str">
            <v>OJ720320189GB</v>
          </cell>
          <cell r="E260" t="str">
            <v>未核账</v>
          </cell>
        </row>
        <row r="260">
          <cell r="G260" t="str">
            <v>包裹订单</v>
          </cell>
          <cell r="H260" t="str">
            <v>RM_TR48(48可追踪包裹)</v>
          </cell>
          <cell r="I260" t="str">
            <v>操作费</v>
          </cell>
          <cell r="J260" t="str">
            <v>OCWSA [4A WS10 UK]</v>
          </cell>
          <cell r="K260" t="str">
            <v>0.400</v>
          </cell>
          <cell r="L260" t="str">
            <v>GBP</v>
          </cell>
          <cell r="M260">
            <v>0.4</v>
          </cell>
        </row>
        <row r="261">
          <cell r="D261" t="str">
            <v>OJ720320189GB</v>
          </cell>
          <cell r="E261" t="str">
            <v>未核账</v>
          </cell>
        </row>
        <row r="261">
          <cell r="G261" t="str">
            <v>包裹订单</v>
          </cell>
          <cell r="H261" t="str">
            <v>RM_TR48(48可追踪包裹)</v>
          </cell>
          <cell r="I261" t="str">
            <v>运输费</v>
          </cell>
          <cell r="J261" t="str">
            <v>OCWSA [4A WS10 UK]</v>
          </cell>
          <cell r="K261" t="str">
            <v>2.490</v>
          </cell>
          <cell r="L261" t="str">
            <v>GBP</v>
          </cell>
          <cell r="M261">
            <v>2.49</v>
          </cell>
        </row>
        <row r="262">
          <cell r="D262" t="str">
            <v>OJ720846496GB</v>
          </cell>
          <cell r="E262" t="str">
            <v>未核账</v>
          </cell>
        </row>
        <row r="262">
          <cell r="G262" t="str">
            <v>包裹订单</v>
          </cell>
          <cell r="H262" t="str">
            <v>RM_TR48(48可追踪包裹)</v>
          </cell>
          <cell r="I262" t="str">
            <v>包材费用</v>
          </cell>
          <cell r="J262" t="str">
            <v>OCWSA [4A WS10 UK]</v>
          </cell>
          <cell r="K262" t="str">
            <v>0.800</v>
          </cell>
          <cell r="L262" t="str">
            <v>GBP</v>
          </cell>
          <cell r="M262">
            <v>0.8</v>
          </cell>
        </row>
        <row r="263">
          <cell r="D263" t="str">
            <v>OJ720846496GB</v>
          </cell>
          <cell r="E263" t="str">
            <v>未核账</v>
          </cell>
        </row>
        <row r="263">
          <cell r="G263" t="str">
            <v>包裹订单</v>
          </cell>
          <cell r="H263" t="str">
            <v>RM_TR48(48可追踪包裹)</v>
          </cell>
          <cell r="I263" t="str">
            <v>仓储操作附加费按重量</v>
          </cell>
          <cell r="J263" t="str">
            <v>OCWSA [4A WS10 UK]</v>
          </cell>
          <cell r="K263" t="str">
            <v>0.070</v>
          </cell>
          <cell r="L263" t="str">
            <v>GBP</v>
          </cell>
          <cell r="M263">
            <v>0.07</v>
          </cell>
        </row>
        <row r="264">
          <cell r="D264" t="str">
            <v>OJ720846496GB</v>
          </cell>
          <cell r="E264" t="str">
            <v>未核账</v>
          </cell>
        </row>
        <row r="264">
          <cell r="G264" t="str">
            <v>包裹订单</v>
          </cell>
          <cell r="H264" t="str">
            <v>RM_TR48(48可追踪包裹)</v>
          </cell>
          <cell r="I264" t="str">
            <v>操作费</v>
          </cell>
          <cell r="J264" t="str">
            <v>OCWSA [4A WS10 UK]</v>
          </cell>
          <cell r="K264" t="str">
            <v>0.400</v>
          </cell>
          <cell r="L264" t="str">
            <v>GBP</v>
          </cell>
          <cell r="M264">
            <v>0.4</v>
          </cell>
        </row>
        <row r="265">
          <cell r="D265" t="str">
            <v>OJ720846496GB</v>
          </cell>
          <cell r="E265" t="str">
            <v>未核账</v>
          </cell>
        </row>
        <row r="265">
          <cell r="G265" t="str">
            <v>包裹订单</v>
          </cell>
          <cell r="H265" t="str">
            <v>RM_TR48(48可追踪包裹)</v>
          </cell>
          <cell r="I265" t="str">
            <v>运输费</v>
          </cell>
          <cell r="J265" t="str">
            <v>OCWSA [4A WS10 UK]</v>
          </cell>
          <cell r="K265" t="str">
            <v>2.490</v>
          </cell>
          <cell r="L265" t="str">
            <v>GBP</v>
          </cell>
          <cell r="M265">
            <v>2.49</v>
          </cell>
        </row>
        <row r="266">
          <cell r="D266" t="str">
            <v>OJ721053246GB</v>
          </cell>
          <cell r="E266" t="str">
            <v>未核账</v>
          </cell>
        </row>
        <row r="266">
          <cell r="G266" t="str">
            <v>包裹订单</v>
          </cell>
          <cell r="H266" t="str">
            <v>RM_TR48(48可追踪包裹)</v>
          </cell>
          <cell r="I266" t="str">
            <v>包材费用</v>
          </cell>
          <cell r="J266" t="str">
            <v>OCWSA [4A WS10 UK]</v>
          </cell>
          <cell r="K266" t="str">
            <v>0.800</v>
          </cell>
          <cell r="L266" t="str">
            <v>GBP</v>
          </cell>
          <cell r="M266">
            <v>0.8</v>
          </cell>
        </row>
        <row r="267">
          <cell r="D267" t="str">
            <v>OJ721053246GB</v>
          </cell>
          <cell r="E267" t="str">
            <v>未核账</v>
          </cell>
        </row>
        <row r="267">
          <cell r="G267" t="str">
            <v>包裹订单</v>
          </cell>
          <cell r="H267" t="str">
            <v>RM_TR48(48可追踪包裹)</v>
          </cell>
          <cell r="I267" t="str">
            <v>仓储操作附加费按重量</v>
          </cell>
          <cell r="J267" t="str">
            <v>OCWSA [4A WS10 UK]</v>
          </cell>
          <cell r="K267" t="str">
            <v>0.070</v>
          </cell>
          <cell r="L267" t="str">
            <v>GBP</v>
          </cell>
          <cell r="M267">
            <v>0.07</v>
          </cell>
        </row>
        <row r="268">
          <cell r="D268" t="str">
            <v>OJ721053246GB</v>
          </cell>
          <cell r="E268" t="str">
            <v>未核账</v>
          </cell>
        </row>
        <row r="268">
          <cell r="G268" t="str">
            <v>包裹订单</v>
          </cell>
          <cell r="H268" t="str">
            <v>RM_TR48(48可追踪包裹)</v>
          </cell>
          <cell r="I268" t="str">
            <v>操作费</v>
          </cell>
          <cell r="J268" t="str">
            <v>OCWSA [4A WS10 UK]</v>
          </cell>
          <cell r="K268" t="str">
            <v>0.400</v>
          </cell>
          <cell r="L268" t="str">
            <v>GBP</v>
          </cell>
          <cell r="M268">
            <v>0.4</v>
          </cell>
        </row>
        <row r="269">
          <cell r="D269" t="str">
            <v>OJ721053246GB</v>
          </cell>
          <cell r="E269" t="str">
            <v>未核账</v>
          </cell>
        </row>
        <row r="269">
          <cell r="G269" t="str">
            <v>包裹订单</v>
          </cell>
          <cell r="H269" t="str">
            <v>RM_TR48(48可追踪包裹)</v>
          </cell>
          <cell r="I269" t="str">
            <v>运输费</v>
          </cell>
          <cell r="J269" t="str">
            <v>OCWSA [4A WS10 UK]</v>
          </cell>
          <cell r="K269" t="str">
            <v>2.490</v>
          </cell>
          <cell r="L269" t="str">
            <v>GBP</v>
          </cell>
          <cell r="M269">
            <v>2.49</v>
          </cell>
        </row>
        <row r="270">
          <cell r="D270" t="str">
            <v>OJ721053484GB</v>
          </cell>
          <cell r="E270" t="str">
            <v>未核账</v>
          </cell>
        </row>
        <row r="270">
          <cell r="G270" t="str">
            <v>包裹订单</v>
          </cell>
          <cell r="H270" t="str">
            <v>RM_TR48(48可追踪包裹)</v>
          </cell>
          <cell r="I270" t="str">
            <v>包材费用</v>
          </cell>
          <cell r="J270" t="str">
            <v>OCWSA [4A WS10 UK]</v>
          </cell>
          <cell r="K270" t="str">
            <v>0.800</v>
          </cell>
          <cell r="L270" t="str">
            <v>GBP</v>
          </cell>
          <cell r="M270">
            <v>0.8</v>
          </cell>
        </row>
        <row r="271">
          <cell r="D271" t="str">
            <v>OJ721053484GB</v>
          </cell>
          <cell r="E271" t="str">
            <v>未核账</v>
          </cell>
        </row>
        <row r="271">
          <cell r="G271" t="str">
            <v>包裹订单</v>
          </cell>
          <cell r="H271" t="str">
            <v>RM_TR48(48可追踪包裹)</v>
          </cell>
          <cell r="I271" t="str">
            <v>仓储操作附加费按重量</v>
          </cell>
          <cell r="J271" t="str">
            <v>OCWSA [4A WS10 UK]</v>
          </cell>
          <cell r="K271" t="str">
            <v>0.070</v>
          </cell>
          <cell r="L271" t="str">
            <v>GBP</v>
          </cell>
          <cell r="M271">
            <v>0.07</v>
          </cell>
        </row>
        <row r="272">
          <cell r="D272" t="str">
            <v>OJ721053484GB</v>
          </cell>
          <cell r="E272" t="str">
            <v>未核账</v>
          </cell>
        </row>
        <row r="272">
          <cell r="G272" t="str">
            <v>包裹订单</v>
          </cell>
          <cell r="H272" t="str">
            <v>RM_TR48(48可追踪包裹)</v>
          </cell>
          <cell r="I272" t="str">
            <v>操作费</v>
          </cell>
          <cell r="J272" t="str">
            <v>OCWSA [4A WS10 UK]</v>
          </cell>
          <cell r="K272" t="str">
            <v>0.400</v>
          </cell>
          <cell r="L272" t="str">
            <v>GBP</v>
          </cell>
          <cell r="M272">
            <v>0.4</v>
          </cell>
        </row>
        <row r="273">
          <cell r="D273" t="str">
            <v>OJ721053484GB</v>
          </cell>
          <cell r="E273" t="str">
            <v>未核账</v>
          </cell>
        </row>
        <row r="273">
          <cell r="G273" t="str">
            <v>包裹订单</v>
          </cell>
          <cell r="H273" t="str">
            <v>RM_TR48(48可追踪包裹)</v>
          </cell>
          <cell r="I273" t="str">
            <v>运输费</v>
          </cell>
          <cell r="J273" t="str">
            <v>OCWSA [4A WS10 UK]</v>
          </cell>
          <cell r="K273" t="str">
            <v>2.490</v>
          </cell>
          <cell r="L273" t="str">
            <v>GBP</v>
          </cell>
          <cell r="M273">
            <v>2.49</v>
          </cell>
        </row>
        <row r="274">
          <cell r="D274" t="str">
            <v>OJ720320317GB</v>
          </cell>
          <cell r="E274" t="str">
            <v>未核账</v>
          </cell>
        </row>
        <row r="274">
          <cell r="G274" t="str">
            <v>包裹订单</v>
          </cell>
          <cell r="H274" t="str">
            <v>RM_TR48(48可追踪包裹)</v>
          </cell>
          <cell r="I274" t="str">
            <v>包材费用</v>
          </cell>
          <cell r="J274" t="str">
            <v>OCWSA [4A WS10 UK]</v>
          </cell>
          <cell r="K274" t="str">
            <v>0.800</v>
          </cell>
          <cell r="L274" t="str">
            <v>GBP</v>
          </cell>
          <cell r="M274">
            <v>0.8</v>
          </cell>
        </row>
        <row r="275">
          <cell r="D275" t="str">
            <v>OJ720320317GB</v>
          </cell>
          <cell r="E275" t="str">
            <v>未核账</v>
          </cell>
        </row>
        <row r="275">
          <cell r="G275" t="str">
            <v>包裹订单</v>
          </cell>
          <cell r="H275" t="str">
            <v>RM_TR48(48可追踪包裹)</v>
          </cell>
          <cell r="I275" t="str">
            <v>仓储操作附加费按重量</v>
          </cell>
          <cell r="J275" t="str">
            <v>OCWSA [4A WS10 UK]</v>
          </cell>
          <cell r="K275" t="str">
            <v>0.070</v>
          </cell>
          <cell r="L275" t="str">
            <v>GBP</v>
          </cell>
          <cell r="M275">
            <v>0.07</v>
          </cell>
        </row>
        <row r="276">
          <cell r="D276" t="str">
            <v>OJ720320317GB</v>
          </cell>
          <cell r="E276" t="str">
            <v>未核账</v>
          </cell>
        </row>
        <row r="276">
          <cell r="G276" t="str">
            <v>包裹订单</v>
          </cell>
          <cell r="H276" t="str">
            <v>RM_TR48(48可追踪包裹)</v>
          </cell>
          <cell r="I276" t="str">
            <v>操作费</v>
          </cell>
          <cell r="J276" t="str">
            <v>OCWSA [4A WS10 UK]</v>
          </cell>
          <cell r="K276" t="str">
            <v>0.400</v>
          </cell>
          <cell r="L276" t="str">
            <v>GBP</v>
          </cell>
          <cell r="M276">
            <v>0.4</v>
          </cell>
        </row>
        <row r="277">
          <cell r="D277" t="str">
            <v>OJ720320317GB</v>
          </cell>
          <cell r="E277" t="str">
            <v>未核账</v>
          </cell>
        </row>
        <row r="277">
          <cell r="G277" t="str">
            <v>包裹订单</v>
          </cell>
          <cell r="H277" t="str">
            <v>RM_TR48(48可追踪包裹)</v>
          </cell>
          <cell r="I277" t="str">
            <v>运输费</v>
          </cell>
          <cell r="J277" t="str">
            <v>OCWSA [4A WS10 UK]</v>
          </cell>
          <cell r="K277" t="str">
            <v>2.490</v>
          </cell>
          <cell r="L277" t="str">
            <v>GBP</v>
          </cell>
          <cell r="M277">
            <v>2.49</v>
          </cell>
        </row>
        <row r="278">
          <cell r="D278" t="str">
            <v>OJ720846575GB</v>
          </cell>
          <cell r="E278" t="str">
            <v>未核账</v>
          </cell>
        </row>
        <row r="278">
          <cell r="G278" t="str">
            <v>包裹订单</v>
          </cell>
          <cell r="H278" t="str">
            <v>RM_TR48(48可追踪包裹)</v>
          </cell>
          <cell r="I278" t="str">
            <v>包材费用</v>
          </cell>
          <cell r="J278" t="str">
            <v>OCWSA [4A WS10 UK]</v>
          </cell>
          <cell r="K278" t="str">
            <v>0.800</v>
          </cell>
          <cell r="L278" t="str">
            <v>GBP</v>
          </cell>
          <cell r="M278">
            <v>0.8</v>
          </cell>
        </row>
        <row r="279">
          <cell r="D279" t="str">
            <v>OJ720846575GB</v>
          </cell>
          <cell r="E279" t="str">
            <v>未核账</v>
          </cell>
        </row>
        <row r="279">
          <cell r="G279" t="str">
            <v>包裹订单</v>
          </cell>
          <cell r="H279" t="str">
            <v>RM_TR48(48可追踪包裹)</v>
          </cell>
          <cell r="I279" t="str">
            <v>仓储操作附加费按重量</v>
          </cell>
          <cell r="J279" t="str">
            <v>OCWSA [4A WS10 UK]</v>
          </cell>
          <cell r="K279" t="str">
            <v>0.070</v>
          </cell>
          <cell r="L279" t="str">
            <v>GBP</v>
          </cell>
          <cell r="M279">
            <v>0.07</v>
          </cell>
        </row>
        <row r="280">
          <cell r="D280" t="str">
            <v>OJ720846575GB</v>
          </cell>
          <cell r="E280" t="str">
            <v>未核账</v>
          </cell>
        </row>
        <row r="280">
          <cell r="G280" t="str">
            <v>包裹订单</v>
          </cell>
          <cell r="H280" t="str">
            <v>RM_TR48(48可追踪包裹)</v>
          </cell>
          <cell r="I280" t="str">
            <v>操作费</v>
          </cell>
          <cell r="J280" t="str">
            <v>OCWSA [4A WS10 UK]</v>
          </cell>
          <cell r="K280" t="str">
            <v>0.400</v>
          </cell>
          <cell r="L280" t="str">
            <v>GBP</v>
          </cell>
          <cell r="M280">
            <v>0.4</v>
          </cell>
        </row>
        <row r="281">
          <cell r="D281" t="str">
            <v>OJ720846575GB</v>
          </cell>
          <cell r="E281" t="str">
            <v>未核账</v>
          </cell>
        </row>
        <row r="281">
          <cell r="G281" t="str">
            <v>包裹订单</v>
          </cell>
          <cell r="H281" t="str">
            <v>RM_TR48(48可追踪包裹)</v>
          </cell>
          <cell r="I281" t="str">
            <v>运输费</v>
          </cell>
          <cell r="J281" t="str">
            <v>OCWSA [4A WS10 UK]</v>
          </cell>
          <cell r="K281" t="str">
            <v>2.490</v>
          </cell>
          <cell r="L281" t="str">
            <v>GBP</v>
          </cell>
          <cell r="M281">
            <v>2.49</v>
          </cell>
        </row>
        <row r="282">
          <cell r="D282" t="str">
            <v>OJ721407363GB</v>
          </cell>
          <cell r="E282" t="str">
            <v>未核账</v>
          </cell>
        </row>
        <row r="282">
          <cell r="G282" t="str">
            <v>包裹订单</v>
          </cell>
          <cell r="H282" t="str">
            <v>RM_TR48(48可追踪包裹)</v>
          </cell>
          <cell r="I282" t="str">
            <v>包材费用</v>
          </cell>
          <cell r="J282" t="str">
            <v>OCWSA [4A WS10 UK]</v>
          </cell>
          <cell r="K282" t="str">
            <v>0.800</v>
          </cell>
          <cell r="L282" t="str">
            <v>GBP</v>
          </cell>
          <cell r="M282">
            <v>0.8</v>
          </cell>
        </row>
        <row r="283">
          <cell r="D283" t="str">
            <v>OJ721407363GB</v>
          </cell>
          <cell r="E283" t="str">
            <v>未核账</v>
          </cell>
        </row>
        <row r="283">
          <cell r="G283" t="str">
            <v>包裹订单</v>
          </cell>
          <cell r="H283" t="str">
            <v>RM_TR48(48可追踪包裹)</v>
          </cell>
          <cell r="I283" t="str">
            <v>仓储操作附加费按重量</v>
          </cell>
          <cell r="J283" t="str">
            <v>OCWSA [4A WS10 UK]</v>
          </cell>
          <cell r="K283" t="str">
            <v>0.070</v>
          </cell>
          <cell r="L283" t="str">
            <v>GBP</v>
          </cell>
          <cell r="M283">
            <v>0.07</v>
          </cell>
        </row>
        <row r="284">
          <cell r="D284" t="str">
            <v>OJ721407363GB</v>
          </cell>
          <cell r="E284" t="str">
            <v>未核账</v>
          </cell>
        </row>
        <row r="284">
          <cell r="G284" t="str">
            <v>包裹订单</v>
          </cell>
          <cell r="H284" t="str">
            <v>RM_TR48(48可追踪包裹)</v>
          </cell>
          <cell r="I284" t="str">
            <v>操作费</v>
          </cell>
          <cell r="J284" t="str">
            <v>OCWSA [4A WS10 UK]</v>
          </cell>
          <cell r="K284" t="str">
            <v>0.400</v>
          </cell>
          <cell r="L284" t="str">
            <v>GBP</v>
          </cell>
          <cell r="M284">
            <v>0.4</v>
          </cell>
        </row>
        <row r="285">
          <cell r="D285" t="str">
            <v>OJ721407363GB</v>
          </cell>
          <cell r="E285" t="str">
            <v>未核账</v>
          </cell>
        </row>
        <row r="285">
          <cell r="G285" t="str">
            <v>包裹订单</v>
          </cell>
          <cell r="H285" t="str">
            <v>RM_TR48(48可追踪包裹)</v>
          </cell>
          <cell r="I285" t="str">
            <v>运输费</v>
          </cell>
          <cell r="J285" t="str">
            <v>OCWSA [4A WS10 UK]</v>
          </cell>
          <cell r="K285" t="str">
            <v>2.490</v>
          </cell>
          <cell r="L285" t="str">
            <v>GBP</v>
          </cell>
          <cell r="M285">
            <v>2.49</v>
          </cell>
        </row>
        <row r="286">
          <cell r="D286" t="str">
            <v>OJ720320303GB</v>
          </cell>
          <cell r="E286" t="str">
            <v>未核账</v>
          </cell>
        </row>
        <row r="286">
          <cell r="G286" t="str">
            <v>包裹订单</v>
          </cell>
          <cell r="H286" t="str">
            <v>RM_TR48(48可追踪包裹)</v>
          </cell>
          <cell r="I286" t="str">
            <v>包材费用</v>
          </cell>
          <cell r="J286" t="str">
            <v>OCWSA [4A WS10 UK]</v>
          </cell>
          <cell r="K286" t="str">
            <v>0.800</v>
          </cell>
          <cell r="L286" t="str">
            <v>GBP</v>
          </cell>
          <cell r="M286">
            <v>0.8</v>
          </cell>
        </row>
        <row r="287">
          <cell r="D287" t="str">
            <v>OJ720320303GB</v>
          </cell>
          <cell r="E287" t="str">
            <v>未核账</v>
          </cell>
        </row>
        <row r="287">
          <cell r="G287" t="str">
            <v>包裹订单</v>
          </cell>
          <cell r="H287" t="str">
            <v>RM_TR48(48可追踪包裹)</v>
          </cell>
          <cell r="I287" t="str">
            <v>仓储操作附加费按重量</v>
          </cell>
          <cell r="J287" t="str">
            <v>OCWSA [4A WS10 UK]</v>
          </cell>
          <cell r="K287" t="str">
            <v>0.070</v>
          </cell>
          <cell r="L287" t="str">
            <v>GBP</v>
          </cell>
          <cell r="M287">
            <v>0.07</v>
          </cell>
        </row>
        <row r="288">
          <cell r="D288" t="str">
            <v>OJ720320303GB</v>
          </cell>
          <cell r="E288" t="str">
            <v>未核账</v>
          </cell>
        </row>
        <row r="288">
          <cell r="G288" t="str">
            <v>包裹订单</v>
          </cell>
          <cell r="H288" t="str">
            <v>RM_TR48(48可追踪包裹)</v>
          </cell>
          <cell r="I288" t="str">
            <v>操作费</v>
          </cell>
          <cell r="J288" t="str">
            <v>OCWSA [4A WS10 UK]</v>
          </cell>
          <cell r="K288" t="str">
            <v>0.400</v>
          </cell>
          <cell r="L288" t="str">
            <v>GBP</v>
          </cell>
          <cell r="M288">
            <v>0.4</v>
          </cell>
        </row>
        <row r="289">
          <cell r="D289" t="str">
            <v>OJ720320303GB</v>
          </cell>
          <cell r="E289" t="str">
            <v>未核账</v>
          </cell>
        </row>
        <row r="289">
          <cell r="G289" t="str">
            <v>包裹订单</v>
          </cell>
          <cell r="H289" t="str">
            <v>RM_TR48(48可追踪包裹)</v>
          </cell>
          <cell r="I289" t="str">
            <v>运输费</v>
          </cell>
          <cell r="J289" t="str">
            <v>OCWSA [4A WS10 UK]</v>
          </cell>
          <cell r="K289" t="str">
            <v>2.490</v>
          </cell>
          <cell r="L289" t="str">
            <v>GBP</v>
          </cell>
          <cell r="M289">
            <v>2.49</v>
          </cell>
        </row>
        <row r="290">
          <cell r="D290" t="str">
            <v>OJ720846553GB</v>
          </cell>
          <cell r="E290" t="str">
            <v>未核账</v>
          </cell>
        </row>
        <row r="290">
          <cell r="G290" t="str">
            <v>包裹订单</v>
          </cell>
          <cell r="H290" t="str">
            <v>RM_TR48(48可追踪包裹)</v>
          </cell>
          <cell r="I290" t="str">
            <v>包材费用</v>
          </cell>
          <cell r="J290" t="str">
            <v>OCWSA [4A WS10 UK]</v>
          </cell>
          <cell r="K290" t="str">
            <v>0.800</v>
          </cell>
          <cell r="L290" t="str">
            <v>GBP</v>
          </cell>
          <cell r="M290">
            <v>0.8</v>
          </cell>
        </row>
        <row r="291">
          <cell r="D291" t="str">
            <v>OJ720846553GB</v>
          </cell>
          <cell r="E291" t="str">
            <v>未核账</v>
          </cell>
        </row>
        <row r="291">
          <cell r="G291" t="str">
            <v>包裹订单</v>
          </cell>
          <cell r="H291" t="str">
            <v>RM_TR48(48可追踪包裹)</v>
          </cell>
          <cell r="I291" t="str">
            <v>仓储操作附加费按重量</v>
          </cell>
          <cell r="J291" t="str">
            <v>OCWSA [4A WS10 UK]</v>
          </cell>
          <cell r="K291" t="str">
            <v>0.070</v>
          </cell>
          <cell r="L291" t="str">
            <v>GBP</v>
          </cell>
          <cell r="M291">
            <v>0.07</v>
          </cell>
        </row>
        <row r="292">
          <cell r="D292" t="str">
            <v>OJ720846553GB</v>
          </cell>
          <cell r="E292" t="str">
            <v>未核账</v>
          </cell>
        </row>
        <row r="292">
          <cell r="G292" t="str">
            <v>包裹订单</v>
          </cell>
          <cell r="H292" t="str">
            <v>RM_TR48(48可追踪包裹)</v>
          </cell>
          <cell r="I292" t="str">
            <v>操作费</v>
          </cell>
          <cell r="J292" t="str">
            <v>OCWSA [4A WS10 UK]</v>
          </cell>
          <cell r="K292" t="str">
            <v>0.400</v>
          </cell>
          <cell r="L292" t="str">
            <v>GBP</v>
          </cell>
          <cell r="M292">
            <v>0.4</v>
          </cell>
        </row>
        <row r="293">
          <cell r="D293" t="str">
            <v>OJ720846553GB</v>
          </cell>
          <cell r="E293" t="str">
            <v>未核账</v>
          </cell>
        </row>
        <row r="293">
          <cell r="G293" t="str">
            <v>包裹订单</v>
          </cell>
          <cell r="H293" t="str">
            <v>RM_TR48(48可追踪包裹)</v>
          </cell>
          <cell r="I293" t="str">
            <v>运输费</v>
          </cell>
          <cell r="J293" t="str">
            <v>OCWSA [4A WS10 UK]</v>
          </cell>
          <cell r="K293" t="str">
            <v>2.490</v>
          </cell>
          <cell r="L293" t="str">
            <v>GBP</v>
          </cell>
          <cell r="M293">
            <v>2.49</v>
          </cell>
        </row>
        <row r="294">
          <cell r="D294" t="str">
            <v>OJ721038120GB</v>
          </cell>
          <cell r="E294" t="str">
            <v>未核账</v>
          </cell>
        </row>
        <row r="294">
          <cell r="G294" t="str">
            <v>包裹订单</v>
          </cell>
          <cell r="H294" t="str">
            <v>RM_TR48(48可追踪包裹)</v>
          </cell>
          <cell r="I294" t="str">
            <v>包材费用</v>
          </cell>
          <cell r="J294" t="str">
            <v>OCWSA [4A WS10 UK]</v>
          </cell>
          <cell r="K294" t="str">
            <v>0.800</v>
          </cell>
          <cell r="L294" t="str">
            <v>GBP</v>
          </cell>
          <cell r="M294">
            <v>0.8</v>
          </cell>
        </row>
        <row r="295">
          <cell r="D295" t="str">
            <v>OJ721038120GB</v>
          </cell>
          <cell r="E295" t="str">
            <v>未核账</v>
          </cell>
        </row>
        <row r="295">
          <cell r="G295" t="str">
            <v>包裹订单</v>
          </cell>
          <cell r="H295" t="str">
            <v>RM_TR48(48可追踪包裹)</v>
          </cell>
          <cell r="I295" t="str">
            <v>仓储操作附加费按重量</v>
          </cell>
          <cell r="J295" t="str">
            <v>OCWSA [4A WS10 UK]</v>
          </cell>
          <cell r="K295" t="str">
            <v>0.070</v>
          </cell>
          <cell r="L295" t="str">
            <v>GBP</v>
          </cell>
          <cell r="M295">
            <v>0.07</v>
          </cell>
        </row>
        <row r="296">
          <cell r="D296" t="str">
            <v>OJ721038120GB</v>
          </cell>
          <cell r="E296" t="str">
            <v>未核账</v>
          </cell>
        </row>
        <row r="296">
          <cell r="G296" t="str">
            <v>包裹订单</v>
          </cell>
          <cell r="H296" t="str">
            <v>RM_TR48(48可追踪包裹)</v>
          </cell>
          <cell r="I296" t="str">
            <v>操作费</v>
          </cell>
          <cell r="J296" t="str">
            <v>OCWSA [4A WS10 UK]</v>
          </cell>
          <cell r="K296" t="str">
            <v>0.400</v>
          </cell>
          <cell r="L296" t="str">
            <v>GBP</v>
          </cell>
          <cell r="M296">
            <v>0.4</v>
          </cell>
        </row>
        <row r="297">
          <cell r="D297" t="str">
            <v>OJ721038120GB</v>
          </cell>
          <cell r="E297" t="str">
            <v>未核账</v>
          </cell>
        </row>
        <row r="297">
          <cell r="G297" t="str">
            <v>包裹订单</v>
          </cell>
          <cell r="H297" t="str">
            <v>RM_TR48(48可追踪包裹)</v>
          </cell>
          <cell r="I297" t="str">
            <v>运输费</v>
          </cell>
          <cell r="J297" t="str">
            <v>OCWSA [4A WS10 UK]</v>
          </cell>
          <cell r="K297" t="str">
            <v>2.490</v>
          </cell>
          <cell r="L297" t="str">
            <v>GBP</v>
          </cell>
          <cell r="M297">
            <v>2.49</v>
          </cell>
        </row>
        <row r="298">
          <cell r="D298" t="str">
            <v>OJ721053201GB</v>
          </cell>
          <cell r="E298" t="str">
            <v>未核账</v>
          </cell>
        </row>
        <row r="298">
          <cell r="G298" t="str">
            <v>包裹订单</v>
          </cell>
          <cell r="H298" t="str">
            <v>RM_TR48(48可追踪包裹)</v>
          </cell>
          <cell r="I298" t="str">
            <v>包材费用</v>
          </cell>
          <cell r="J298" t="str">
            <v>OCWSA [4A WS10 UK]</v>
          </cell>
          <cell r="K298" t="str">
            <v>0.800</v>
          </cell>
          <cell r="L298" t="str">
            <v>GBP</v>
          </cell>
          <cell r="M298">
            <v>0.8</v>
          </cell>
        </row>
        <row r="299">
          <cell r="D299" t="str">
            <v>OJ721053201GB</v>
          </cell>
          <cell r="E299" t="str">
            <v>未核账</v>
          </cell>
        </row>
        <row r="299">
          <cell r="G299" t="str">
            <v>包裹订单</v>
          </cell>
          <cell r="H299" t="str">
            <v>RM_TR48(48可追踪包裹)</v>
          </cell>
          <cell r="I299" t="str">
            <v>仓储操作附加费按重量</v>
          </cell>
          <cell r="J299" t="str">
            <v>OCWSA [4A WS10 UK]</v>
          </cell>
          <cell r="K299" t="str">
            <v>0.070</v>
          </cell>
          <cell r="L299" t="str">
            <v>GBP</v>
          </cell>
          <cell r="M299">
            <v>0.07</v>
          </cell>
        </row>
        <row r="300">
          <cell r="D300" t="str">
            <v>OJ721053201GB</v>
          </cell>
          <cell r="E300" t="str">
            <v>未核账</v>
          </cell>
        </row>
        <row r="300">
          <cell r="G300" t="str">
            <v>包裹订单</v>
          </cell>
          <cell r="H300" t="str">
            <v>RM_TR48(48可追踪包裹)</v>
          </cell>
          <cell r="I300" t="str">
            <v>操作费</v>
          </cell>
          <cell r="J300" t="str">
            <v>OCWSA [4A WS10 UK]</v>
          </cell>
          <cell r="K300" t="str">
            <v>0.400</v>
          </cell>
          <cell r="L300" t="str">
            <v>GBP</v>
          </cell>
          <cell r="M300">
            <v>0.4</v>
          </cell>
        </row>
        <row r="301">
          <cell r="D301" t="str">
            <v>OJ721053201GB</v>
          </cell>
          <cell r="E301" t="str">
            <v>未核账</v>
          </cell>
        </row>
        <row r="301">
          <cell r="G301" t="str">
            <v>包裹订单</v>
          </cell>
          <cell r="H301" t="str">
            <v>RM_TR48(48可追踪包裹)</v>
          </cell>
          <cell r="I301" t="str">
            <v>运输费</v>
          </cell>
          <cell r="J301" t="str">
            <v>OCWSA [4A WS10 UK]</v>
          </cell>
          <cell r="K301" t="str">
            <v>2.490</v>
          </cell>
          <cell r="L301" t="str">
            <v>GBP</v>
          </cell>
          <cell r="M301">
            <v>2.49</v>
          </cell>
        </row>
        <row r="302">
          <cell r="D302" t="str">
            <v>OJ720846540GB</v>
          </cell>
          <cell r="E302" t="str">
            <v>未核账</v>
          </cell>
        </row>
        <row r="302">
          <cell r="G302" t="str">
            <v>包裹订单</v>
          </cell>
          <cell r="H302" t="str">
            <v>RM_TR48(48可追踪包裹)</v>
          </cell>
          <cell r="I302" t="str">
            <v>包材费用</v>
          </cell>
          <cell r="J302" t="str">
            <v>OCWSA [4A WS10 UK]</v>
          </cell>
          <cell r="K302" t="str">
            <v>0.800</v>
          </cell>
          <cell r="L302" t="str">
            <v>GBP</v>
          </cell>
          <cell r="M302">
            <v>0.8</v>
          </cell>
        </row>
        <row r="303">
          <cell r="D303" t="str">
            <v>OJ720846540GB</v>
          </cell>
          <cell r="E303" t="str">
            <v>未核账</v>
          </cell>
        </row>
        <row r="303">
          <cell r="G303" t="str">
            <v>包裹订单</v>
          </cell>
          <cell r="H303" t="str">
            <v>RM_TR48(48可追踪包裹)</v>
          </cell>
          <cell r="I303" t="str">
            <v>仓储操作附加费按重量</v>
          </cell>
          <cell r="J303" t="str">
            <v>OCWSA [4A WS10 UK]</v>
          </cell>
          <cell r="K303" t="str">
            <v>0.070</v>
          </cell>
          <cell r="L303" t="str">
            <v>GBP</v>
          </cell>
          <cell r="M303">
            <v>0.07</v>
          </cell>
        </row>
        <row r="304">
          <cell r="D304" t="str">
            <v>OJ720846540GB</v>
          </cell>
          <cell r="E304" t="str">
            <v>未核账</v>
          </cell>
        </row>
        <row r="304">
          <cell r="G304" t="str">
            <v>包裹订单</v>
          </cell>
          <cell r="H304" t="str">
            <v>RM_TR48(48可追踪包裹)</v>
          </cell>
          <cell r="I304" t="str">
            <v>操作费</v>
          </cell>
          <cell r="J304" t="str">
            <v>OCWSA [4A WS10 UK]</v>
          </cell>
          <cell r="K304" t="str">
            <v>0.400</v>
          </cell>
          <cell r="L304" t="str">
            <v>GBP</v>
          </cell>
          <cell r="M304">
            <v>0.4</v>
          </cell>
        </row>
        <row r="305">
          <cell r="D305" t="str">
            <v>OJ720846540GB</v>
          </cell>
          <cell r="E305" t="str">
            <v>未核账</v>
          </cell>
        </row>
        <row r="305">
          <cell r="G305" t="str">
            <v>包裹订单</v>
          </cell>
          <cell r="H305" t="str">
            <v>RM_TR48(48可追踪包裹)</v>
          </cell>
          <cell r="I305" t="str">
            <v>运输费</v>
          </cell>
          <cell r="J305" t="str">
            <v>OCWSA [4A WS10 UK]</v>
          </cell>
          <cell r="K305" t="str">
            <v>2.490</v>
          </cell>
          <cell r="L305" t="str">
            <v>GBP</v>
          </cell>
          <cell r="M305">
            <v>2.49</v>
          </cell>
        </row>
        <row r="306">
          <cell r="D306" t="str">
            <v>OJ721052325GB</v>
          </cell>
          <cell r="E306" t="str">
            <v>未核账</v>
          </cell>
        </row>
        <row r="306">
          <cell r="G306" t="str">
            <v>包裹订单</v>
          </cell>
          <cell r="H306" t="str">
            <v>RM_TR48(48可追踪包裹)</v>
          </cell>
          <cell r="I306" t="str">
            <v>包材费用</v>
          </cell>
          <cell r="J306" t="str">
            <v>OCWSA [4A WS10 UK]</v>
          </cell>
          <cell r="K306" t="str">
            <v>0.800</v>
          </cell>
          <cell r="L306" t="str">
            <v>GBP</v>
          </cell>
          <cell r="M306">
            <v>0.8</v>
          </cell>
        </row>
        <row r="307">
          <cell r="D307" t="str">
            <v>OJ721052325GB</v>
          </cell>
          <cell r="E307" t="str">
            <v>未核账</v>
          </cell>
        </row>
        <row r="307">
          <cell r="G307" t="str">
            <v>包裹订单</v>
          </cell>
          <cell r="H307" t="str">
            <v>RM_TR48(48可追踪包裹)</v>
          </cell>
          <cell r="I307" t="str">
            <v>仓储操作附加费按重量</v>
          </cell>
          <cell r="J307" t="str">
            <v>OCWSA [4A WS10 UK]</v>
          </cell>
          <cell r="K307" t="str">
            <v>0.070</v>
          </cell>
          <cell r="L307" t="str">
            <v>GBP</v>
          </cell>
          <cell r="M307">
            <v>0.07</v>
          </cell>
        </row>
        <row r="308">
          <cell r="D308" t="str">
            <v>OJ721052325GB</v>
          </cell>
          <cell r="E308" t="str">
            <v>未核账</v>
          </cell>
        </row>
        <row r="308">
          <cell r="G308" t="str">
            <v>包裹订单</v>
          </cell>
          <cell r="H308" t="str">
            <v>RM_TR48(48可追踪包裹)</v>
          </cell>
          <cell r="I308" t="str">
            <v>操作费</v>
          </cell>
          <cell r="J308" t="str">
            <v>OCWSA [4A WS10 UK]</v>
          </cell>
          <cell r="K308" t="str">
            <v>0.400</v>
          </cell>
          <cell r="L308" t="str">
            <v>GBP</v>
          </cell>
          <cell r="M308">
            <v>0.4</v>
          </cell>
        </row>
        <row r="309">
          <cell r="D309" t="str">
            <v>OJ721052325GB</v>
          </cell>
          <cell r="E309" t="str">
            <v>未核账</v>
          </cell>
        </row>
        <row r="309">
          <cell r="G309" t="str">
            <v>包裹订单</v>
          </cell>
          <cell r="H309" t="str">
            <v>RM_TR48(48可追踪包裹)</v>
          </cell>
          <cell r="I309" t="str">
            <v>运输费</v>
          </cell>
          <cell r="J309" t="str">
            <v>OCWSA [4A WS10 UK]</v>
          </cell>
          <cell r="K309" t="str">
            <v>2.490</v>
          </cell>
          <cell r="L309" t="str">
            <v>GBP</v>
          </cell>
          <cell r="M309">
            <v>2.49</v>
          </cell>
        </row>
        <row r="310">
          <cell r="D310" t="str">
            <v>OJ721053983GB</v>
          </cell>
          <cell r="E310" t="str">
            <v>未核账</v>
          </cell>
        </row>
        <row r="310">
          <cell r="G310" t="str">
            <v>包裹订单</v>
          </cell>
          <cell r="H310" t="str">
            <v>RM_TR48(48可追踪包裹)</v>
          </cell>
          <cell r="I310" t="str">
            <v>包材费用</v>
          </cell>
          <cell r="J310" t="str">
            <v>OCWSA [4A WS10 UK]</v>
          </cell>
          <cell r="K310" t="str">
            <v>0.800</v>
          </cell>
          <cell r="L310" t="str">
            <v>GBP</v>
          </cell>
          <cell r="M310">
            <v>0.8</v>
          </cell>
        </row>
        <row r="311">
          <cell r="D311" t="str">
            <v>OJ721053983GB</v>
          </cell>
          <cell r="E311" t="str">
            <v>未核账</v>
          </cell>
        </row>
        <row r="311">
          <cell r="G311" t="str">
            <v>包裹订单</v>
          </cell>
          <cell r="H311" t="str">
            <v>RM_TR48(48可追踪包裹)</v>
          </cell>
          <cell r="I311" t="str">
            <v>仓储操作附加费按重量</v>
          </cell>
          <cell r="J311" t="str">
            <v>OCWSA [4A WS10 UK]</v>
          </cell>
          <cell r="K311" t="str">
            <v>0.070</v>
          </cell>
          <cell r="L311" t="str">
            <v>GBP</v>
          </cell>
          <cell r="M311">
            <v>0.07</v>
          </cell>
        </row>
        <row r="312">
          <cell r="D312" t="str">
            <v>OJ721053983GB</v>
          </cell>
          <cell r="E312" t="str">
            <v>未核账</v>
          </cell>
        </row>
        <row r="312">
          <cell r="G312" t="str">
            <v>包裹订单</v>
          </cell>
          <cell r="H312" t="str">
            <v>RM_TR48(48可追踪包裹)</v>
          </cell>
          <cell r="I312" t="str">
            <v>操作费</v>
          </cell>
          <cell r="J312" t="str">
            <v>OCWSA [4A WS10 UK]</v>
          </cell>
          <cell r="K312" t="str">
            <v>0.400</v>
          </cell>
          <cell r="L312" t="str">
            <v>GBP</v>
          </cell>
          <cell r="M312">
            <v>0.4</v>
          </cell>
        </row>
        <row r="313">
          <cell r="D313" t="str">
            <v>OJ721053983GB</v>
          </cell>
          <cell r="E313" t="str">
            <v>未核账</v>
          </cell>
        </row>
        <row r="313">
          <cell r="G313" t="str">
            <v>包裹订单</v>
          </cell>
          <cell r="H313" t="str">
            <v>RM_TR48(48可追踪包裹)</v>
          </cell>
          <cell r="I313" t="str">
            <v>运输费</v>
          </cell>
          <cell r="J313" t="str">
            <v>OCWSA [4A WS10 UK]</v>
          </cell>
          <cell r="K313" t="str">
            <v>2.490</v>
          </cell>
          <cell r="L313" t="str">
            <v>GBP</v>
          </cell>
          <cell r="M313">
            <v>2.49</v>
          </cell>
        </row>
        <row r="314">
          <cell r="D314" t="str">
            <v>OJ720320095GB</v>
          </cell>
          <cell r="E314" t="str">
            <v>未核账</v>
          </cell>
        </row>
        <row r="314">
          <cell r="G314" t="str">
            <v>包裹订单</v>
          </cell>
          <cell r="H314" t="str">
            <v>RM_TR48(48可追踪包裹)</v>
          </cell>
          <cell r="I314" t="str">
            <v>包材费用</v>
          </cell>
          <cell r="J314" t="str">
            <v>OCWSA [4A WS10 UK]</v>
          </cell>
          <cell r="K314" t="str">
            <v>0.800</v>
          </cell>
          <cell r="L314" t="str">
            <v>GBP</v>
          </cell>
          <cell r="M314">
            <v>0.8</v>
          </cell>
        </row>
        <row r="315">
          <cell r="D315" t="str">
            <v>OJ720320095GB</v>
          </cell>
          <cell r="E315" t="str">
            <v>未核账</v>
          </cell>
        </row>
        <row r="315">
          <cell r="G315" t="str">
            <v>包裹订单</v>
          </cell>
          <cell r="H315" t="str">
            <v>RM_TR48(48可追踪包裹)</v>
          </cell>
          <cell r="I315" t="str">
            <v>仓储操作附加费按重量</v>
          </cell>
          <cell r="J315" t="str">
            <v>OCWSA [4A WS10 UK]</v>
          </cell>
          <cell r="K315" t="str">
            <v>0.070</v>
          </cell>
          <cell r="L315" t="str">
            <v>GBP</v>
          </cell>
          <cell r="M315">
            <v>0.07</v>
          </cell>
        </row>
        <row r="316">
          <cell r="D316" t="str">
            <v>OJ720320095GB</v>
          </cell>
          <cell r="E316" t="str">
            <v>未核账</v>
          </cell>
        </row>
        <row r="316">
          <cell r="G316" t="str">
            <v>包裹订单</v>
          </cell>
          <cell r="H316" t="str">
            <v>RM_TR48(48可追踪包裹)</v>
          </cell>
          <cell r="I316" t="str">
            <v>操作费</v>
          </cell>
          <cell r="J316" t="str">
            <v>OCWSA [4A WS10 UK]</v>
          </cell>
          <cell r="K316" t="str">
            <v>0.400</v>
          </cell>
          <cell r="L316" t="str">
            <v>GBP</v>
          </cell>
          <cell r="M316">
            <v>0.4</v>
          </cell>
        </row>
        <row r="317">
          <cell r="D317" t="str">
            <v>OJ720320095GB</v>
          </cell>
          <cell r="E317" t="str">
            <v>未核账</v>
          </cell>
        </row>
        <row r="317">
          <cell r="G317" t="str">
            <v>包裹订单</v>
          </cell>
          <cell r="H317" t="str">
            <v>RM_TR48(48可追踪包裹)</v>
          </cell>
          <cell r="I317" t="str">
            <v>运输费</v>
          </cell>
          <cell r="J317" t="str">
            <v>OCWSA [4A WS10 UK]</v>
          </cell>
          <cell r="K317" t="str">
            <v>2.490</v>
          </cell>
          <cell r="L317" t="str">
            <v>GBP</v>
          </cell>
          <cell r="M317">
            <v>2.49</v>
          </cell>
        </row>
        <row r="318">
          <cell r="D318" t="str">
            <v>OJ720846505GB</v>
          </cell>
          <cell r="E318" t="str">
            <v>未核账</v>
          </cell>
        </row>
        <row r="318">
          <cell r="G318" t="str">
            <v>包裹订单</v>
          </cell>
          <cell r="H318" t="str">
            <v>RM_TR48(48可追踪包裹)</v>
          </cell>
          <cell r="I318" t="str">
            <v>包材费用</v>
          </cell>
          <cell r="J318" t="str">
            <v>OCWSA [4A WS10 UK]</v>
          </cell>
          <cell r="K318" t="str">
            <v>0.800</v>
          </cell>
          <cell r="L318" t="str">
            <v>GBP</v>
          </cell>
          <cell r="M318">
            <v>0.8</v>
          </cell>
        </row>
        <row r="319">
          <cell r="D319" t="str">
            <v>OJ720846505GB</v>
          </cell>
          <cell r="E319" t="str">
            <v>未核账</v>
          </cell>
        </row>
        <row r="319">
          <cell r="G319" t="str">
            <v>包裹订单</v>
          </cell>
          <cell r="H319" t="str">
            <v>RM_TR48(48可追踪包裹)</v>
          </cell>
          <cell r="I319" t="str">
            <v>仓储操作附加费按重量</v>
          </cell>
          <cell r="J319" t="str">
            <v>OCWSA [4A WS10 UK]</v>
          </cell>
          <cell r="K319" t="str">
            <v>0.070</v>
          </cell>
          <cell r="L319" t="str">
            <v>GBP</v>
          </cell>
          <cell r="M319">
            <v>0.07</v>
          </cell>
        </row>
        <row r="320">
          <cell r="D320" t="str">
            <v>OJ720846505GB</v>
          </cell>
          <cell r="E320" t="str">
            <v>未核账</v>
          </cell>
        </row>
        <row r="320">
          <cell r="G320" t="str">
            <v>包裹订单</v>
          </cell>
          <cell r="H320" t="str">
            <v>RM_TR48(48可追踪包裹)</v>
          </cell>
          <cell r="I320" t="str">
            <v>操作费</v>
          </cell>
          <cell r="J320" t="str">
            <v>OCWSA [4A WS10 UK]</v>
          </cell>
          <cell r="K320" t="str">
            <v>0.400</v>
          </cell>
          <cell r="L320" t="str">
            <v>GBP</v>
          </cell>
          <cell r="M320">
            <v>0.4</v>
          </cell>
        </row>
        <row r="321">
          <cell r="D321" t="str">
            <v>OJ720846505GB</v>
          </cell>
          <cell r="E321" t="str">
            <v>未核账</v>
          </cell>
        </row>
        <row r="321">
          <cell r="G321" t="str">
            <v>包裹订单</v>
          </cell>
          <cell r="H321" t="str">
            <v>RM_TR48(48可追踪包裹)</v>
          </cell>
          <cell r="I321" t="str">
            <v>运输费</v>
          </cell>
          <cell r="J321" t="str">
            <v>OCWSA [4A WS10 UK]</v>
          </cell>
          <cell r="K321" t="str">
            <v>2.490</v>
          </cell>
          <cell r="L321" t="str">
            <v>GBP</v>
          </cell>
          <cell r="M321">
            <v>2.49</v>
          </cell>
        </row>
        <row r="322">
          <cell r="D322" t="str">
            <v>OJ721053192GB</v>
          </cell>
          <cell r="E322" t="str">
            <v>未核账</v>
          </cell>
        </row>
        <row r="322">
          <cell r="G322" t="str">
            <v>包裹订单</v>
          </cell>
          <cell r="H322" t="str">
            <v>RM_TR48(48可追踪包裹)</v>
          </cell>
          <cell r="I322" t="str">
            <v>包材费用</v>
          </cell>
          <cell r="J322" t="str">
            <v>OCWSA [4A WS10 UK]</v>
          </cell>
          <cell r="K322" t="str">
            <v>0.800</v>
          </cell>
          <cell r="L322" t="str">
            <v>GBP</v>
          </cell>
          <cell r="M322">
            <v>0.8</v>
          </cell>
        </row>
        <row r="323">
          <cell r="D323" t="str">
            <v>OJ721053192GB</v>
          </cell>
          <cell r="E323" t="str">
            <v>未核账</v>
          </cell>
        </row>
        <row r="323">
          <cell r="G323" t="str">
            <v>包裹订单</v>
          </cell>
          <cell r="H323" t="str">
            <v>RM_TR48(48可追踪包裹)</v>
          </cell>
          <cell r="I323" t="str">
            <v>仓储操作附加费按重量</v>
          </cell>
          <cell r="J323" t="str">
            <v>OCWSA [4A WS10 UK]</v>
          </cell>
          <cell r="K323" t="str">
            <v>0.070</v>
          </cell>
          <cell r="L323" t="str">
            <v>GBP</v>
          </cell>
          <cell r="M323">
            <v>0.07</v>
          </cell>
        </row>
        <row r="324">
          <cell r="D324" t="str">
            <v>OJ721053192GB</v>
          </cell>
          <cell r="E324" t="str">
            <v>未核账</v>
          </cell>
        </row>
        <row r="324">
          <cell r="G324" t="str">
            <v>包裹订单</v>
          </cell>
          <cell r="H324" t="str">
            <v>RM_TR48(48可追踪包裹)</v>
          </cell>
          <cell r="I324" t="str">
            <v>操作费</v>
          </cell>
          <cell r="J324" t="str">
            <v>OCWSA [4A WS10 UK]</v>
          </cell>
          <cell r="K324" t="str">
            <v>0.400</v>
          </cell>
          <cell r="L324" t="str">
            <v>GBP</v>
          </cell>
          <cell r="M324">
            <v>0.4</v>
          </cell>
        </row>
        <row r="325">
          <cell r="D325" t="str">
            <v>OJ721053192GB</v>
          </cell>
          <cell r="E325" t="str">
            <v>未核账</v>
          </cell>
        </row>
        <row r="325">
          <cell r="G325" t="str">
            <v>包裹订单</v>
          </cell>
          <cell r="H325" t="str">
            <v>RM_TR48(48可追踪包裹)</v>
          </cell>
          <cell r="I325" t="str">
            <v>运输费</v>
          </cell>
          <cell r="J325" t="str">
            <v>OCWSA [4A WS10 UK]</v>
          </cell>
          <cell r="K325" t="str">
            <v>2.490</v>
          </cell>
          <cell r="L325" t="str">
            <v>GBP</v>
          </cell>
          <cell r="M325">
            <v>2.49</v>
          </cell>
        </row>
        <row r="326">
          <cell r="D326" t="str">
            <v>OJ720320334GB</v>
          </cell>
          <cell r="E326" t="str">
            <v>未核账</v>
          </cell>
        </row>
        <row r="326">
          <cell r="G326" t="str">
            <v>包裹订单</v>
          </cell>
          <cell r="H326" t="str">
            <v>RM_TR48(48可追踪包裹)</v>
          </cell>
          <cell r="I326" t="str">
            <v>包材费用</v>
          </cell>
          <cell r="J326" t="str">
            <v>OCWSA [4A WS10 UK]</v>
          </cell>
          <cell r="K326" t="str">
            <v>0.800</v>
          </cell>
          <cell r="L326" t="str">
            <v>GBP</v>
          </cell>
          <cell r="M326">
            <v>0.8</v>
          </cell>
        </row>
        <row r="327">
          <cell r="D327" t="str">
            <v>OJ720320334GB</v>
          </cell>
          <cell r="E327" t="str">
            <v>未核账</v>
          </cell>
        </row>
        <row r="327">
          <cell r="G327" t="str">
            <v>包裹订单</v>
          </cell>
          <cell r="H327" t="str">
            <v>RM_TR48(48可追踪包裹)</v>
          </cell>
          <cell r="I327" t="str">
            <v>仓储操作附加费按重量</v>
          </cell>
          <cell r="J327" t="str">
            <v>OCWSA [4A WS10 UK]</v>
          </cell>
          <cell r="K327" t="str">
            <v>0.070</v>
          </cell>
          <cell r="L327" t="str">
            <v>GBP</v>
          </cell>
          <cell r="M327">
            <v>0.07</v>
          </cell>
        </row>
        <row r="328">
          <cell r="D328" t="str">
            <v>OJ720320334GB</v>
          </cell>
          <cell r="E328" t="str">
            <v>未核账</v>
          </cell>
        </row>
        <row r="328">
          <cell r="G328" t="str">
            <v>包裹订单</v>
          </cell>
          <cell r="H328" t="str">
            <v>RM_TR48(48可追踪包裹)</v>
          </cell>
          <cell r="I328" t="str">
            <v>操作费</v>
          </cell>
          <cell r="J328" t="str">
            <v>OCWSA [4A WS10 UK]</v>
          </cell>
          <cell r="K328" t="str">
            <v>0.400</v>
          </cell>
          <cell r="L328" t="str">
            <v>GBP</v>
          </cell>
          <cell r="M328">
            <v>0.4</v>
          </cell>
        </row>
        <row r="329">
          <cell r="D329" t="str">
            <v>OJ720320334GB</v>
          </cell>
          <cell r="E329" t="str">
            <v>未核账</v>
          </cell>
        </row>
        <row r="329">
          <cell r="G329" t="str">
            <v>包裹订单</v>
          </cell>
          <cell r="H329" t="str">
            <v>RM_TR48(48可追踪包裹)</v>
          </cell>
          <cell r="I329" t="str">
            <v>运输费</v>
          </cell>
          <cell r="J329" t="str">
            <v>OCWSA [4A WS10 UK]</v>
          </cell>
          <cell r="K329" t="str">
            <v>2.490</v>
          </cell>
          <cell r="L329" t="str">
            <v>GBP</v>
          </cell>
          <cell r="M329">
            <v>2.49</v>
          </cell>
        </row>
        <row r="330">
          <cell r="D330" t="str">
            <v>OJ721041472GB</v>
          </cell>
          <cell r="E330" t="str">
            <v>未核账</v>
          </cell>
        </row>
        <row r="330">
          <cell r="G330" t="str">
            <v>包裹订单</v>
          </cell>
          <cell r="H330" t="str">
            <v>RM_TR48(48可追踪包裹)</v>
          </cell>
          <cell r="I330" t="str">
            <v>包材费用</v>
          </cell>
          <cell r="J330" t="str">
            <v>OCWSA [4A WS10 UK]</v>
          </cell>
          <cell r="K330" t="str">
            <v>0.800</v>
          </cell>
          <cell r="L330" t="str">
            <v>GBP</v>
          </cell>
          <cell r="M330">
            <v>0.8</v>
          </cell>
        </row>
        <row r="331">
          <cell r="D331" t="str">
            <v>OJ721041472GB</v>
          </cell>
          <cell r="E331" t="str">
            <v>未核账</v>
          </cell>
        </row>
        <row r="331">
          <cell r="G331" t="str">
            <v>包裹订单</v>
          </cell>
          <cell r="H331" t="str">
            <v>RM_TR48(48可追踪包裹)</v>
          </cell>
          <cell r="I331" t="str">
            <v>仓储操作附加费按重量</v>
          </cell>
          <cell r="J331" t="str">
            <v>OCWSA [4A WS10 UK]</v>
          </cell>
          <cell r="K331" t="str">
            <v>0.420</v>
          </cell>
          <cell r="L331" t="str">
            <v>GBP</v>
          </cell>
          <cell r="M331">
            <v>0.42</v>
          </cell>
        </row>
        <row r="332">
          <cell r="D332" t="str">
            <v>OJ721041472GB</v>
          </cell>
          <cell r="E332" t="str">
            <v>未核账</v>
          </cell>
        </row>
        <row r="332">
          <cell r="G332" t="str">
            <v>包裹订单</v>
          </cell>
          <cell r="H332" t="str">
            <v>RM_TR48(48可追踪包裹)</v>
          </cell>
          <cell r="I332" t="str">
            <v>操作费</v>
          </cell>
          <cell r="J332" t="str">
            <v>OCWSA [4A WS10 UK]</v>
          </cell>
          <cell r="K332" t="str">
            <v>0.400</v>
          </cell>
          <cell r="L332" t="str">
            <v>GBP</v>
          </cell>
          <cell r="M332">
            <v>0.4</v>
          </cell>
        </row>
        <row r="333">
          <cell r="D333" t="str">
            <v>OJ721041472GB</v>
          </cell>
          <cell r="E333" t="str">
            <v>未核账</v>
          </cell>
        </row>
        <row r="333">
          <cell r="G333" t="str">
            <v>包裹订单</v>
          </cell>
          <cell r="H333" t="str">
            <v>RM_TR48(48可追踪包裹)</v>
          </cell>
          <cell r="I333" t="str">
            <v>运输费</v>
          </cell>
          <cell r="J333" t="str">
            <v>OCWSA [4A WS10 UK]</v>
          </cell>
          <cell r="K333" t="str">
            <v>3.110</v>
          </cell>
          <cell r="L333" t="str">
            <v>GBP</v>
          </cell>
          <cell r="M333">
            <v>3.11</v>
          </cell>
        </row>
        <row r="334">
          <cell r="D334" t="str">
            <v>OJ720368031GB</v>
          </cell>
          <cell r="E334" t="str">
            <v>未核账</v>
          </cell>
        </row>
        <row r="334">
          <cell r="G334" t="str">
            <v>包裹订单</v>
          </cell>
          <cell r="H334" t="str">
            <v>RM_TR48(48可追踪包裹)</v>
          </cell>
          <cell r="I334" t="str">
            <v>包材费用</v>
          </cell>
          <cell r="J334" t="str">
            <v>OCWSA [4A WS10 UK]</v>
          </cell>
          <cell r="K334" t="str">
            <v>0.800</v>
          </cell>
          <cell r="L334" t="str">
            <v>GBP</v>
          </cell>
          <cell r="M334">
            <v>0.8</v>
          </cell>
        </row>
        <row r="335">
          <cell r="D335" t="str">
            <v>OJ720368031GB</v>
          </cell>
          <cell r="E335" t="str">
            <v>未核账</v>
          </cell>
        </row>
        <row r="335">
          <cell r="G335" t="str">
            <v>包裹订单</v>
          </cell>
          <cell r="H335" t="str">
            <v>RM_TR48(48可追踪包裹)</v>
          </cell>
          <cell r="I335" t="str">
            <v>仓储操作附加费按重量</v>
          </cell>
          <cell r="J335" t="str">
            <v>OCWSA [4A WS10 UK]</v>
          </cell>
          <cell r="K335" t="str">
            <v>0.420</v>
          </cell>
          <cell r="L335" t="str">
            <v>GBP</v>
          </cell>
          <cell r="M335">
            <v>0.42</v>
          </cell>
        </row>
        <row r="336">
          <cell r="D336" t="str">
            <v>OJ720368031GB</v>
          </cell>
          <cell r="E336" t="str">
            <v>未核账</v>
          </cell>
        </row>
        <row r="336">
          <cell r="G336" t="str">
            <v>包裹订单</v>
          </cell>
          <cell r="H336" t="str">
            <v>RM_TR48(48可追踪包裹)</v>
          </cell>
          <cell r="I336" t="str">
            <v>操作费</v>
          </cell>
          <cell r="J336" t="str">
            <v>OCWSA [4A WS10 UK]</v>
          </cell>
          <cell r="K336" t="str">
            <v>0.400</v>
          </cell>
          <cell r="L336" t="str">
            <v>GBP</v>
          </cell>
          <cell r="M336">
            <v>0.4</v>
          </cell>
        </row>
        <row r="337">
          <cell r="D337" t="str">
            <v>OJ720368031GB</v>
          </cell>
          <cell r="E337" t="str">
            <v>未核账</v>
          </cell>
        </row>
        <row r="337">
          <cell r="G337" t="str">
            <v>包裹订单</v>
          </cell>
          <cell r="H337" t="str">
            <v>RM_TR48(48可追踪包裹)</v>
          </cell>
          <cell r="I337" t="str">
            <v>运输费</v>
          </cell>
          <cell r="J337" t="str">
            <v>OCWSA [4A WS10 UK]</v>
          </cell>
          <cell r="K337" t="str">
            <v>3.110</v>
          </cell>
          <cell r="L337" t="str">
            <v>GBP</v>
          </cell>
          <cell r="M337">
            <v>3.11</v>
          </cell>
        </row>
        <row r="338">
          <cell r="D338" t="str">
            <v>OJ720671888GB</v>
          </cell>
          <cell r="E338" t="str">
            <v>未核账</v>
          </cell>
        </row>
        <row r="338">
          <cell r="G338" t="str">
            <v>包裹订单</v>
          </cell>
          <cell r="H338" t="str">
            <v>RM_TR48(48可追踪包裹)</v>
          </cell>
          <cell r="I338" t="str">
            <v>包材费用</v>
          </cell>
          <cell r="J338" t="str">
            <v>OCWSA [4A WS10 UK]</v>
          </cell>
          <cell r="K338" t="str">
            <v>1.000</v>
          </cell>
          <cell r="L338" t="str">
            <v>GBP</v>
          </cell>
          <cell r="M338">
            <v>1</v>
          </cell>
        </row>
        <row r="339">
          <cell r="D339" t="str">
            <v>OJ720671888GB</v>
          </cell>
          <cell r="E339" t="str">
            <v>未核账</v>
          </cell>
        </row>
        <row r="339">
          <cell r="G339" t="str">
            <v>包裹订单</v>
          </cell>
          <cell r="H339" t="str">
            <v>RM_TR48(48可追踪包裹)</v>
          </cell>
          <cell r="I339" t="str">
            <v>操作费</v>
          </cell>
          <cell r="J339" t="str">
            <v>OCWSA [4A WS10 UK]</v>
          </cell>
          <cell r="K339" t="str">
            <v>0.400</v>
          </cell>
          <cell r="L339" t="str">
            <v>GBP</v>
          </cell>
          <cell r="M339">
            <v>0.4</v>
          </cell>
        </row>
        <row r="340">
          <cell r="D340" t="str">
            <v>OJ720671888GB</v>
          </cell>
          <cell r="E340" t="str">
            <v>未核账</v>
          </cell>
        </row>
        <row r="340">
          <cell r="G340" t="str">
            <v>包裹订单</v>
          </cell>
          <cell r="H340" t="str">
            <v>RM_TR48(48可追踪包裹)</v>
          </cell>
          <cell r="I340" t="str">
            <v>运输费</v>
          </cell>
          <cell r="J340" t="str">
            <v>OCWSA [4A WS10 UK]</v>
          </cell>
          <cell r="K340" t="str">
            <v>2.490</v>
          </cell>
          <cell r="L340" t="str">
            <v>GBP</v>
          </cell>
          <cell r="M340">
            <v>2.49</v>
          </cell>
        </row>
        <row r="341">
          <cell r="D341" t="str">
            <v>OJ720256826GB</v>
          </cell>
          <cell r="E341" t="str">
            <v>未核账</v>
          </cell>
        </row>
        <row r="341">
          <cell r="G341" t="str">
            <v>包裹订单</v>
          </cell>
          <cell r="H341" t="str">
            <v>RM_TR48(48可追踪包裹)</v>
          </cell>
          <cell r="I341" t="str">
            <v>包材费用</v>
          </cell>
          <cell r="J341" t="str">
            <v>OCWSA [4A WS10 UK]</v>
          </cell>
          <cell r="K341" t="str">
            <v>1.000</v>
          </cell>
          <cell r="L341" t="str">
            <v>GBP</v>
          </cell>
          <cell r="M341">
            <v>1</v>
          </cell>
        </row>
        <row r="342">
          <cell r="D342" t="str">
            <v>OJ720256826GB</v>
          </cell>
          <cell r="E342" t="str">
            <v>未核账</v>
          </cell>
        </row>
        <row r="342">
          <cell r="G342" t="str">
            <v>包裹订单</v>
          </cell>
          <cell r="H342" t="str">
            <v>RM_TR48(48可追踪包裹)</v>
          </cell>
          <cell r="I342" t="str">
            <v>操作费</v>
          </cell>
          <cell r="J342" t="str">
            <v>OCWSA [4A WS10 UK]</v>
          </cell>
          <cell r="K342" t="str">
            <v>0.400</v>
          </cell>
          <cell r="L342" t="str">
            <v>GBP</v>
          </cell>
          <cell r="M342">
            <v>0.4</v>
          </cell>
        </row>
        <row r="343">
          <cell r="D343" t="str">
            <v>OJ720256826GB</v>
          </cell>
          <cell r="E343" t="str">
            <v>未核账</v>
          </cell>
        </row>
        <row r="343">
          <cell r="G343" t="str">
            <v>包裹订单</v>
          </cell>
          <cell r="H343" t="str">
            <v>RM_TR48(48可追踪包裹)</v>
          </cell>
          <cell r="I343" t="str">
            <v>运输费</v>
          </cell>
          <cell r="J343" t="str">
            <v>OCWSA [4A WS10 UK]</v>
          </cell>
          <cell r="K343" t="str">
            <v>2.490</v>
          </cell>
          <cell r="L343" t="str">
            <v>GBP</v>
          </cell>
          <cell r="M343">
            <v>2.49</v>
          </cell>
        </row>
        <row r="344">
          <cell r="D344" t="str">
            <v>OJ720320192GB</v>
          </cell>
          <cell r="E344" t="str">
            <v>未核账</v>
          </cell>
        </row>
        <row r="344">
          <cell r="G344" t="str">
            <v>包裹订单</v>
          </cell>
          <cell r="H344" t="str">
            <v>RM_TR48(48可追踪包裹)</v>
          </cell>
          <cell r="I344" t="str">
            <v>仓储操作附加费按件数</v>
          </cell>
          <cell r="J344" t="str">
            <v>OCWSA [4A WS10 UK]</v>
          </cell>
          <cell r="K344" t="str">
            <v>0.300</v>
          </cell>
          <cell r="L344" t="str">
            <v>GBP</v>
          </cell>
          <cell r="M344">
            <v>0.3</v>
          </cell>
        </row>
        <row r="345">
          <cell r="D345" t="str">
            <v>OJ720320192GB</v>
          </cell>
          <cell r="E345" t="str">
            <v>未核账</v>
          </cell>
        </row>
        <row r="345">
          <cell r="G345" t="str">
            <v>包裹订单</v>
          </cell>
          <cell r="H345" t="str">
            <v>RM_TR48(48可追踪包裹)</v>
          </cell>
          <cell r="I345" t="str">
            <v>仓储操作附加费按重量</v>
          </cell>
          <cell r="J345" t="str">
            <v>OCWSA [4A WS10 UK]</v>
          </cell>
          <cell r="K345" t="str">
            <v>0.140</v>
          </cell>
          <cell r="L345" t="str">
            <v>GBP</v>
          </cell>
          <cell r="M345">
            <v>0.14</v>
          </cell>
        </row>
        <row r="346">
          <cell r="D346" t="str">
            <v>OJ720320192GB</v>
          </cell>
          <cell r="E346" t="str">
            <v>未核账</v>
          </cell>
        </row>
        <row r="346">
          <cell r="G346" t="str">
            <v>包裹订单</v>
          </cell>
          <cell r="H346" t="str">
            <v>RM_TR48(48可追踪包裹)</v>
          </cell>
          <cell r="I346" t="str">
            <v>操作费</v>
          </cell>
          <cell r="J346" t="str">
            <v>OCWSA [4A WS10 UK]</v>
          </cell>
          <cell r="K346" t="str">
            <v>0.400</v>
          </cell>
          <cell r="L346" t="str">
            <v>GBP</v>
          </cell>
          <cell r="M346">
            <v>0.4</v>
          </cell>
        </row>
        <row r="347">
          <cell r="D347" t="str">
            <v>OJ720320192GB</v>
          </cell>
          <cell r="E347" t="str">
            <v>未核账</v>
          </cell>
        </row>
        <row r="347">
          <cell r="G347" t="str">
            <v>包裹订单</v>
          </cell>
          <cell r="H347" t="str">
            <v>RM_TR48(48可追踪包裹)</v>
          </cell>
          <cell r="I347" t="str">
            <v>运输费</v>
          </cell>
          <cell r="J347" t="str">
            <v>OCWSA [4A WS10 UK]</v>
          </cell>
          <cell r="K347" t="str">
            <v>2.860</v>
          </cell>
          <cell r="L347" t="str">
            <v>GBP</v>
          </cell>
          <cell r="M347">
            <v>2.86</v>
          </cell>
        </row>
        <row r="348">
          <cell r="D348" t="str">
            <v/>
          </cell>
          <cell r="E348" t="str">
            <v>未核账</v>
          </cell>
        </row>
        <row r="348">
          <cell r="G348" t="str">
            <v>仓租</v>
          </cell>
          <cell r="H348" t="str">
            <v>()</v>
          </cell>
          <cell r="I348" t="str">
            <v>仓储费</v>
          </cell>
          <cell r="J348" t="str">
            <v>OCWSA [4A WS10 UK]</v>
          </cell>
          <cell r="K348" t="str">
            <v>13.713</v>
          </cell>
          <cell r="L348" t="str">
            <v>GBP</v>
          </cell>
          <cell r="M348">
            <v>13.713</v>
          </cell>
        </row>
        <row r="349">
          <cell r="D349" t="str">
            <v/>
          </cell>
          <cell r="E349" t="str">
            <v>未核账</v>
          </cell>
        </row>
        <row r="349">
          <cell r="G349" t="str">
            <v>仓租</v>
          </cell>
          <cell r="H349" t="str">
            <v>()</v>
          </cell>
          <cell r="I349" t="str">
            <v>仓储费</v>
          </cell>
          <cell r="J349" t="str">
            <v>OCWSA [4A WS10 UK]</v>
          </cell>
          <cell r="K349" t="str">
            <v>13.713</v>
          </cell>
          <cell r="L349" t="str">
            <v>GBP</v>
          </cell>
          <cell r="M349">
            <v>13.713</v>
          </cell>
        </row>
        <row r="350">
          <cell r="D350" t="str">
            <v/>
          </cell>
          <cell r="E350" t="str">
            <v>未核账</v>
          </cell>
        </row>
        <row r="350">
          <cell r="G350" t="str">
            <v>仓租</v>
          </cell>
          <cell r="H350" t="str">
            <v>()</v>
          </cell>
          <cell r="I350" t="str">
            <v>仓储费</v>
          </cell>
          <cell r="J350" t="str">
            <v>OCWSA [4A WS10 UK]</v>
          </cell>
          <cell r="K350" t="str">
            <v>13.713</v>
          </cell>
          <cell r="L350" t="str">
            <v>GBP</v>
          </cell>
          <cell r="M350">
            <v>13.713</v>
          </cell>
        </row>
        <row r="351">
          <cell r="D351" t="str">
            <v>OJ697077987GB</v>
          </cell>
          <cell r="E351" t="str">
            <v>未核账</v>
          </cell>
        </row>
        <row r="351">
          <cell r="G351" t="str">
            <v>包裹订单</v>
          </cell>
          <cell r="H351" t="str">
            <v>RM_TR48(48可追踪包裹)</v>
          </cell>
          <cell r="I351" t="str">
            <v>仓储操作附加费按重量</v>
          </cell>
          <cell r="J351" t="str">
            <v>OCWSA [4A WS10 UK]</v>
          </cell>
          <cell r="K351" t="str">
            <v>0.070</v>
          </cell>
          <cell r="L351" t="str">
            <v>GBP</v>
          </cell>
          <cell r="M351">
            <v>0.07</v>
          </cell>
        </row>
        <row r="352">
          <cell r="D352" t="str">
            <v>OJ697077987GB</v>
          </cell>
          <cell r="E352" t="str">
            <v>未核账</v>
          </cell>
        </row>
        <row r="352">
          <cell r="G352" t="str">
            <v>包裹订单</v>
          </cell>
          <cell r="H352" t="str">
            <v>RM_TR48(48可追踪包裹)</v>
          </cell>
          <cell r="I352" t="str">
            <v>操作费</v>
          </cell>
          <cell r="J352" t="str">
            <v>OCWSA [4A WS10 UK]</v>
          </cell>
          <cell r="K352" t="str">
            <v>0.400</v>
          </cell>
          <cell r="L352" t="str">
            <v>GBP</v>
          </cell>
          <cell r="M352">
            <v>0.4</v>
          </cell>
        </row>
        <row r="353">
          <cell r="D353" t="str">
            <v>OJ697077987GB</v>
          </cell>
          <cell r="E353" t="str">
            <v>未核账</v>
          </cell>
        </row>
        <row r="353">
          <cell r="G353" t="str">
            <v>包裹订单</v>
          </cell>
          <cell r="H353" t="str">
            <v>RM_TR48(48可追踪包裹)</v>
          </cell>
          <cell r="I353" t="str">
            <v>运输费</v>
          </cell>
          <cell r="J353" t="str">
            <v>OCWSA [4A WS10 UK]</v>
          </cell>
          <cell r="K353" t="str">
            <v>2.490</v>
          </cell>
          <cell r="L353" t="str">
            <v>GBP</v>
          </cell>
          <cell r="M353">
            <v>2.49</v>
          </cell>
        </row>
        <row r="354">
          <cell r="D354" t="str">
            <v>OJ697081071GB</v>
          </cell>
          <cell r="E354" t="str">
            <v>未核账</v>
          </cell>
        </row>
        <row r="354">
          <cell r="G354" t="str">
            <v>包裹订单</v>
          </cell>
          <cell r="H354" t="str">
            <v>RM_TR48(48可追踪包裹)</v>
          </cell>
          <cell r="I354" t="str">
            <v>仓储操作附加费按重量</v>
          </cell>
          <cell r="J354" t="str">
            <v>OCWSA [4A WS10 UK]</v>
          </cell>
          <cell r="K354" t="str">
            <v>0.070</v>
          </cell>
          <cell r="L354" t="str">
            <v>GBP</v>
          </cell>
          <cell r="M354">
            <v>0.07</v>
          </cell>
        </row>
        <row r="355">
          <cell r="D355" t="str">
            <v>OJ697081071GB</v>
          </cell>
          <cell r="E355" t="str">
            <v>未核账</v>
          </cell>
        </row>
        <row r="355">
          <cell r="G355" t="str">
            <v>包裹订单</v>
          </cell>
          <cell r="H355" t="str">
            <v>RM_TR48(48可追踪包裹)</v>
          </cell>
          <cell r="I355" t="str">
            <v>操作费</v>
          </cell>
          <cell r="J355" t="str">
            <v>OCWSA [4A WS10 UK]</v>
          </cell>
          <cell r="K355" t="str">
            <v>0.400</v>
          </cell>
          <cell r="L355" t="str">
            <v>GBP</v>
          </cell>
          <cell r="M355">
            <v>0.4</v>
          </cell>
        </row>
        <row r="356">
          <cell r="D356" t="str">
            <v>OJ697081071GB</v>
          </cell>
          <cell r="E356" t="str">
            <v>未核账</v>
          </cell>
        </row>
        <row r="356">
          <cell r="G356" t="str">
            <v>包裹订单</v>
          </cell>
          <cell r="H356" t="str">
            <v>RM_TR48(48可追踪包裹)</v>
          </cell>
          <cell r="I356" t="str">
            <v>运输费</v>
          </cell>
          <cell r="J356" t="str">
            <v>OCWSA [4A WS10 UK]</v>
          </cell>
          <cell r="K356" t="str">
            <v>2.490</v>
          </cell>
          <cell r="L356" t="str">
            <v>GBP</v>
          </cell>
          <cell r="M356">
            <v>2.49</v>
          </cell>
        </row>
        <row r="357">
          <cell r="D357" t="str">
            <v>OJ696866250GB</v>
          </cell>
          <cell r="E357" t="str">
            <v>未核账</v>
          </cell>
        </row>
        <row r="357">
          <cell r="G357" t="str">
            <v>包裹订单</v>
          </cell>
          <cell r="H357" t="str">
            <v>RM_TR48(48可追踪包裹)</v>
          </cell>
          <cell r="I357" t="str">
            <v>仓储操作附加费按重量</v>
          </cell>
          <cell r="J357" t="str">
            <v>OCWSA [4A WS10 UK]</v>
          </cell>
          <cell r="K357" t="str">
            <v>0.070</v>
          </cell>
          <cell r="L357" t="str">
            <v>GBP</v>
          </cell>
          <cell r="M357">
            <v>0.07</v>
          </cell>
        </row>
        <row r="358">
          <cell r="D358" t="str">
            <v>OJ696866250GB</v>
          </cell>
          <cell r="E358" t="str">
            <v>未核账</v>
          </cell>
        </row>
        <row r="358">
          <cell r="G358" t="str">
            <v>包裹订单</v>
          </cell>
          <cell r="H358" t="str">
            <v>RM_TR48(48可追踪包裹)</v>
          </cell>
          <cell r="I358" t="str">
            <v>操作费</v>
          </cell>
          <cell r="J358" t="str">
            <v>OCWSA [4A WS10 UK]</v>
          </cell>
          <cell r="K358" t="str">
            <v>0.400</v>
          </cell>
          <cell r="L358" t="str">
            <v>GBP</v>
          </cell>
          <cell r="M358">
            <v>0.4</v>
          </cell>
        </row>
        <row r="359">
          <cell r="D359" t="str">
            <v>OJ696866250GB</v>
          </cell>
          <cell r="E359" t="str">
            <v>未核账</v>
          </cell>
        </row>
        <row r="359">
          <cell r="G359" t="str">
            <v>包裹订单</v>
          </cell>
          <cell r="H359" t="str">
            <v>RM_TR48(48可追踪包裹)</v>
          </cell>
          <cell r="I359" t="str">
            <v>运输费</v>
          </cell>
          <cell r="J359" t="str">
            <v>OCWSA [4A WS10 UK]</v>
          </cell>
          <cell r="K359" t="str">
            <v>2.490</v>
          </cell>
          <cell r="L359" t="str">
            <v>GBP</v>
          </cell>
          <cell r="M359">
            <v>2.49</v>
          </cell>
        </row>
        <row r="360">
          <cell r="D360" t="str">
            <v/>
          </cell>
          <cell r="E360" t="str">
            <v>未核账</v>
          </cell>
        </row>
        <row r="360">
          <cell r="G360" t="str">
            <v>仓租</v>
          </cell>
          <cell r="H360" t="str">
            <v>()</v>
          </cell>
          <cell r="I360" t="str">
            <v>仓储费</v>
          </cell>
          <cell r="J360" t="str">
            <v>OCWSA [4A WS10 UK]</v>
          </cell>
          <cell r="K360" t="str">
            <v>13.726</v>
          </cell>
          <cell r="L360" t="str">
            <v>GBP</v>
          </cell>
          <cell r="M360">
            <v>13.726</v>
          </cell>
        </row>
        <row r="361">
          <cell r="D361" t="str">
            <v>OJ696288021GB</v>
          </cell>
          <cell r="E361" t="str">
            <v>未核账</v>
          </cell>
        </row>
        <row r="361">
          <cell r="G361" t="str">
            <v>包裹订单</v>
          </cell>
          <cell r="H361" t="str">
            <v>RM_TR48(48可追踪包裹)</v>
          </cell>
          <cell r="I361" t="str">
            <v>包材费用</v>
          </cell>
          <cell r="J361" t="str">
            <v>OCWSA [4A WS10 UK]</v>
          </cell>
          <cell r="K361" t="str">
            <v>1.000</v>
          </cell>
          <cell r="L361" t="str">
            <v>GBP</v>
          </cell>
          <cell r="M361">
            <v>1</v>
          </cell>
        </row>
        <row r="362">
          <cell r="D362" t="str">
            <v>OJ696288021GB</v>
          </cell>
          <cell r="E362" t="str">
            <v>未核账</v>
          </cell>
        </row>
        <row r="362">
          <cell r="G362" t="str">
            <v>包裹订单</v>
          </cell>
          <cell r="H362" t="str">
            <v>RM_TR48(48可追踪包裹)</v>
          </cell>
          <cell r="I362" t="str">
            <v>操作费</v>
          </cell>
          <cell r="J362" t="str">
            <v>OCWSA [4A WS10 UK]</v>
          </cell>
          <cell r="K362" t="str">
            <v>0.400</v>
          </cell>
          <cell r="L362" t="str">
            <v>GBP</v>
          </cell>
          <cell r="M362">
            <v>0.4</v>
          </cell>
        </row>
        <row r="363">
          <cell r="D363" t="str">
            <v>OJ696288021GB</v>
          </cell>
          <cell r="E363" t="str">
            <v>未核账</v>
          </cell>
        </row>
        <row r="363">
          <cell r="G363" t="str">
            <v>包裹订单</v>
          </cell>
          <cell r="H363" t="str">
            <v>RM_TR48(48可追踪包裹)</v>
          </cell>
          <cell r="I363" t="str">
            <v>运输费</v>
          </cell>
          <cell r="J363" t="str">
            <v>OCWSA [4A WS10 UK]</v>
          </cell>
          <cell r="K363" t="str">
            <v>2.490</v>
          </cell>
          <cell r="L363" t="str">
            <v>GBP</v>
          </cell>
          <cell r="M363">
            <v>2.49</v>
          </cell>
        </row>
        <row r="364">
          <cell r="D364" t="str">
            <v>OJ696288242GB</v>
          </cell>
          <cell r="E364" t="str">
            <v>未核账</v>
          </cell>
        </row>
        <row r="364">
          <cell r="G364" t="str">
            <v>包裹订单</v>
          </cell>
          <cell r="H364" t="str">
            <v>RM_TR48(48可追踪包裹)</v>
          </cell>
          <cell r="I364" t="str">
            <v>包材费用</v>
          </cell>
          <cell r="J364" t="str">
            <v>OCWSA [4A WS10 UK]</v>
          </cell>
          <cell r="K364" t="str">
            <v>1.000</v>
          </cell>
          <cell r="L364" t="str">
            <v>GBP</v>
          </cell>
          <cell r="M364">
            <v>1</v>
          </cell>
        </row>
        <row r="365">
          <cell r="D365" t="str">
            <v>OJ696288242GB</v>
          </cell>
          <cell r="E365" t="str">
            <v>未核账</v>
          </cell>
        </row>
        <row r="365">
          <cell r="G365" t="str">
            <v>包裹订单</v>
          </cell>
          <cell r="H365" t="str">
            <v>RM_TR48(48可追踪包裹)</v>
          </cell>
          <cell r="I365" t="str">
            <v>操作费</v>
          </cell>
          <cell r="J365" t="str">
            <v>OCWSA [4A WS10 UK]</v>
          </cell>
          <cell r="K365" t="str">
            <v>0.400</v>
          </cell>
          <cell r="L365" t="str">
            <v>GBP</v>
          </cell>
          <cell r="M365">
            <v>0.4</v>
          </cell>
        </row>
        <row r="366">
          <cell r="D366" t="str">
            <v>OJ696288242GB</v>
          </cell>
          <cell r="E366" t="str">
            <v>未核账</v>
          </cell>
        </row>
        <row r="366">
          <cell r="G366" t="str">
            <v>包裹订单</v>
          </cell>
          <cell r="H366" t="str">
            <v>RM_TR48(48可追踪包裹)</v>
          </cell>
          <cell r="I366" t="str">
            <v>运输费</v>
          </cell>
          <cell r="J366" t="str">
            <v>OCWSA [4A WS10 UK]</v>
          </cell>
          <cell r="K366" t="str">
            <v>2.490</v>
          </cell>
          <cell r="L366" t="str">
            <v>GBP</v>
          </cell>
          <cell r="M366">
            <v>2.49</v>
          </cell>
        </row>
        <row r="367">
          <cell r="D367" t="str">
            <v>OJ696290100GB</v>
          </cell>
          <cell r="E367" t="str">
            <v>未核账</v>
          </cell>
        </row>
        <row r="367">
          <cell r="G367" t="str">
            <v>包裹订单</v>
          </cell>
          <cell r="H367" t="str">
            <v>RM_TR48(48可追踪包裹)</v>
          </cell>
          <cell r="I367" t="str">
            <v>包材费用</v>
          </cell>
          <cell r="J367" t="str">
            <v>OCWSA [4A WS10 UK]</v>
          </cell>
          <cell r="K367" t="str">
            <v>1.000</v>
          </cell>
          <cell r="L367" t="str">
            <v>GBP</v>
          </cell>
          <cell r="M367">
            <v>1</v>
          </cell>
        </row>
        <row r="368">
          <cell r="D368" t="str">
            <v>OJ696290100GB</v>
          </cell>
          <cell r="E368" t="str">
            <v>未核账</v>
          </cell>
        </row>
        <row r="368">
          <cell r="G368" t="str">
            <v>包裹订单</v>
          </cell>
          <cell r="H368" t="str">
            <v>RM_TR48(48可追踪包裹)</v>
          </cell>
          <cell r="I368" t="str">
            <v>仓储操作附加费按重量</v>
          </cell>
          <cell r="J368" t="str">
            <v>OCWSA [4A WS10 UK]</v>
          </cell>
          <cell r="K368" t="str">
            <v>0.070</v>
          </cell>
          <cell r="L368" t="str">
            <v>GBP</v>
          </cell>
          <cell r="M368">
            <v>0.07</v>
          </cell>
        </row>
        <row r="369">
          <cell r="D369" t="str">
            <v>OJ696290100GB</v>
          </cell>
          <cell r="E369" t="str">
            <v>未核账</v>
          </cell>
        </row>
        <row r="369">
          <cell r="G369" t="str">
            <v>包裹订单</v>
          </cell>
          <cell r="H369" t="str">
            <v>RM_TR48(48可追踪包裹)</v>
          </cell>
          <cell r="I369" t="str">
            <v>操作费</v>
          </cell>
          <cell r="J369" t="str">
            <v>OCWSA [4A WS10 UK]</v>
          </cell>
          <cell r="K369" t="str">
            <v>0.400</v>
          </cell>
          <cell r="L369" t="str">
            <v>GBP</v>
          </cell>
          <cell r="M369">
            <v>0.4</v>
          </cell>
        </row>
        <row r="370">
          <cell r="D370" t="str">
            <v>OJ696290100GB</v>
          </cell>
          <cell r="E370" t="str">
            <v>未核账</v>
          </cell>
        </row>
        <row r="370">
          <cell r="G370" t="str">
            <v>包裹订单</v>
          </cell>
          <cell r="H370" t="str">
            <v>RM_TR48(48可追踪包裹)</v>
          </cell>
          <cell r="I370" t="str">
            <v>运输费</v>
          </cell>
          <cell r="J370" t="str">
            <v>OCWSA [4A WS10 UK]</v>
          </cell>
          <cell r="K370" t="str">
            <v>2.490</v>
          </cell>
          <cell r="L370" t="str">
            <v>GBP</v>
          </cell>
          <cell r="M370">
            <v>2.49</v>
          </cell>
        </row>
        <row r="371">
          <cell r="D371" t="str">
            <v>OJ696594225GB</v>
          </cell>
          <cell r="E371" t="str">
            <v>未核账</v>
          </cell>
        </row>
        <row r="371">
          <cell r="G371" t="str">
            <v>包裹订单</v>
          </cell>
          <cell r="H371" t="str">
            <v>RM_TR48(48可追踪包裹)</v>
          </cell>
          <cell r="I371" t="str">
            <v>包材费用</v>
          </cell>
          <cell r="J371" t="str">
            <v>OCWSA [4A WS10 UK]</v>
          </cell>
          <cell r="K371" t="str">
            <v>1.000</v>
          </cell>
          <cell r="L371" t="str">
            <v>GBP</v>
          </cell>
          <cell r="M371">
            <v>1</v>
          </cell>
        </row>
        <row r="372">
          <cell r="D372" t="str">
            <v>OJ696594225GB</v>
          </cell>
          <cell r="E372" t="str">
            <v>未核账</v>
          </cell>
        </row>
        <row r="372">
          <cell r="G372" t="str">
            <v>包裹订单</v>
          </cell>
          <cell r="H372" t="str">
            <v>RM_TR48(48可追踪包裹)</v>
          </cell>
          <cell r="I372" t="str">
            <v>仓储操作附加费按重量</v>
          </cell>
          <cell r="J372" t="str">
            <v>OCWSA [4A WS10 UK]</v>
          </cell>
          <cell r="K372" t="str">
            <v>0.070</v>
          </cell>
          <cell r="L372" t="str">
            <v>GBP</v>
          </cell>
          <cell r="M372">
            <v>0.07</v>
          </cell>
        </row>
        <row r="373">
          <cell r="D373" t="str">
            <v>OJ696594225GB</v>
          </cell>
          <cell r="E373" t="str">
            <v>未核账</v>
          </cell>
        </row>
        <row r="373">
          <cell r="G373" t="str">
            <v>包裹订单</v>
          </cell>
          <cell r="H373" t="str">
            <v>RM_TR48(48可追踪包裹)</v>
          </cell>
          <cell r="I373" t="str">
            <v>操作费</v>
          </cell>
          <cell r="J373" t="str">
            <v>OCWSA [4A WS10 UK]</v>
          </cell>
          <cell r="K373" t="str">
            <v>0.400</v>
          </cell>
          <cell r="L373" t="str">
            <v>GBP</v>
          </cell>
          <cell r="M373">
            <v>0.4</v>
          </cell>
        </row>
        <row r="374">
          <cell r="D374" t="str">
            <v>OJ696594225GB</v>
          </cell>
          <cell r="E374" t="str">
            <v>未核账</v>
          </cell>
        </row>
        <row r="374">
          <cell r="G374" t="str">
            <v>包裹订单</v>
          </cell>
          <cell r="H374" t="str">
            <v>RM_TR48(48可追踪包裹)</v>
          </cell>
          <cell r="I374" t="str">
            <v>运输费</v>
          </cell>
          <cell r="J374" t="str">
            <v>OCWSA [4A WS10 UK]</v>
          </cell>
          <cell r="K374" t="str">
            <v>2.490</v>
          </cell>
          <cell r="L374" t="str">
            <v>GBP</v>
          </cell>
          <cell r="M374">
            <v>2.49</v>
          </cell>
        </row>
        <row r="375">
          <cell r="D375" t="str">
            <v>OJ696290189GB</v>
          </cell>
          <cell r="E375" t="str">
            <v>未核账</v>
          </cell>
        </row>
        <row r="375">
          <cell r="G375" t="str">
            <v>包裹订单</v>
          </cell>
          <cell r="H375" t="str">
            <v>RM_TR48(48可追踪包裹)</v>
          </cell>
          <cell r="I375" t="str">
            <v>包材费用</v>
          </cell>
          <cell r="J375" t="str">
            <v>OCWSA [4A WS10 UK]</v>
          </cell>
          <cell r="K375" t="str">
            <v>1.000</v>
          </cell>
          <cell r="L375" t="str">
            <v>GBP</v>
          </cell>
          <cell r="M375">
            <v>1</v>
          </cell>
        </row>
        <row r="376">
          <cell r="D376" t="str">
            <v>OJ696290189GB</v>
          </cell>
          <cell r="E376" t="str">
            <v>未核账</v>
          </cell>
        </row>
        <row r="376">
          <cell r="G376" t="str">
            <v>包裹订单</v>
          </cell>
          <cell r="H376" t="str">
            <v>RM_TR48(48可追踪包裹)</v>
          </cell>
          <cell r="I376" t="str">
            <v>仓储操作附加费按重量</v>
          </cell>
          <cell r="J376" t="str">
            <v>OCWSA [4A WS10 UK]</v>
          </cell>
          <cell r="K376" t="str">
            <v>0.070</v>
          </cell>
          <cell r="L376" t="str">
            <v>GBP</v>
          </cell>
          <cell r="M376">
            <v>0.07</v>
          </cell>
        </row>
        <row r="377">
          <cell r="D377" t="str">
            <v>OJ696290189GB</v>
          </cell>
          <cell r="E377" t="str">
            <v>未核账</v>
          </cell>
        </row>
        <row r="377">
          <cell r="G377" t="str">
            <v>包裹订单</v>
          </cell>
          <cell r="H377" t="str">
            <v>RM_TR48(48可追踪包裹)</v>
          </cell>
          <cell r="I377" t="str">
            <v>操作费</v>
          </cell>
          <cell r="J377" t="str">
            <v>OCWSA [4A WS10 UK]</v>
          </cell>
          <cell r="K377" t="str">
            <v>0.400</v>
          </cell>
          <cell r="L377" t="str">
            <v>GBP</v>
          </cell>
          <cell r="M377">
            <v>0.4</v>
          </cell>
        </row>
        <row r="378">
          <cell r="D378" t="str">
            <v>OJ696290189GB</v>
          </cell>
          <cell r="E378" t="str">
            <v>未核账</v>
          </cell>
        </row>
        <row r="378">
          <cell r="G378" t="str">
            <v>包裹订单</v>
          </cell>
          <cell r="H378" t="str">
            <v>RM_TR48(48可追踪包裹)</v>
          </cell>
          <cell r="I378" t="str">
            <v>运输费</v>
          </cell>
          <cell r="J378" t="str">
            <v>OCWSA [4A WS10 UK]</v>
          </cell>
          <cell r="K378" t="str">
            <v>2.490</v>
          </cell>
          <cell r="L378" t="str">
            <v>GBP</v>
          </cell>
          <cell r="M378">
            <v>2.49</v>
          </cell>
        </row>
        <row r="379">
          <cell r="D379" t="str">
            <v/>
          </cell>
          <cell r="E379" t="str">
            <v>未核账</v>
          </cell>
        </row>
        <row r="379">
          <cell r="G379" t="str">
            <v>仓租</v>
          </cell>
          <cell r="H379" t="str">
            <v>()</v>
          </cell>
          <cell r="I379" t="str">
            <v>仓储费</v>
          </cell>
          <cell r="J379" t="str">
            <v>OCWSA [4A WS10 UK]</v>
          </cell>
          <cell r="K379" t="str">
            <v>13.730</v>
          </cell>
          <cell r="L379" t="str">
            <v>GBP</v>
          </cell>
          <cell r="M379">
            <v>13.73</v>
          </cell>
        </row>
        <row r="380">
          <cell r="D380" t="str">
            <v>OJ695435973GB</v>
          </cell>
          <cell r="E380" t="str">
            <v>未核账</v>
          </cell>
        </row>
        <row r="380">
          <cell r="G380" t="str">
            <v>包裹订单</v>
          </cell>
          <cell r="H380" t="str">
            <v>RM_TR48(48可追踪包裹)</v>
          </cell>
          <cell r="I380" t="str">
            <v>操作费</v>
          </cell>
          <cell r="J380" t="str">
            <v>OCWSA [4A WS10 UK]</v>
          </cell>
          <cell r="K380" t="str">
            <v>0.400</v>
          </cell>
          <cell r="L380" t="str">
            <v>GBP</v>
          </cell>
          <cell r="M380">
            <v>0.4</v>
          </cell>
        </row>
        <row r="381">
          <cell r="D381" t="str">
            <v>OJ695435973GB</v>
          </cell>
          <cell r="E381" t="str">
            <v>未核账</v>
          </cell>
        </row>
        <row r="381">
          <cell r="G381" t="str">
            <v>包裹订单</v>
          </cell>
          <cell r="H381" t="str">
            <v>RM_TR48(48可追踪包裹)</v>
          </cell>
          <cell r="I381" t="str">
            <v>运输费</v>
          </cell>
          <cell r="J381" t="str">
            <v>OCWSA [4A WS10 UK]</v>
          </cell>
          <cell r="K381" t="str">
            <v>2.490</v>
          </cell>
          <cell r="L381" t="str">
            <v>GBP</v>
          </cell>
          <cell r="M381">
            <v>2.49</v>
          </cell>
        </row>
        <row r="382">
          <cell r="D382" t="str">
            <v>OJ695435960GB</v>
          </cell>
          <cell r="E382" t="str">
            <v>未核账</v>
          </cell>
        </row>
        <row r="382">
          <cell r="G382" t="str">
            <v>包裹订单</v>
          </cell>
          <cell r="H382" t="str">
            <v>RM_TR48(48可追踪包裹)</v>
          </cell>
          <cell r="I382" t="str">
            <v>仓储操作附加费按重量</v>
          </cell>
          <cell r="J382" t="str">
            <v>OCWSA [4A WS10 UK]</v>
          </cell>
          <cell r="K382" t="str">
            <v>0.070</v>
          </cell>
          <cell r="L382" t="str">
            <v>GBP</v>
          </cell>
          <cell r="M382">
            <v>0.07</v>
          </cell>
        </row>
        <row r="383">
          <cell r="D383" t="str">
            <v>OJ695435960GB</v>
          </cell>
          <cell r="E383" t="str">
            <v>未核账</v>
          </cell>
        </row>
        <row r="383">
          <cell r="G383" t="str">
            <v>包裹订单</v>
          </cell>
          <cell r="H383" t="str">
            <v>RM_TR48(48可追踪包裹)</v>
          </cell>
          <cell r="I383" t="str">
            <v>操作费</v>
          </cell>
          <cell r="J383" t="str">
            <v>OCWSA [4A WS10 UK]</v>
          </cell>
          <cell r="K383" t="str">
            <v>0.400</v>
          </cell>
          <cell r="L383" t="str">
            <v>GBP</v>
          </cell>
          <cell r="M383">
            <v>0.4</v>
          </cell>
        </row>
        <row r="384">
          <cell r="D384" t="str">
            <v>OJ695435960GB</v>
          </cell>
          <cell r="E384" t="str">
            <v>未核账</v>
          </cell>
        </row>
        <row r="384">
          <cell r="G384" t="str">
            <v>包裹订单</v>
          </cell>
          <cell r="H384" t="str">
            <v>RM_TR48(48可追踪包裹)</v>
          </cell>
          <cell r="I384" t="str">
            <v>运输费</v>
          </cell>
          <cell r="J384" t="str">
            <v>OCWSA [4A WS10 UK]</v>
          </cell>
          <cell r="K384" t="str">
            <v>2.490</v>
          </cell>
          <cell r="L384" t="str">
            <v>GBP</v>
          </cell>
          <cell r="M384">
            <v>2.49</v>
          </cell>
        </row>
        <row r="385">
          <cell r="D385" t="str">
            <v>OJ695436024GB</v>
          </cell>
          <cell r="E385" t="str">
            <v>未核账</v>
          </cell>
        </row>
        <row r="385">
          <cell r="G385" t="str">
            <v>包裹订单</v>
          </cell>
          <cell r="H385" t="str">
            <v>RM_TR48(48可追踪包裹)</v>
          </cell>
          <cell r="I385" t="str">
            <v>仓储操作附加费按重量</v>
          </cell>
          <cell r="J385" t="str">
            <v>OCWSA [4A WS10 UK]</v>
          </cell>
          <cell r="K385" t="str">
            <v>0.070</v>
          </cell>
          <cell r="L385" t="str">
            <v>GBP</v>
          </cell>
          <cell r="M385">
            <v>0.07</v>
          </cell>
        </row>
        <row r="386">
          <cell r="D386" t="str">
            <v>OJ695436024GB</v>
          </cell>
          <cell r="E386" t="str">
            <v>未核账</v>
          </cell>
        </row>
        <row r="386">
          <cell r="G386" t="str">
            <v>包裹订单</v>
          </cell>
          <cell r="H386" t="str">
            <v>RM_TR48(48可追踪包裹)</v>
          </cell>
          <cell r="I386" t="str">
            <v>操作费</v>
          </cell>
          <cell r="J386" t="str">
            <v>OCWSA [4A WS10 UK]</v>
          </cell>
          <cell r="K386" t="str">
            <v>0.400</v>
          </cell>
          <cell r="L386" t="str">
            <v>GBP</v>
          </cell>
          <cell r="M386">
            <v>0.4</v>
          </cell>
        </row>
        <row r="387">
          <cell r="D387" t="str">
            <v>OJ695436024GB</v>
          </cell>
          <cell r="E387" t="str">
            <v>未核账</v>
          </cell>
        </row>
        <row r="387">
          <cell r="G387" t="str">
            <v>包裹订单</v>
          </cell>
          <cell r="H387" t="str">
            <v>RM_TR48(48可追踪包裹)</v>
          </cell>
          <cell r="I387" t="str">
            <v>运输费</v>
          </cell>
          <cell r="J387" t="str">
            <v>OCWSA [4A WS10 UK]</v>
          </cell>
          <cell r="K387" t="str">
            <v>2.490</v>
          </cell>
          <cell r="L387" t="str">
            <v>GBP</v>
          </cell>
          <cell r="M387">
            <v>2.49</v>
          </cell>
        </row>
        <row r="388">
          <cell r="D388" t="str">
            <v>OJ695443688GB</v>
          </cell>
          <cell r="E388" t="str">
            <v>未核账</v>
          </cell>
        </row>
        <row r="388">
          <cell r="G388" t="str">
            <v>包裹订单</v>
          </cell>
          <cell r="H388" t="str">
            <v>RM_TR48(48可追踪包裹)</v>
          </cell>
          <cell r="I388" t="str">
            <v>仓储操作附加费按重量</v>
          </cell>
          <cell r="J388" t="str">
            <v>OCWSA [4A WS10 UK]</v>
          </cell>
          <cell r="K388" t="str">
            <v>0.070</v>
          </cell>
          <cell r="L388" t="str">
            <v>GBP</v>
          </cell>
          <cell r="M388">
            <v>0.07</v>
          </cell>
        </row>
        <row r="389">
          <cell r="D389" t="str">
            <v>OJ695443688GB</v>
          </cell>
          <cell r="E389" t="str">
            <v>未核账</v>
          </cell>
        </row>
        <row r="389">
          <cell r="G389" t="str">
            <v>包裹订单</v>
          </cell>
          <cell r="H389" t="str">
            <v>RM_TR48(48可追踪包裹)</v>
          </cell>
          <cell r="I389" t="str">
            <v>操作费</v>
          </cell>
          <cell r="J389" t="str">
            <v>OCWSA [4A WS10 UK]</v>
          </cell>
          <cell r="K389" t="str">
            <v>0.400</v>
          </cell>
          <cell r="L389" t="str">
            <v>GBP</v>
          </cell>
          <cell r="M389">
            <v>0.4</v>
          </cell>
        </row>
        <row r="390">
          <cell r="D390" t="str">
            <v>OJ695443688GB</v>
          </cell>
          <cell r="E390" t="str">
            <v>未核账</v>
          </cell>
        </row>
        <row r="390">
          <cell r="G390" t="str">
            <v>包裹订单</v>
          </cell>
          <cell r="H390" t="str">
            <v>RM_TR48(48可追踪包裹)</v>
          </cell>
          <cell r="I390" t="str">
            <v>运输费</v>
          </cell>
          <cell r="J390" t="str">
            <v>OCWSA [4A WS10 UK]</v>
          </cell>
          <cell r="K390" t="str">
            <v>2.490</v>
          </cell>
          <cell r="L390" t="str">
            <v>GBP</v>
          </cell>
          <cell r="M390">
            <v>2.49</v>
          </cell>
        </row>
        <row r="391">
          <cell r="D391" t="str">
            <v>OJ695443665GB</v>
          </cell>
          <cell r="E391" t="str">
            <v>未核账</v>
          </cell>
        </row>
        <row r="391">
          <cell r="G391" t="str">
            <v>包裹订单</v>
          </cell>
          <cell r="H391" t="str">
            <v>RM_TR48(48可追踪包裹)</v>
          </cell>
          <cell r="I391" t="str">
            <v>仓储操作附加费按重量</v>
          </cell>
          <cell r="J391" t="str">
            <v>OCWSA [4A WS10 UK]</v>
          </cell>
          <cell r="K391" t="str">
            <v>0.070</v>
          </cell>
          <cell r="L391" t="str">
            <v>GBP</v>
          </cell>
          <cell r="M391">
            <v>0.07</v>
          </cell>
        </row>
        <row r="392">
          <cell r="D392" t="str">
            <v>OJ695443665GB</v>
          </cell>
          <cell r="E392" t="str">
            <v>未核账</v>
          </cell>
        </row>
        <row r="392">
          <cell r="G392" t="str">
            <v>包裹订单</v>
          </cell>
          <cell r="H392" t="str">
            <v>RM_TR48(48可追踪包裹)</v>
          </cell>
          <cell r="I392" t="str">
            <v>操作费</v>
          </cell>
          <cell r="J392" t="str">
            <v>OCWSA [4A WS10 UK]</v>
          </cell>
          <cell r="K392" t="str">
            <v>0.400</v>
          </cell>
          <cell r="L392" t="str">
            <v>GBP</v>
          </cell>
          <cell r="M392">
            <v>0.4</v>
          </cell>
        </row>
        <row r="393">
          <cell r="D393" t="str">
            <v>OJ695443665GB</v>
          </cell>
          <cell r="E393" t="str">
            <v>未核账</v>
          </cell>
        </row>
        <row r="393">
          <cell r="G393" t="str">
            <v>包裹订单</v>
          </cell>
          <cell r="H393" t="str">
            <v>RM_TR48(48可追踪包裹)</v>
          </cell>
          <cell r="I393" t="str">
            <v>运输费</v>
          </cell>
          <cell r="J393" t="str">
            <v>OCWSA [4A WS10 UK]</v>
          </cell>
          <cell r="K393" t="str">
            <v>2.490</v>
          </cell>
          <cell r="L393" t="str">
            <v>GBP</v>
          </cell>
          <cell r="M393">
            <v>2.49</v>
          </cell>
        </row>
        <row r="394">
          <cell r="D394" t="str">
            <v/>
          </cell>
          <cell r="E394" t="str">
            <v>未核账</v>
          </cell>
        </row>
        <row r="394">
          <cell r="G394" t="str">
            <v>仓租</v>
          </cell>
          <cell r="H394" t="str">
            <v>()</v>
          </cell>
          <cell r="I394" t="str">
            <v>仓储费</v>
          </cell>
          <cell r="J394" t="str">
            <v>OCWSA [4A WS10 UK]</v>
          </cell>
          <cell r="K394" t="str">
            <v>13.743</v>
          </cell>
          <cell r="L394" t="str">
            <v>GBP</v>
          </cell>
          <cell r="M394">
            <v>13.743</v>
          </cell>
        </row>
        <row r="395">
          <cell r="D395" t="str">
            <v>OJ694504978GB</v>
          </cell>
          <cell r="E395" t="str">
            <v>未核账</v>
          </cell>
        </row>
        <row r="395">
          <cell r="G395" t="str">
            <v>包裹订单</v>
          </cell>
          <cell r="H395" t="str">
            <v>RM_TR48(48可追踪包裹)</v>
          </cell>
          <cell r="I395" t="str">
            <v>仓储操作附加费按重量</v>
          </cell>
          <cell r="J395" t="str">
            <v>OCWSA [4A WS10 UK]</v>
          </cell>
          <cell r="K395" t="str">
            <v>0.070</v>
          </cell>
          <cell r="L395" t="str">
            <v>GBP</v>
          </cell>
          <cell r="M395">
            <v>0.07</v>
          </cell>
        </row>
        <row r="396">
          <cell r="D396" t="str">
            <v>OJ694504978GB</v>
          </cell>
          <cell r="E396" t="str">
            <v>未核账</v>
          </cell>
        </row>
        <row r="396">
          <cell r="G396" t="str">
            <v>包裹订单</v>
          </cell>
          <cell r="H396" t="str">
            <v>RM_TR48(48可追踪包裹)</v>
          </cell>
          <cell r="I396" t="str">
            <v>操作费</v>
          </cell>
          <cell r="J396" t="str">
            <v>OCWSA [4A WS10 UK]</v>
          </cell>
          <cell r="K396" t="str">
            <v>0.400</v>
          </cell>
          <cell r="L396" t="str">
            <v>GBP</v>
          </cell>
          <cell r="M396">
            <v>0.4</v>
          </cell>
        </row>
        <row r="397">
          <cell r="D397" t="str">
            <v>OJ694504978GB</v>
          </cell>
          <cell r="E397" t="str">
            <v>未核账</v>
          </cell>
        </row>
        <row r="397">
          <cell r="G397" t="str">
            <v>包裹订单</v>
          </cell>
          <cell r="H397" t="str">
            <v>RM_TR48(48可追踪包裹)</v>
          </cell>
          <cell r="I397" t="str">
            <v>运输费</v>
          </cell>
          <cell r="J397" t="str">
            <v>OCWSA [4A WS10 UK]</v>
          </cell>
          <cell r="K397" t="str">
            <v>2.490</v>
          </cell>
          <cell r="L397" t="str">
            <v>GBP</v>
          </cell>
          <cell r="M397">
            <v>2.49</v>
          </cell>
        </row>
        <row r="398">
          <cell r="D398" t="str">
            <v>OJ692018488GB</v>
          </cell>
          <cell r="E398" t="str">
            <v>未核账</v>
          </cell>
        </row>
        <row r="398">
          <cell r="G398" t="str">
            <v>包裹订单</v>
          </cell>
          <cell r="H398" t="str">
            <v>RM_TR48(48可追踪包裹)</v>
          </cell>
          <cell r="I398" t="str">
            <v>仓储操作附加费按重量</v>
          </cell>
          <cell r="J398" t="str">
            <v>OCWSA [4A WS10 UK]</v>
          </cell>
          <cell r="K398" t="str">
            <v>0.070</v>
          </cell>
          <cell r="L398" t="str">
            <v>GBP</v>
          </cell>
          <cell r="M398">
            <v>0.07</v>
          </cell>
        </row>
        <row r="399">
          <cell r="D399" t="str">
            <v>OJ692018488GB</v>
          </cell>
          <cell r="E399" t="str">
            <v>未核账</v>
          </cell>
        </row>
        <row r="399">
          <cell r="G399" t="str">
            <v>包裹订单</v>
          </cell>
          <cell r="H399" t="str">
            <v>RM_TR48(48可追踪包裹)</v>
          </cell>
          <cell r="I399" t="str">
            <v>操作费</v>
          </cell>
          <cell r="J399" t="str">
            <v>OCWSA [4A WS10 UK]</v>
          </cell>
          <cell r="K399" t="str">
            <v>0.400</v>
          </cell>
          <cell r="L399" t="str">
            <v>GBP</v>
          </cell>
          <cell r="M399">
            <v>0.4</v>
          </cell>
        </row>
        <row r="400">
          <cell r="D400" t="str">
            <v>OJ692018488GB</v>
          </cell>
          <cell r="E400" t="str">
            <v>未核账</v>
          </cell>
        </row>
        <row r="400">
          <cell r="G400" t="str">
            <v>包裹订单</v>
          </cell>
          <cell r="H400" t="str">
            <v>RM_TR48(48可追踪包裹)</v>
          </cell>
          <cell r="I400" t="str">
            <v>运输费</v>
          </cell>
          <cell r="J400" t="str">
            <v>OCWSA [4A WS10 UK]</v>
          </cell>
          <cell r="K400" t="str">
            <v>2.490</v>
          </cell>
          <cell r="L400" t="str">
            <v>GBP</v>
          </cell>
          <cell r="M400">
            <v>2.49</v>
          </cell>
        </row>
        <row r="401">
          <cell r="D401" t="str">
            <v>OJ693385948GB</v>
          </cell>
          <cell r="E401" t="str">
            <v>未核账</v>
          </cell>
        </row>
        <row r="401">
          <cell r="G401" t="str">
            <v>包裹订单</v>
          </cell>
          <cell r="H401" t="str">
            <v>RM_TR48(48可追踪包裹)</v>
          </cell>
          <cell r="I401" t="str">
            <v>仓储操作附加费按重量</v>
          </cell>
          <cell r="J401" t="str">
            <v>OCWSA [4A WS10 UK]</v>
          </cell>
          <cell r="K401" t="str">
            <v>0.070</v>
          </cell>
          <cell r="L401" t="str">
            <v>GBP</v>
          </cell>
          <cell r="M401">
            <v>0.07</v>
          </cell>
        </row>
        <row r="402">
          <cell r="D402" t="str">
            <v>OJ693385948GB</v>
          </cell>
          <cell r="E402" t="str">
            <v>未核账</v>
          </cell>
        </row>
        <row r="402">
          <cell r="G402" t="str">
            <v>包裹订单</v>
          </cell>
          <cell r="H402" t="str">
            <v>RM_TR48(48可追踪包裹)</v>
          </cell>
          <cell r="I402" t="str">
            <v>操作费</v>
          </cell>
          <cell r="J402" t="str">
            <v>OCWSA [4A WS10 UK]</v>
          </cell>
          <cell r="K402" t="str">
            <v>0.400</v>
          </cell>
          <cell r="L402" t="str">
            <v>GBP</v>
          </cell>
          <cell r="M402">
            <v>0.4</v>
          </cell>
        </row>
        <row r="403">
          <cell r="D403" t="str">
            <v>OJ693385948GB</v>
          </cell>
          <cell r="E403" t="str">
            <v>未核账</v>
          </cell>
        </row>
        <row r="403">
          <cell r="G403" t="str">
            <v>包裹订单</v>
          </cell>
          <cell r="H403" t="str">
            <v>RM_TR48(48可追踪包裹)</v>
          </cell>
          <cell r="I403" t="str">
            <v>运输费</v>
          </cell>
          <cell r="J403" t="str">
            <v>OCWSA [4A WS10 UK]</v>
          </cell>
          <cell r="K403" t="str">
            <v>2.490</v>
          </cell>
          <cell r="L403" t="str">
            <v>GBP</v>
          </cell>
          <cell r="M403">
            <v>2.49</v>
          </cell>
        </row>
        <row r="404">
          <cell r="D404" t="str">
            <v>OJ692024523GB</v>
          </cell>
          <cell r="E404" t="str">
            <v>未核账</v>
          </cell>
        </row>
        <row r="404">
          <cell r="G404" t="str">
            <v>包裹订单</v>
          </cell>
          <cell r="H404" t="str">
            <v>RM_TR48(48可追踪包裹)</v>
          </cell>
          <cell r="I404" t="str">
            <v>仓储操作附加费按重量</v>
          </cell>
          <cell r="J404" t="str">
            <v>OCWSA [4A WS10 UK]</v>
          </cell>
          <cell r="K404" t="str">
            <v>0.070</v>
          </cell>
          <cell r="L404" t="str">
            <v>GBP</v>
          </cell>
          <cell r="M404">
            <v>0.07</v>
          </cell>
        </row>
        <row r="405">
          <cell r="D405" t="str">
            <v>OJ692024523GB</v>
          </cell>
          <cell r="E405" t="str">
            <v>未核账</v>
          </cell>
        </row>
        <row r="405">
          <cell r="G405" t="str">
            <v>包裹订单</v>
          </cell>
          <cell r="H405" t="str">
            <v>RM_TR48(48可追踪包裹)</v>
          </cell>
          <cell r="I405" t="str">
            <v>操作费</v>
          </cell>
          <cell r="J405" t="str">
            <v>OCWSA [4A WS10 UK]</v>
          </cell>
          <cell r="K405" t="str">
            <v>0.400</v>
          </cell>
          <cell r="L405" t="str">
            <v>GBP</v>
          </cell>
          <cell r="M405">
            <v>0.4</v>
          </cell>
        </row>
        <row r="406">
          <cell r="D406" t="str">
            <v>OJ692024523GB</v>
          </cell>
          <cell r="E406" t="str">
            <v>未核账</v>
          </cell>
        </row>
        <row r="406">
          <cell r="G406" t="str">
            <v>包裹订单</v>
          </cell>
          <cell r="H406" t="str">
            <v>RM_TR48(48可追踪包裹)</v>
          </cell>
          <cell r="I406" t="str">
            <v>运输费</v>
          </cell>
          <cell r="J406" t="str">
            <v>OCWSA [4A WS10 UK]</v>
          </cell>
          <cell r="K406" t="str">
            <v>2.490</v>
          </cell>
          <cell r="L406" t="str">
            <v>GBP</v>
          </cell>
          <cell r="M406">
            <v>2.49</v>
          </cell>
        </row>
        <row r="407">
          <cell r="D407" t="str">
            <v>OJ693927555GB</v>
          </cell>
          <cell r="E407" t="str">
            <v>未核账</v>
          </cell>
        </row>
        <row r="407">
          <cell r="G407" t="str">
            <v>包裹订单</v>
          </cell>
          <cell r="H407" t="str">
            <v>RM_TR48(48可追踪包裹)</v>
          </cell>
          <cell r="I407" t="str">
            <v>仓储操作附加费按重量</v>
          </cell>
          <cell r="J407" t="str">
            <v>OCWSA [4A WS10 UK]</v>
          </cell>
          <cell r="K407" t="str">
            <v>0.070</v>
          </cell>
          <cell r="L407" t="str">
            <v>GBP</v>
          </cell>
          <cell r="M407">
            <v>0.07</v>
          </cell>
        </row>
        <row r="408">
          <cell r="D408" t="str">
            <v>OJ693927555GB</v>
          </cell>
          <cell r="E408" t="str">
            <v>未核账</v>
          </cell>
        </row>
        <row r="408">
          <cell r="G408" t="str">
            <v>包裹订单</v>
          </cell>
          <cell r="H408" t="str">
            <v>RM_TR48(48可追踪包裹)</v>
          </cell>
          <cell r="I408" t="str">
            <v>操作费</v>
          </cell>
          <cell r="J408" t="str">
            <v>OCWSA [4A WS10 UK]</v>
          </cell>
          <cell r="K408" t="str">
            <v>0.400</v>
          </cell>
          <cell r="L408" t="str">
            <v>GBP</v>
          </cell>
          <cell r="M408">
            <v>0.4</v>
          </cell>
        </row>
        <row r="409">
          <cell r="D409" t="str">
            <v>OJ693927555GB</v>
          </cell>
          <cell r="E409" t="str">
            <v>未核账</v>
          </cell>
        </row>
        <row r="409">
          <cell r="G409" t="str">
            <v>包裹订单</v>
          </cell>
          <cell r="H409" t="str">
            <v>RM_TR48(48可追踪包裹)</v>
          </cell>
          <cell r="I409" t="str">
            <v>运输费</v>
          </cell>
          <cell r="J409" t="str">
            <v>OCWSA [4A WS10 UK]</v>
          </cell>
          <cell r="K409" t="str">
            <v>2.490</v>
          </cell>
          <cell r="L409" t="str">
            <v>GBP</v>
          </cell>
          <cell r="M409">
            <v>2.49</v>
          </cell>
        </row>
        <row r="410">
          <cell r="D410" t="str">
            <v>OJ693390727GB</v>
          </cell>
          <cell r="E410" t="str">
            <v>未核账</v>
          </cell>
        </row>
        <row r="410">
          <cell r="G410" t="str">
            <v>包裹订单</v>
          </cell>
          <cell r="H410" t="str">
            <v>RM_TR48(48可追踪包裹)</v>
          </cell>
          <cell r="I410" t="str">
            <v>仓储操作附加费按重量</v>
          </cell>
          <cell r="J410" t="str">
            <v>OCWSA [4A WS10 UK]</v>
          </cell>
          <cell r="K410" t="str">
            <v>0.070</v>
          </cell>
          <cell r="L410" t="str">
            <v>GBP</v>
          </cell>
          <cell r="M410">
            <v>0.07</v>
          </cell>
        </row>
        <row r="411">
          <cell r="D411" t="str">
            <v>OJ693390727GB</v>
          </cell>
          <cell r="E411" t="str">
            <v>未核账</v>
          </cell>
        </row>
        <row r="411">
          <cell r="G411" t="str">
            <v>包裹订单</v>
          </cell>
          <cell r="H411" t="str">
            <v>RM_TR48(48可追踪包裹)</v>
          </cell>
          <cell r="I411" t="str">
            <v>操作费</v>
          </cell>
          <cell r="J411" t="str">
            <v>OCWSA [4A WS10 UK]</v>
          </cell>
          <cell r="K411" t="str">
            <v>0.400</v>
          </cell>
          <cell r="L411" t="str">
            <v>GBP</v>
          </cell>
          <cell r="M411">
            <v>0.4</v>
          </cell>
        </row>
        <row r="412">
          <cell r="D412" t="str">
            <v>OJ693390727GB</v>
          </cell>
          <cell r="E412" t="str">
            <v>未核账</v>
          </cell>
        </row>
        <row r="412">
          <cell r="G412" t="str">
            <v>包裹订单</v>
          </cell>
          <cell r="H412" t="str">
            <v>RM_TR48(48可追踪包裹)</v>
          </cell>
          <cell r="I412" t="str">
            <v>运输费</v>
          </cell>
          <cell r="J412" t="str">
            <v>OCWSA [4A WS10 UK]</v>
          </cell>
          <cell r="K412" t="str">
            <v>2.490</v>
          </cell>
          <cell r="L412" t="str">
            <v>GBP</v>
          </cell>
          <cell r="M412">
            <v>2.49</v>
          </cell>
        </row>
        <row r="413">
          <cell r="D413" t="str">
            <v>OJ692018491GB</v>
          </cell>
          <cell r="E413" t="str">
            <v>未核账</v>
          </cell>
        </row>
        <row r="413">
          <cell r="G413" t="str">
            <v>包裹订单</v>
          </cell>
          <cell r="H413" t="str">
            <v>RM_TR48(48可追踪包裹)</v>
          </cell>
          <cell r="I413" t="str">
            <v>仓储操作附加费按重量</v>
          </cell>
          <cell r="J413" t="str">
            <v>OCWSA [4A WS10 UK]</v>
          </cell>
          <cell r="K413" t="str">
            <v>0.070</v>
          </cell>
          <cell r="L413" t="str">
            <v>GBP</v>
          </cell>
          <cell r="M413">
            <v>0.07</v>
          </cell>
        </row>
        <row r="414">
          <cell r="D414" t="str">
            <v>OJ692018491GB</v>
          </cell>
          <cell r="E414" t="str">
            <v>未核账</v>
          </cell>
        </row>
        <row r="414">
          <cell r="G414" t="str">
            <v>包裹订单</v>
          </cell>
          <cell r="H414" t="str">
            <v>RM_TR48(48可追踪包裹)</v>
          </cell>
          <cell r="I414" t="str">
            <v>操作费</v>
          </cell>
          <cell r="J414" t="str">
            <v>OCWSA [4A WS10 UK]</v>
          </cell>
          <cell r="K414" t="str">
            <v>0.400</v>
          </cell>
          <cell r="L414" t="str">
            <v>GBP</v>
          </cell>
          <cell r="M414">
            <v>0.4</v>
          </cell>
        </row>
        <row r="415">
          <cell r="D415" t="str">
            <v>OJ692018491GB</v>
          </cell>
          <cell r="E415" t="str">
            <v>未核账</v>
          </cell>
        </row>
        <row r="415">
          <cell r="G415" t="str">
            <v>包裹订单</v>
          </cell>
          <cell r="H415" t="str">
            <v>RM_TR48(48可追踪包裹)</v>
          </cell>
          <cell r="I415" t="str">
            <v>运输费</v>
          </cell>
          <cell r="J415" t="str">
            <v>OCWSA [4A WS10 UK]</v>
          </cell>
          <cell r="K415" t="str">
            <v>2.490</v>
          </cell>
          <cell r="L415" t="str">
            <v>GBP</v>
          </cell>
          <cell r="M415">
            <v>2.49</v>
          </cell>
        </row>
        <row r="416">
          <cell r="D416" t="str">
            <v/>
          </cell>
          <cell r="E416" t="str">
            <v>未核账</v>
          </cell>
        </row>
        <row r="416">
          <cell r="G416" t="str">
            <v>仓租</v>
          </cell>
          <cell r="H416" t="str">
            <v>()</v>
          </cell>
          <cell r="I416" t="str">
            <v>仓储费</v>
          </cell>
          <cell r="J416" t="str">
            <v>OCWSA [4A WS10 UK]</v>
          </cell>
          <cell r="K416" t="str">
            <v>13.811</v>
          </cell>
          <cell r="L416" t="str">
            <v>GBP</v>
          </cell>
          <cell r="M416">
            <v>13.811</v>
          </cell>
        </row>
        <row r="417">
          <cell r="D417" t="str">
            <v/>
          </cell>
          <cell r="E417" t="str">
            <v>未核账</v>
          </cell>
        </row>
        <row r="417">
          <cell r="G417" t="str">
            <v>仓租</v>
          </cell>
          <cell r="H417" t="str">
            <v>()</v>
          </cell>
          <cell r="I417" t="str">
            <v>仓储费</v>
          </cell>
          <cell r="J417" t="str">
            <v>OCWSA [4A WS10 UK]</v>
          </cell>
          <cell r="K417" t="str">
            <v>13.811</v>
          </cell>
          <cell r="L417" t="str">
            <v>GBP</v>
          </cell>
          <cell r="M417">
            <v>13.811</v>
          </cell>
        </row>
        <row r="418">
          <cell r="D418" t="str">
            <v/>
          </cell>
          <cell r="E418" t="str">
            <v>未核账</v>
          </cell>
        </row>
        <row r="418">
          <cell r="G418" t="str">
            <v>仓租</v>
          </cell>
          <cell r="H418" t="str">
            <v>()</v>
          </cell>
          <cell r="I418" t="str">
            <v>仓储费</v>
          </cell>
          <cell r="J418" t="str">
            <v>OCWSA [4A WS10 UK]</v>
          </cell>
          <cell r="K418" t="str">
            <v>13.811</v>
          </cell>
          <cell r="L418" t="str">
            <v>GBP</v>
          </cell>
          <cell r="M418">
            <v>13.811</v>
          </cell>
        </row>
        <row r="419">
          <cell r="D419" t="str">
            <v/>
          </cell>
          <cell r="E419" t="str">
            <v>未核账</v>
          </cell>
        </row>
        <row r="419">
          <cell r="G419" t="str">
            <v>仓租</v>
          </cell>
          <cell r="H419" t="str">
            <v>()</v>
          </cell>
          <cell r="I419" t="str">
            <v>仓储费</v>
          </cell>
          <cell r="J419" t="str">
            <v>OCWSA [4A WS10 UK]</v>
          </cell>
          <cell r="K419" t="str">
            <v>13.811</v>
          </cell>
          <cell r="L419" t="str">
            <v>GBP</v>
          </cell>
          <cell r="M419">
            <v>13.811</v>
          </cell>
        </row>
        <row r="420">
          <cell r="D420" t="str">
            <v>OJ690885689GB</v>
          </cell>
          <cell r="E420" t="str">
            <v>未核账</v>
          </cell>
        </row>
        <row r="420">
          <cell r="G420" t="str">
            <v>包裹订单</v>
          </cell>
          <cell r="H420" t="str">
            <v>RM_TR48(48可追踪包裹)</v>
          </cell>
          <cell r="I420" t="str">
            <v>操作费</v>
          </cell>
          <cell r="J420" t="str">
            <v>OCWSA [4A WS10 UK]</v>
          </cell>
          <cell r="K420" t="str">
            <v>0.400</v>
          </cell>
          <cell r="L420" t="str">
            <v>GBP</v>
          </cell>
          <cell r="M420">
            <v>0.4</v>
          </cell>
        </row>
        <row r="421">
          <cell r="D421" t="str">
            <v>OJ690885689GB</v>
          </cell>
          <cell r="E421" t="str">
            <v>未核账</v>
          </cell>
        </row>
        <row r="421">
          <cell r="G421" t="str">
            <v>包裹订单</v>
          </cell>
          <cell r="H421" t="str">
            <v>RM_TR48(48可追踪包裹)</v>
          </cell>
          <cell r="I421" t="str">
            <v>运输费</v>
          </cell>
          <cell r="J421" t="str">
            <v>OCWSA [4A WS10 UK]</v>
          </cell>
          <cell r="K421" t="str">
            <v>2.490</v>
          </cell>
          <cell r="L421" t="str">
            <v>GBP</v>
          </cell>
          <cell r="M421">
            <v>2.49</v>
          </cell>
        </row>
        <row r="422">
          <cell r="D422" t="str">
            <v/>
          </cell>
          <cell r="E422" t="str">
            <v>未核账</v>
          </cell>
        </row>
        <row r="422">
          <cell r="G422" t="str">
            <v>仓租</v>
          </cell>
          <cell r="H422" t="str">
            <v>()</v>
          </cell>
          <cell r="I422" t="str">
            <v>仓储费</v>
          </cell>
          <cell r="J422" t="str">
            <v>OCWSA [4A WS10 UK]</v>
          </cell>
          <cell r="K422" t="str">
            <v>13.811</v>
          </cell>
          <cell r="L422" t="str">
            <v>GBP</v>
          </cell>
          <cell r="M422">
            <v>13.811</v>
          </cell>
        </row>
        <row r="423">
          <cell r="D423" t="str">
            <v>OJ690717102GB</v>
          </cell>
          <cell r="E423" t="str">
            <v>未核账</v>
          </cell>
        </row>
        <row r="423">
          <cell r="G423" t="str">
            <v>包裹订单</v>
          </cell>
          <cell r="H423" t="str">
            <v>RM_TR48(48可追踪包裹)</v>
          </cell>
          <cell r="I423" t="str">
            <v>仓储操作附加费按重量</v>
          </cell>
          <cell r="J423" t="str">
            <v>OCWSA [4A WS10 UK]</v>
          </cell>
          <cell r="K423" t="str">
            <v>0.070</v>
          </cell>
          <cell r="L423" t="str">
            <v>GBP</v>
          </cell>
          <cell r="M423">
            <v>0.07</v>
          </cell>
        </row>
        <row r="424">
          <cell r="D424" t="str">
            <v>OJ690717102GB</v>
          </cell>
          <cell r="E424" t="str">
            <v>未核账</v>
          </cell>
        </row>
        <row r="424">
          <cell r="G424" t="str">
            <v>包裹订单</v>
          </cell>
          <cell r="H424" t="str">
            <v>RM_TR48(48可追踪包裹)</v>
          </cell>
          <cell r="I424" t="str">
            <v>操作费</v>
          </cell>
          <cell r="J424" t="str">
            <v>OCWSA [4A WS10 UK]</v>
          </cell>
          <cell r="K424" t="str">
            <v>0.400</v>
          </cell>
          <cell r="L424" t="str">
            <v>GBP</v>
          </cell>
          <cell r="M424">
            <v>0.4</v>
          </cell>
        </row>
        <row r="425">
          <cell r="D425" t="str">
            <v>OJ690717102GB</v>
          </cell>
          <cell r="E425" t="str">
            <v>未核账</v>
          </cell>
        </row>
        <row r="425">
          <cell r="G425" t="str">
            <v>包裹订单</v>
          </cell>
          <cell r="H425" t="str">
            <v>RM_TR48(48可追踪包裹)</v>
          </cell>
          <cell r="I425" t="str">
            <v>运输费</v>
          </cell>
          <cell r="J425" t="str">
            <v>OCWSA [4A WS10 UK]</v>
          </cell>
          <cell r="K425" t="str">
            <v>2.490</v>
          </cell>
          <cell r="L425" t="str">
            <v>GBP</v>
          </cell>
          <cell r="M425">
            <v>2.49</v>
          </cell>
        </row>
        <row r="426">
          <cell r="D426" t="str">
            <v>OJ690196273GB</v>
          </cell>
          <cell r="E426" t="str">
            <v>未核账</v>
          </cell>
        </row>
        <row r="426">
          <cell r="G426" t="str">
            <v>包裹订单</v>
          </cell>
          <cell r="H426" t="str">
            <v>RM_TR48(48可追踪包裹)</v>
          </cell>
          <cell r="I426" t="str">
            <v>操作费</v>
          </cell>
          <cell r="J426" t="str">
            <v>OCWSA [4A WS10 UK]</v>
          </cell>
          <cell r="K426" t="str">
            <v>0.400</v>
          </cell>
          <cell r="L426" t="str">
            <v>GBP</v>
          </cell>
          <cell r="M426">
            <v>0.4</v>
          </cell>
        </row>
        <row r="427">
          <cell r="D427" t="str">
            <v>OJ690196273GB</v>
          </cell>
          <cell r="E427" t="str">
            <v>未核账</v>
          </cell>
        </row>
        <row r="427">
          <cell r="G427" t="str">
            <v>包裹订单</v>
          </cell>
          <cell r="H427" t="str">
            <v>RM_TR48(48可追踪包裹)</v>
          </cell>
          <cell r="I427" t="str">
            <v>运输费</v>
          </cell>
          <cell r="J427" t="str">
            <v>OCWSA [4A WS10 UK]</v>
          </cell>
          <cell r="K427" t="str">
            <v>2.490</v>
          </cell>
          <cell r="L427" t="str">
            <v>GBP</v>
          </cell>
          <cell r="M427">
            <v>2.49</v>
          </cell>
        </row>
        <row r="428">
          <cell r="D428" t="str">
            <v>OJ690174701GB</v>
          </cell>
          <cell r="E428" t="str">
            <v>未核账</v>
          </cell>
        </row>
        <row r="428">
          <cell r="G428" t="str">
            <v>包裹订单</v>
          </cell>
          <cell r="H428" t="str">
            <v>RM_TR48(48可追踪包裹)</v>
          </cell>
          <cell r="I428" t="str">
            <v>包材费用</v>
          </cell>
          <cell r="J428" t="str">
            <v>OCWSA [4A WS10 UK]</v>
          </cell>
          <cell r="K428" t="str">
            <v>1.000</v>
          </cell>
          <cell r="L428" t="str">
            <v>GBP</v>
          </cell>
          <cell r="M428">
            <v>1</v>
          </cell>
        </row>
        <row r="429">
          <cell r="D429" t="str">
            <v>OJ690174701GB</v>
          </cell>
          <cell r="E429" t="str">
            <v>未核账</v>
          </cell>
        </row>
        <row r="429">
          <cell r="G429" t="str">
            <v>包裹订单</v>
          </cell>
          <cell r="H429" t="str">
            <v>RM_TR48(48可追踪包裹)</v>
          </cell>
          <cell r="I429" t="str">
            <v>仓储操作附加费按重量</v>
          </cell>
          <cell r="J429" t="str">
            <v>OCWSA [4A WS10 UK]</v>
          </cell>
          <cell r="K429" t="str">
            <v>0.070</v>
          </cell>
          <cell r="L429" t="str">
            <v>GBP</v>
          </cell>
          <cell r="M429">
            <v>0.07</v>
          </cell>
        </row>
        <row r="430">
          <cell r="D430" t="str">
            <v>OJ690174701GB</v>
          </cell>
          <cell r="E430" t="str">
            <v>未核账</v>
          </cell>
        </row>
        <row r="430">
          <cell r="G430" t="str">
            <v>包裹订单</v>
          </cell>
          <cell r="H430" t="str">
            <v>RM_TR48(48可追踪包裹)</v>
          </cell>
          <cell r="I430" t="str">
            <v>操作费</v>
          </cell>
          <cell r="J430" t="str">
            <v>OCWSA [4A WS10 UK]</v>
          </cell>
          <cell r="K430" t="str">
            <v>0.400</v>
          </cell>
          <cell r="L430" t="str">
            <v>GBP</v>
          </cell>
          <cell r="M430">
            <v>0.4</v>
          </cell>
        </row>
        <row r="431">
          <cell r="D431" t="str">
            <v>OJ690174701GB</v>
          </cell>
          <cell r="E431" t="str">
            <v>未核账</v>
          </cell>
        </row>
        <row r="431">
          <cell r="G431" t="str">
            <v>包裹订单</v>
          </cell>
          <cell r="H431" t="str">
            <v>RM_TR48(48可追踪包裹)</v>
          </cell>
          <cell r="I431" t="str">
            <v>运输费</v>
          </cell>
          <cell r="J431" t="str">
            <v>OCWSA [4A WS10 UK]</v>
          </cell>
          <cell r="K431" t="str">
            <v>2.490</v>
          </cell>
          <cell r="L431" t="str">
            <v>GBP</v>
          </cell>
          <cell r="M431">
            <v>2.49</v>
          </cell>
        </row>
        <row r="432">
          <cell r="D432" t="str">
            <v>OJ689819197GB</v>
          </cell>
          <cell r="E432" t="str">
            <v>未核账</v>
          </cell>
        </row>
        <row r="432">
          <cell r="G432" t="str">
            <v>包裹订单</v>
          </cell>
          <cell r="H432" t="str">
            <v>RM_TR48(48可追踪包裹)</v>
          </cell>
          <cell r="I432" t="str">
            <v>包材费用</v>
          </cell>
          <cell r="J432" t="str">
            <v>OCWSA [4A WS10 UK]</v>
          </cell>
          <cell r="K432" t="str">
            <v>1.000</v>
          </cell>
          <cell r="L432" t="str">
            <v>GBP</v>
          </cell>
          <cell r="M432">
            <v>1</v>
          </cell>
        </row>
        <row r="433">
          <cell r="D433" t="str">
            <v>OJ689819197GB</v>
          </cell>
          <cell r="E433" t="str">
            <v>未核账</v>
          </cell>
        </row>
        <row r="433">
          <cell r="G433" t="str">
            <v>包裹订单</v>
          </cell>
          <cell r="H433" t="str">
            <v>RM_TR48(48可追踪包裹)</v>
          </cell>
          <cell r="I433" t="str">
            <v>仓储操作附加费按重量</v>
          </cell>
          <cell r="J433" t="str">
            <v>OCWSA [4A WS10 UK]</v>
          </cell>
          <cell r="K433" t="str">
            <v>0.070</v>
          </cell>
          <cell r="L433" t="str">
            <v>GBP</v>
          </cell>
          <cell r="M433">
            <v>0.07</v>
          </cell>
        </row>
        <row r="434">
          <cell r="D434" t="str">
            <v>OJ689819197GB</v>
          </cell>
          <cell r="E434" t="str">
            <v>未核账</v>
          </cell>
        </row>
        <row r="434">
          <cell r="G434" t="str">
            <v>包裹订单</v>
          </cell>
          <cell r="H434" t="str">
            <v>RM_TR48(48可追踪包裹)</v>
          </cell>
          <cell r="I434" t="str">
            <v>操作费</v>
          </cell>
          <cell r="J434" t="str">
            <v>OCWSA [4A WS10 UK]</v>
          </cell>
          <cell r="K434" t="str">
            <v>0.400</v>
          </cell>
          <cell r="L434" t="str">
            <v>GBP</v>
          </cell>
          <cell r="M434">
            <v>0.4</v>
          </cell>
        </row>
        <row r="435">
          <cell r="D435" t="str">
            <v>OJ689819197GB</v>
          </cell>
          <cell r="E435" t="str">
            <v>未核账</v>
          </cell>
        </row>
        <row r="435">
          <cell r="G435" t="str">
            <v>包裹订单</v>
          </cell>
          <cell r="H435" t="str">
            <v>RM_TR48(48可追踪包裹)</v>
          </cell>
          <cell r="I435" t="str">
            <v>运输费</v>
          </cell>
          <cell r="J435" t="str">
            <v>OCWSA [4A WS10 UK]</v>
          </cell>
          <cell r="K435" t="str">
            <v>2.490</v>
          </cell>
          <cell r="L435" t="str">
            <v>GBP</v>
          </cell>
          <cell r="M435">
            <v>2.49</v>
          </cell>
        </row>
        <row r="436">
          <cell r="D436" t="str">
            <v/>
          </cell>
          <cell r="E436" t="str">
            <v>未核账</v>
          </cell>
        </row>
        <row r="436">
          <cell r="G436" t="str">
            <v>仓租</v>
          </cell>
          <cell r="H436" t="str">
            <v>()</v>
          </cell>
          <cell r="I436" t="str">
            <v>仓储费</v>
          </cell>
          <cell r="J436" t="str">
            <v>OCWSA [4A WS10 UK]</v>
          </cell>
          <cell r="K436" t="str">
            <v>13.824</v>
          </cell>
          <cell r="L436" t="str">
            <v>GBP</v>
          </cell>
          <cell r="M436">
            <v>13.824</v>
          </cell>
        </row>
        <row r="437">
          <cell r="D437" t="str">
            <v>OJ689143640GB</v>
          </cell>
          <cell r="E437" t="str">
            <v>未核账</v>
          </cell>
        </row>
        <row r="437">
          <cell r="G437" t="str">
            <v>包裹订单</v>
          </cell>
          <cell r="H437" t="str">
            <v>RM_TR48(48可追踪包裹)</v>
          </cell>
          <cell r="I437" t="str">
            <v>操作费</v>
          </cell>
          <cell r="J437" t="str">
            <v>OCWSA [4A WS10 UK]</v>
          </cell>
          <cell r="K437" t="str">
            <v>0.400</v>
          </cell>
          <cell r="L437" t="str">
            <v>GBP</v>
          </cell>
          <cell r="M437">
            <v>0.4</v>
          </cell>
        </row>
        <row r="438">
          <cell r="D438" t="str">
            <v>OJ689143640GB</v>
          </cell>
          <cell r="E438" t="str">
            <v>未核账</v>
          </cell>
        </row>
        <row r="438">
          <cell r="G438" t="str">
            <v>包裹订单</v>
          </cell>
          <cell r="H438" t="str">
            <v>RM_TR48(48可追踪包裹)</v>
          </cell>
          <cell r="I438" t="str">
            <v>运输费</v>
          </cell>
          <cell r="J438" t="str">
            <v>OCWSA [4A WS10 UK]</v>
          </cell>
          <cell r="K438" t="str">
            <v>2.490</v>
          </cell>
          <cell r="L438" t="str">
            <v>GBP</v>
          </cell>
          <cell r="M438">
            <v>2.49</v>
          </cell>
        </row>
        <row r="439">
          <cell r="D439" t="str">
            <v>OJ689110774GB</v>
          </cell>
          <cell r="E439" t="str">
            <v>未核账</v>
          </cell>
        </row>
        <row r="439">
          <cell r="G439" t="str">
            <v>包裹订单</v>
          </cell>
          <cell r="H439" t="str">
            <v>RM_TR48(48可追踪包裹)</v>
          </cell>
          <cell r="I439" t="str">
            <v>仓储操作附加费按重量</v>
          </cell>
          <cell r="J439" t="str">
            <v>OCWSA [4A WS10 UK]</v>
          </cell>
          <cell r="K439" t="str">
            <v>0.070</v>
          </cell>
          <cell r="L439" t="str">
            <v>GBP</v>
          </cell>
          <cell r="M439">
            <v>0.07</v>
          </cell>
        </row>
        <row r="440">
          <cell r="D440" t="str">
            <v>OJ689110774GB</v>
          </cell>
          <cell r="E440" t="str">
            <v>未核账</v>
          </cell>
        </row>
        <row r="440">
          <cell r="G440" t="str">
            <v>包裹订单</v>
          </cell>
          <cell r="H440" t="str">
            <v>RM_TR48(48可追踪包裹)</v>
          </cell>
          <cell r="I440" t="str">
            <v>操作费</v>
          </cell>
          <cell r="J440" t="str">
            <v>OCWSA [4A WS10 UK]</v>
          </cell>
          <cell r="K440" t="str">
            <v>0.400</v>
          </cell>
          <cell r="L440" t="str">
            <v>GBP</v>
          </cell>
          <cell r="M440">
            <v>0.4</v>
          </cell>
        </row>
        <row r="441">
          <cell r="D441" t="str">
            <v>OJ689110774GB</v>
          </cell>
          <cell r="E441" t="str">
            <v>未核账</v>
          </cell>
        </row>
        <row r="441">
          <cell r="G441" t="str">
            <v>包裹订单</v>
          </cell>
          <cell r="H441" t="str">
            <v>RM_TR48(48可追踪包裹)</v>
          </cell>
          <cell r="I441" t="str">
            <v>运输费</v>
          </cell>
          <cell r="J441" t="str">
            <v>OCWSA [4A WS10 UK]</v>
          </cell>
          <cell r="K441" t="str">
            <v>2.490</v>
          </cell>
          <cell r="L441" t="str">
            <v>GBP</v>
          </cell>
          <cell r="M441">
            <v>2.49</v>
          </cell>
        </row>
        <row r="442">
          <cell r="D442" t="str">
            <v/>
          </cell>
          <cell r="E442" t="str">
            <v>未核账</v>
          </cell>
        </row>
        <row r="442">
          <cell r="G442" t="str">
            <v>仓租</v>
          </cell>
          <cell r="H442" t="str">
            <v>()</v>
          </cell>
          <cell r="I442" t="str">
            <v>仓储费</v>
          </cell>
          <cell r="J442" t="str">
            <v>OCWSA [4A WS10 UK]</v>
          </cell>
          <cell r="K442" t="str">
            <v>13.784</v>
          </cell>
          <cell r="L442" t="str">
            <v>GBP</v>
          </cell>
          <cell r="M442">
            <v>13.784</v>
          </cell>
        </row>
        <row r="443">
          <cell r="D443" t="str">
            <v>OJ688031148GB</v>
          </cell>
          <cell r="E443" t="str">
            <v>未核账</v>
          </cell>
        </row>
        <row r="443">
          <cell r="G443" t="str">
            <v>包裹订单</v>
          </cell>
          <cell r="H443" t="str">
            <v>RM_TR48(48可追踪包裹)</v>
          </cell>
          <cell r="I443" t="str">
            <v>包材费用</v>
          </cell>
          <cell r="J443" t="str">
            <v>OCWSA [4A WS10 UK]</v>
          </cell>
          <cell r="K443" t="str">
            <v>0.800</v>
          </cell>
          <cell r="L443" t="str">
            <v>GBP</v>
          </cell>
          <cell r="M443">
            <v>0.8</v>
          </cell>
        </row>
        <row r="444">
          <cell r="D444" t="str">
            <v>OJ688031148GB</v>
          </cell>
          <cell r="E444" t="str">
            <v>未核账</v>
          </cell>
        </row>
        <row r="444">
          <cell r="G444" t="str">
            <v>包裹订单</v>
          </cell>
          <cell r="H444" t="str">
            <v>RM_TR48(48可追踪包裹)</v>
          </cell>
          <cell r="I444" t="str">
            <v>操作费</v>
          </cell>
          <cell r="J444" t="str">
            <v>OCWSA [4A WS10 UK]</v>
          </cell>
          <cell r="K444" t="str">
            <v>0.400</v>
          </cell>
          <cell r="L444" t="str">
            <v>GBP</v>
          </cell>
          <cell r="M444">
            <v>0.4</v>
          </cell>
        </row>
        <row r="445">
          <cell r="D445" t="str">
            <v>OJ688031148GB</v>
          </cell>
          <cell r="E445" t="str">
            <v>未核账</v>
          </cell>
        </row>
        <row r="445">
          <cell r="G445" t="str">
            <v>包裹订单</v>
          </cell>
          <cell r="H445" t="str">
            <v>RM_TR48(48可追踪包裹)</v>
          </cell>
          <cell r="I445" t="str">
            <v>运输费</v>
          </cell>
          <cell r="J445" t="str">
            <v>OCWSA [4A WS10 UK]</v>
          </cell>
          <cell r="K445" t="str">
            <v>2.490</v>
          </cell>
          <cell r="L445" t="str">
            <v>GBP</v>
          </cell>
          <cell r="M445">
            <v>2.49</v>
          </cell>
        </row>
        <row r="446">
          <cell r="D446" t="str">
            <v>OJ663320285GB</v>
          </cell>
          <cell r="E446" t="str">
            <v>未核账</v>
          </cell>
        </row>
        <row r="446">
          <cell r="G446" t="str">
            <v>包裹订单</v>
          </cell>
          <cell r="H446" t="str">
            <v>RM_TR48(48可追踪包裹)</v>
          </cell>
          <cell r="I446" t="str">
            <v>仓储操作附加费按重量</v>
          </cell>
          <cell r="J446" t="str">
            <v>OCWSA [4A WS10 UK]</v>
          </cell>
          <cell r="K446" t="str">
            <v>0.070</v>
          </cell>
          <cell r="L446" t="str">
            <v>GBP</v>
          </cell>
          <cell r="M446">
            <v>0.07</v>
          </cell>
        </row>
        <row r="447">
          <cell r="D447" t="str">
            <v>OJ663320285GB</v>
          </cell>
          <cell r="E447" t="str">
            <v>未核账</v>
          </cell>
        </row>
        <row r="447">
          <cell r="G447" t="str">
            <v>包裹订单</v>
          </cell>
          <cell r="H447" t="str">
            <v>RM_TR48(48可追踪包裹)</v>
          </cell>
          <cell r="I447" t="str">
            <v>操作费</v>
          </cell>
          <cell r="J447" t="str">
            <v>OCWSA [4A WS10 UK]</v>
          </cell>
          <cell r="K447" t="str">
            <v>0.400</v>
          </cell>
          <cell r="L447" t="str">
            <v>GBP</v>
          </cell>
          <cell r="M447">
            <v>0.4</v>
          </cell>
        </row>
        <row r="448">
          <cell r="D448" t="str">
            <v>OJ663320285GB</v>
          </cell>
          <cell r="E448" t="str">
            <v>未核账</v>
          </cell>
        </row>
        <row r="448">
          <cell r="G448" t="str">
            <v>包裹订单</v>
          </cell>
          <cell r="H448" t="str">
            <v>RM_TR48(48可追踪包裹)</v>
          </cell>
          <cell r="I448" t="str">
            <v>运输费</v>
          </cell>
          <cell r="J448" t="str">
            <v>OCWSA [4A WS10 UK]</v>
          </cell>
          <cell r="K448" t="str">
            <v>2.490</v>
          </cell>
          <cell r="L448" t="str">
            <v>GBP</v>
          </cell>
          <cell r="M448">
            <v>2.49</v>
          </cell>
        </row>
        <row r="449">
          <cell r="D449" t="str">
            <v/>
          </cell>
          <cell r="E449" t="str">
            <v>未核账</v>
          </cell>
        </row>
        <row r="449">
          <cell r="G449" t="str">
            <v>仓租</v>
          </cell>
          <cell r="H449" t="str">
            <v>()</v>
          </cell>
          <cell r="I449" t="str">
            <v>仓储费</v>
          </cell>
          <cell r="J449" t="str">
            <v>OCWSA [4A WS10 UK]</v>
          </cell>
          <cell r="K449" t="str">
            <v>13.788</v>
          </cell>
          <cell r="L449" t="str">
            <v>GBP</v>
          </cell>
          <cell r="M449">
            <v>13.788</v>
          </cell>
        </row>
        <row r="450">
          <cell r="D450" t="str">
            <v>OJ662252399GB</v>
          </cell>
          <cell r="E450" t="str">
            <v>未核账</v>
          </cell>
        </row>
        <row r="450">
          <cell r="G450" t="str">
            <v>包裹订单</v>
          </cell>
          <cell r="H450" t="str">
            <v>RM_TR48(48可追踪包裹)</v>
          </cell>
          <cell r="I450" t="str">
            <v>包材费用</v>
          </cell>
          <cell r="J450" t="str">
            <v>OCWSA [4A WS10 UK]</v>
          </cell>
          <cell r="K450" t="str">
            <v>0.800</v>
          </cell>
          <cell r="L450" t="str">
            <v>GBP</v>
          </cell>
          <cell r="M450">
            <v>0.8</v>
          </cell>
        </row>
        <row r="451">
          <cell r="D451" t="str">
            <v>OJ662252399GB</v>
          </cell>
          <cell r="E451" t="str">
            <v>未核账</v>
          </cell>
        </row>
        <row r="451">
          <cell r="G451" t="str">
            <v>包裹订单</v>
          </cell>
          <cell r="H451" t="str">
            <v>RM_TR48(48可追踪包裹)</v>
          </cell>
          <cell r="I451" t="str">
            <v>仓储操作附加费按重量</v>
          </cell>
          <cell r="J451" t="str">
            <v>OCWSA [4A WS10 UK]</v>
          </cell>
          <cell r="K451" t="str">
            <v>0.070</v>
          </cell>
          <cell r="L451" t="str">
            <v>GBP</v>
          </cell>
          <cell r="M451">
            <v>0.07</v>
          </cell>
        </row>
        <row r="452">
          <cell r="D452" t="str">
            <v>OJ662252399GB</v>
          </cell>
          <cell r="E452" t="str">
            <v>未核账</v>
          </cell>
        </row>
        <row r="452">
          <cell r="G452" t="str">
            <v>包裹订单</v>
          </cell>
          <cell r="H452" t="str">
            <v>RM_TR48(48可追踪包裹)</v>
          </cell>
          <cell r="I452" t="str">
            <v>操作费</v>
          </cell>
          <cell r="J452" t="str">
            <v>OCWSA [4A WS10 UK]</v>
          </cell>
          <cell r="K452" t="str">
            <v>0.400</v>
          </cell>
          <cell r="L452" t="str">
            <v>GBP</v>
          </cell>
          <cell r="M452">
            <v>0.4</v>
          </cell>
        </row>
        <row r="453">
          <cell r="D453" t="str">
            <v>OJ662252399GB</v>
          </cell>
          <cell r="E453" t="str">
            <v>未核账</v>
          </cell>
        </row>
        <row r="453">
          <cell r="G453" t="str">
            <v>包裹订单</v>
          </cell>
          <cell r="H453" t="str">
            <v>RM_TR48(48可追踪包裹)</v>
          </cell>
          <cell r="I453" t="str">
            <v>运输费</v>
          </cell>
          <cell r="J453" t="str">
            <v>OCWSA [4A WS10 UK]</v>
          </cell>
          <cell r="K453" t="str">
            <v>2.490</v>
          </cell>
          <cell r="L453" t="str">
            <v>GBP</v>
          </cell>
          <cell r="M453">
            <v>2.49</v>
          </cell>
        </row>
        <row r="454">
          <cell r="D454" t="str">
            <v>OJ662827963GB</v>
          </cell>
          <cell r="E454" t="str">
            <v>未核账</v>
          </cell>
        </row>
        <row r="454">
          <cell r="G454" t="str">
            <v>包裹订单</v>
          </cell>
          <cell r="H454" t="str">
            <v>RM_TR48(48可追踪包裹)</v>
          </cell>
          <cell r="I454" t="str">
            <v>包材费用</v>
          </cell>
          <cell r="J454" t="str">
            <v>OCWSA [4A WS10 UK]</v>
          </cell>
          <cell r="K454" t="str">
            <v>0.800</v>
          </cell>
          <cell r="L454" t="str">
            <v>GBP</v>
          </cell>
          <cell r="M454">
            <v>0.8</v>
          </cell>
        </row>
        <row r="455">
          <cell r="D455" t="str">
            <v>OJ662827963GB</v>
          </cell>
          <cell r="E455" t="str">
            <v>未核账</v>
          </cell>
        </row>
        <row r="455">
          <cell r="G455" t="str">
            <v>包裹订单</v>
          </cell>
          <cell r="H455" t="str">
            <v>RM_TR48(48可追踪包裹)</v>
          </cell>
          <cell r="I455" t="str">
            <v>仓储操作附加费按重量</v>
          </cell>
          <cell r="J455" t="str">
            <v>OCWSA [4A WS10 UK]</v>
          </cell>
          <cell r="K455" t="str">
            <v>0.070</v>
          </cell>
          <cell r="L455" t="str">
            <v>GBP</v>
          </cell>
          <cell r="M455">
            <v>0.07</v>
          </cell>
        </row>
        <row r="456">
          <cell r="D456" t="str">
            <v>OJ662827963GB</v>
          </cell>
          <cell r="E456" t="str">
            <v>未核账</v>
          </cell>
        </row>
        <row r="456">
          <cell r="G456" t="str">
            <v>包裹订单</v>
          </cell>
          <cell r="H456" t="str">
            <v>RM_TR48(48可追踪包裹)</v>
          </cell>
          <cell r="I456" t="str">
            <v>操作费</v>
          </cell>
          <cell r="J456" t="str">
            <v>OCWSA [4A WS10 UK]</v>
          </cell>
          <cell r="K456" t="str">
            <v>0.400</v>
          </cell>
          <cell r="L456" t="str">
            <v>GBP</v>
          </cell>
          <cell r="M456">
            <v>0.4</v>
          </cell>
        </row>
        <row r="457">
          <cell r="D457" t="str">
            <v>OJ662827963GB</v>
          </cell>
          <cell r="E457" t="str">
            <v>未核账</v>
          </cell>
        </row>
        <row r="457">
          <cell r="G457" t="str">
            <v>包裹订单</v>
          </cell>
          <cell r="H457" t="str">
            <v>RM_TR48(48可追踪包裹)</v>
          </cell>
          <cell r="I457" t="str">
            <v>运输费</v>
          </cell>
          <cell r="J457" t="str">
            <v>OCWSA [4A WS10 UK]</v>
          </cell>
          <cell r="K457" t="str">
            <v>2.490</v>
          </cell>
          <cell r="L457" t="str">
            <v>GBP</v>
          </cell>
          <cell r="M457">
            <v>2.49</v>
          </cell>
        </row>
        <row r="458">
          <cell r="D458" t="str">
            <v>OJ663320245GB</v>
          </cell>
          <cell r="E458" t="str">
            <v>未核账</v>
          </cell>
        </row>
        <row r="458">
          <cell r="G458" t="str">
            <v>包裹订单</v>
          </cell>
          <cell r="H458" t="str">
            <v>RM_TR48(48可追踪包裹)</v>
          </cell>
          <cell r="I458" t="str">
            <v>包材费用</v>
          </cell>
          <cell r="J458" t="str">
            <v>OCWSA [4A WS10 UK]</v>
          </cell>
          <cell r="K458" t="str">
            <v>0.800</v>
          </cell>
          <cell r="L458" t="str">
            <v>GBP</v>
          </cell>
          <cell r="M458">
            <v>0.8</v>
          </cell>
        </row>
        <row r="459">
          <cell r="D459" t="str">
            <v>OJ663320245GB</v>
          </cell>
          <cell r="E459" t="str">
            <v>未核账</v>
          </cell>
        </row>
        <row r="459">
          <cell r="G459" t="str">
            <v>包裹订单</v>
          </cell>
          <cell r="H459" t="str">
            <v>RM_TR48(48可追踪包裹)</v>
          </cell>
          <cell r="I459" t="str">
            <v>操作费</v>
          </cell>
          <cell r="J459" t="str">
            <v>OCWSA [4A WS10 UK]</v>
          </cell>
          <cell r="K459" t="str">
            <v>0.400</v>
          </cell>
          <cell r="L459" t="str">
            <v>GBP</v>
          </cell>
          <cell r="M459">
            <v>0.4</v>
          </cell>
        </row>
        <row r="460">
          <cell r="D460" t="str">
            <v>OJ663320245GB</v>
          </cell>
          <cell r="E460" t="str">
            <v>未核账</v>
          </cell>
        </row>
        <row r="460">
          <cell r="G460" t="str">
            <v>包裹订单</v>
          </cell>
          <cell r="H460" t="str">
            <v>RM_TR48(48可追踪包裹)</v>
          </cell>
          <cell r="I460" t="str">
            <v>运输费</v>
          </cell>
          <cell r="J460" t="str">
            <v>OCWSA [4A WS10 UK]</v>
          </cell>
          <cell r="K460" t="str">
            <v>2.490</v>
          </cell>
          <cell r="L460" t="str">
            <v>GBP</v>
          </cell>
          <cell r="M460">
            <v>2.49</v>
          </cell>
        </row>
        <row r="461">
          <cell r="D461" t="str">
            <v>OJ662995555GB</v>
          </cell>
          <cell r="E461" t="str">
            <v>未核账</v>
          </cell>
        </row>
        <row r="461">
          <cell r="G461" t="str">
            <v>包裹订单</v>
          </cell>
          <cell r="H461" t="str">
            <v>RM_TR48(48可追踪包裹)</v>
          </cell>
          <cell r="I461" t="str">
            <v>包材费用</v>
          </cell>
          <cell r="J461" t="str">
            <v>OCWSA [4A WS10 UK]</v>
          </cell>
          <cell r="K461" t="str">
            <v>0.800</v>
          </cell>
          <cell r="L461" t="str">
            <v>GBP</v>
          </cell>
          <cell r="M461">
            <v>0.8</v>
          </cell>
        </row>
        <row r="462">
          <cell r="D462" t="str">
            <v>OJ662995555GB</v>
          </cell>
          <cell r="E462" t="str">
            <v>未核账</v>
          </cell>
        </row>
        <row r="462">
          <cell r="G462" t="str">
            <v>包裹订单</v>
          </cell>
          <cell r="H462" t="str">
            <v>RM_TR48(48可追踪包裹)</v>
          </cell>
          <cell r="I462" t="str">
            <v>仓储操作附加费按重量</v>
          </cell>
          <cell r="J462" t="str">
            <v>OCWSA [4A WS10 UK]</v>
          </cell>
          <cell r="K462" t="str">
            <v>0.070</v>
          </cell>
          <cell r="L462" t="str">
            <v>GBP</v>
          </cell>
          <cell r="M462">
            <v>0.07</v>
          </cell>
        </row>
        <row r="463">
          <cell r="D463" t="str">
            <v>OJ662995555GB</v>
          </cell>
          <cell r="E463" t="str">
            <v>未核账</v>
          </cell>
        </row>
        <row r="463">
          <cell r="G463" t="str">
            <v>包裹订单</v>
          </cell>
          <cell r="H463" t="str">
            <v>RM_TR48(48可追踪包裹)</v>
          </cell>
          <cell r="I463" t="str">
            <v>操作费</v>
          </cell>
          <cell r="J463" t="str">
            <v>OCWSA [4A WS10 UK]</v>
          </cell>
          <cell r="K463" t="str">
            <v>0.400</v>
          </cell>
          <cell r="L463" t="str">
            <v>GBP</v>
          </cell>
          <cell r="M463">
            <v>0.4</v>
          </cell>
        </row>
        <row r="464">
          <cell r="D464" t="str">
            <v>OJ662995555GB</v>
          </cell>
          <cell r="E464" t="str">
            <v>未核账</v>
          </cell>
        </row>
        <row r="464">
          <cell r="G464" t="str">
            <v>包裹订单</v>
          </cell>
          <cell r="H464" t="str">
            <v>RM_TR48(48可追踪包裹)</v>
          </cell>
          <cell r="I464" t="str">
            <v>运输费</v>
          </cell>
          <cell r="J464" t="str">
            <v>OCWSA [4A WS10 UK]</v>
          </cell>
          <cell r="K464" t="str">
            <v>2.490</v>
          </cell>
          <cell r="L464" t="str">
            <v>GBP</v>
          </cell>
          <cell r="M464">
            <v>2.49</v>
          </cell>
        </row>
        <row r="465">
          <cell r="D465" t="str">
            <v>OJ663320237GB</v>
          </cell>
          <cell r="E465" t="str">
            <v>未核账</v>
          </cell>
        </row>
        <row r="465">
          <cell r="G465" t="str">
            <v>包裹订单</v>
          </cell>
          <cell r="H465" t="str">
            <v>RM_TR48(48可追踪包裹)</v>
          </cell>
          <cell r="I465" t="str">
            <v>包材费用</v>
          </cell>
          <cell r="J465" t="str">
            <v>OCWSA [4A WS10 UK]</v>
          </cell>
          <cell r="K465" t="str">
            <v>0.800</v>
          </cell>
          <cell r="L465" t="str">
            <v>GBP</v>
          </cell>
          <cell r="M465">
            <v>0.8</v>
          </cell>
        </row>
        <row r="466">
          <cell r="D466" t="str">
            <v>OJ663320237GB</v>
          </cell>
          <cell r="E466" t="str">
            <v>未核账</v>
          </cell>
        </row>
        <row r="466">
          <cell r="G466" t="str">
            <v>包裹订单</v>
          </cell>
          <cell r="H466" t="str">
            <v>RM_TR48(48可追踪包裹)</v>
          </cell>
          <cell r="I466" t="str">
            <v>仓储操作附加费按重量</v>
          </cell>
          <cell r="J466" t="str">
            <v>OCWSA [4A WS10 UK]</v>
          </cell>
          <cell r="K466" t="str">
            <v>0.070</v>
          </cell>
          <cell r="L466" t="str">
            <v>GBP</v>
          </cell>
          <cell r="M466">
            <v>0.07</v>
          </cell>
        </row>
        <row r="467">
          <cell r="D467" t="str">
            <v>OJ663320237GB</v>
          </cell>
          <cell r="E467" t="str">
            <v>未核账</v>
          </cell>
        </row>
        <row r="467">
          <cell r="G467" t="str">
            <v>包裹订单</v>
          </cell>
          <cell r="H467" t="str">
            <v>RM_TR48(48可追踪包裹)</v>
          </cell>
          <cell r="I467" t="str">
            <v>操作费</v>
          </cell>
          <cell r="J467" t="str">
            <v>OCWSA [4A WS10 UK]</v>
          </cell>
          <cell r="K467" t="str">
            <v>0.400</v>
          </cell>
          <cell r="L467" t="str">
            <v>GBP</v>
          </cell>
          <cell r="M467">
            <v>0.4</v>
          </cell>
        </row>
        <row r="468">
          <cell r="D468" t="str">
            <v>OJ663320237GB</v>
          </cell>
          <cell r="E468" t="str">
            <v>未核账</v>
          </cell>
        </row>
        <row r="468">
          <cell r="G468" t="str">
            <v>包裹订单</v>
          </cell>
          <cell r="H468" t="str">
            <v>RM_TR48(48可追踪包裹)</v>
          </cell>
          <cell r="I468" t="str">
            <v>运输费</v>
          </cell>
          <cell r="J468" t="str">
            <v>OCWSA [4A WS10 UK]</v>
          </cell>
          <cell r="K468" t="str">
            <v>2.490</v>
          </cell>
          <cell r="L468" t="str">
            <v>GBP</v>
          </cell>
          <cell r="M468">
            <v>2.49</v>
          </cell>
        </row>
        <row r="469">
          <cell r="D469" t="str">
            <v>OJ663320268GB</v>
          </cell>
          <cell r="E469" t="str">
            <v>未核账</v>
          </cell>
        </row>
        <row r="469">
          <cell r="G469" t="str">
            <v>包裹订单</v>
          </cell>
          <cell r="H469" t="str">
            <v>RM_TR48(48可追踪包裹)</v>
          </cell>
          <cell r="I469" t="str">
            <v>包材费用</v>
          </cell>
          <cell r="J469" t="str">
            <v>OCWSA [4A WS10 UK]</v>
          </cell>
          <cell r="K469" t="str">
            <v>0.800</v>
          </cell>
          <cell r="L469" t="str">
            <v>GBP</v>
          </cell>
          <cell r="M469">
            <v>0.8</v>
          </cell>
        </row>
        <row r="470">
          <cell r="D470" t="str">
            <v>OJ663320268GB</v>
          </cell>
          <cell r="E470" t="str">
            <v>未核账</v>
          </cell>
        </row>
        <row r="470">
          <cell r="G470" t="str">
            <v>包裹订单</v>
          </cell>
          <cell r="H470" t="str">
            <v>RM_TR48(48可追踪包裹)</v>
          </cell>
          <cell r="I470" t="str">
            <v>操作费</v>
          </cell>
          <cell r="J470" t="str">
            <v>OCWSA [4A WS10 UK]</v>
          </cell>
          <cell r="K470" t="str">
            <v>0.400</v>
          </cell>
          <cell r="L470" t="str">
            <v>GBP</v>
          </cell>
          <cell r="M470">
            <v>0.4</v>
          </cell>
        </row>
        <row r="471">
          <cell r="D471" t="str">
            <v>OJ663320268GB</v>
          </cell>
          <cell r="E471" t="str">
            <v>未核账</v>
          </cell>
        </row>
        <row r="471">
          <cell r="G471" t="str">
            <v>包裹订单</v>
          </cell>
          <cell r="H471" t="str">
            <v>RM_TR48(48可追踪包裹)</v>
          </cell>
          <cell r="I471" t="str">
            <v>运输费</v>
          </cell>
          <cell r="J471" t="str">
            <v>OCWSA [4A WS10 UK]</v>
          </cell>
          <cell r="K471" t="str">
            <v>2.490</v>
          </cell>
          <cell r="L471" t="str">
            <v>GBP</v>
          </cell>
          <cell r="M471">
            <v>2.49</v>
          </cell>
        </row>
        <row r="472">
          <cell r="D472" t="str">
            <v>OJ663320271GB</v>
          </cell>
          <cell r="E472" t="str">
            <v>未核账</v>
          </cell>
        </row>
        <row r="472">
          <cell r="G472" t="str">
            <v>包裹订单</v>
          </cell>
          <cell r="H472" t="str">
            <v>RM_TR48(48可追踪包裹)</v>
          </cell>
          <cell r="I472" t="str">
            <v>包材费用</v>
          </cell>
          <cell r="J472" t="str">
            <v>OCWSA [4A WS10 UK]</v>
          </cell>
          <cell r="K472" t="str">
            <v>1.000</v>
          </cell>
          <cell r="L472" t="str">
            <v>GBP</v>
          </cell>
          <cell r="M472">
            <v>1</v>
          </cell>
        </row>
        <row r="473">
          <cell r="D473" t="str">
            <v>OJ663320271GB</v>
          </cell>
          <cell r="E473" t="str">
            <v>未核账</v>
          </cell>
        </row>
        <row r="473">
          <cell r="G473" t="str">
            <v>包裹订单</v>
          </cell>
          <cell r="H473" t="str">
            <v>RM_TR48(48可追踪包裹)</v>
          </cell>
          <cell r="I473" t="str">
            <v>仓储操作附加费按件数</v>
          </cell>
          <cell r="J473" t="str">
            <v>OCWSA [4A WS10 UK]</v>
          </cell>
          <cell r="K473" t="str">
            <v>0.300</v>
          </cell>
          <cell r="L473" t="str">
            <v>GBP</v>
          </cell>
          <cell r="M473">
            <v>0.3</v>
          </cell>
        </row>
        <row r="474">
          <cell r="D474" t="str">
            <v>OJ663320271GB</v>
          </cell>
          <cell r="E474" t="str">
            <v>未核账</v>
          </cell>
        </row>
        <row r="474">
          <cell r="G474" t="str">
            <v>包裹订单</v>
          </cell>
          <cell r="H474" t="str">
            <v>RM_TR48(48可追踪包裹)</v>
          </cell>
          <cell r="I474" t="str">
            <v>仓储操作附加费按重量</v>
          </cell>
          <cell r="J474" t="str">
            <v>OCWSA [4A WS10 UK]</v>
          </cell>
          <cell r="K474" t="str">
            <v>0.070</v>
          </cell>
          <cell r="L474" t="str">
            <v>GBP</v>
          </cell>
          <cell r="M474">
            <v>0.07</v>
          </cell>
        </row>
        <row r="475">
          <cell r="D475" t="str">
            <v>OJ663320271GB</v>
          </cell>
          <cell r="E475" t="str">
            <v>未核账</v>
          </cell>
        </row>
        <row r="475">
          <cell r="G475" t="str">
            <v>包裹订单</v>
          </cell>
          <cell r="H475" t="str">
            <v>RM_TR48(48可追踪包裹)</v>
          </cell>
          <cell r="I475" t="str">
            <v>操作费</v>
          </cell>
          <cell r="J475" t="str">
            <v>OCWSA [4A WS10 UK]</v>
          </cell>
          <cell r="K475" t="str">
            <v>0.400</v>
          </cell>
          <cell r="L475" t="str">
            <v>GBP</v>
          </cell>
          <cell r="M475">
            <v>0.4</v>
          </cell>
        </row>
        <row r="476">
          <cell r="D476" t="str">
            <v>OJ663320271GB</v>
          </cell>
          <cell r="E476" t="str">
            <v>未核账</v>
          </cell>
        </row>
        <row r="476">
          <cell r="G476" t="str">
            <v>包裹订单</v>
          </cell>
          <cell r="H476" t="str">
            <v>RM_TR48(48可追踪包裹)</v>
          </cell>
          <cell r="I476" t="str">
            <v>运输费</v>
          </cell>
          <cell r="J476" t="str">
            <v>OCWSA [4A WS10 UK]</v>
          </cell>
          <cell r="K476" t="str">
            <v>2.490</v>
          </cell>
          <cell r="L476" t="str">
            <v>GBP</v>
          </cell>
          <cell r="M476">
            <v>2.49</v>
          </cell>
        </row>
        <row r="477">
          <cell r="D477" t="str">
            <v>OJ663664657GB</v>
          </cell>
          <cell r="E477" t="str">
            <v>未核账</v>
          </cell>
        </row>
        <row r="477">
          <cell r="G477" t="str">
            <v>包裹订单</v>
          </cell>
          <cell r="H477" t="str">
            <v>RM_TR48(48可追踪包裹)</v>
          </cell>
          <cell r="I477" t="str">
            <v>包材费用</v>
          </cell>
          <cell r="J477" t="str">
            <v>OCWSA [4A WS10 UK]</v>
          </cell>
          <cell r="K477" t="str">
            <v>1.000</v>
          </cell>
          <cell r="L477" t="str">
            <v>GBP</v>
          </cell>
          <cell r="M477">
            <v>1</v>
          </cell>
        </row>
        <row r="478">
          <cell r="D478" t="str">
            <v>OJ663664657GB</v>
          </cell>
          <cell r="E478" t="str">
            <v>未核账</v>
          </cell>
        </row>
        <row r="478">
          <cell r="G478" t="str">
            <v>包裹订单</v>
          </cell>
          <cell r="H478" t="str">
            <v>RM_TR48(48可追踪包裹)</v>
          </cell>
          <cell r="I478" t="str">
            <v>仓储操作附加费按件数</v>
          </cell>
          <cell r="J478" t="str">
            <v>OCWSA [4A WS10 UK]</v>
          </cell>
          <cell r="K478" t="str">
            <v>0.300</v>
          </cell>
          <cell r="L478" t="str">
            <v>GBP</v>
          </cell>
          <cell r="M478">
            <v>0.3</v>
          </cell>
        </row>
        <row r="479">
          <cell r="D479" t="str">
            <v>OJ663664657GB</v>
          </cell>
          <cell r="E479" t="str">
            <v>未核账</v>
          </cell>
        </row>
        <row r="479">
          <cell r="G479" t="str">
            <v>包裹订单</v>
          </cell>
          <cell r="H479" t="str">
            <v>RM_TR48(48可追踪包裹)</v>
          </cell>
          <cell r="I479" t="str">
            <v>操作费</v>
          </cell>
          <cell r="J479" t="str">
            <v>OCWSA [4A WS10 UK]</v>
          </cell>
          <cell r="K479" t="str">
            <v>0.400</v>
          </cell>
          <cell r="L479" t="str">
            <v>GBP</v>
          </cell>
          <cell r="M479">
            <v>0.4</v>
          </cell>
        </row>
        <row r="480">
          <cell r="D480" t="str">
            <v>OJ663664657GB</v>
          </cell>
          <cell r="E480" t="str">
            <v>未核账</v>
          </cell>
        </row>
        <row r="480">
          <cell r="G480" t="str">
            <v>包裹订单</v>
          </cell>
          <cell r="H480" t="str">
            <v>RM_TR48(48可追踪包裹)</v>
          </cell>
          <cell r="I480" t="str">
            <v>运输费</v>
          </cell>
          <cell r="J480" t="str">
            <v>OCWSA [4A WS10 UK]</v>
          </cell>
          <cell r="K480" t="str">
            <v>2.490</v>
          </cell>
          <cell r="L480" t="str">
            <v>GBP</v>
          </cell>
          <cell r="M480">
            <v>2.49</v>
          </cell>
        </row>
        <row r="481">
          <cell r="D481" t="str">
            <v/>
          </cell>
          <cell r="E481" t="str">
            <v>未核账</v>
          </cell>
        </row>
        <row r="481">
          <cell r="G481" t="str">
            <v>仓租</v>
          </cell>
          <cell r="H481" t="str">
            <v>()</v>
          </cell>
          <cell r="I481" t="str">
            <v>仓储费</v>
          </cell>
          <cell r="J481" t="str">
            <v>OCWSA [4A WS10 UK]</v>
          </cell>
          <cell r="K481" t="str">
            <v>13.834</v>
          </cell>
          <cell r="L481" t="str">
            <v>GBP</v>
          </cell>
          <cell r="M481">
            <v>13.834</v>
          </cell>
        </row>
        <row r="482">
          <cell r="D482" t="str">
            <v/>
          </cell>
          <cell r="E482" t="str">
            <v>未核账</v>
          </cell>
        </row>
        <row r="482">
          <cell r="G482" t="str">
            <v>仓租</v>
          </cell>
          <cell r="H482" t="str">
            <v>()</v>
          </cell>
          <cell r="I482" t="str">
            <v>仓储费</v>
          </cell>
          <cell r="J482" t="str">
            <v>OCWSA [4A WS10 UK]</v>
          </cell>
          <cell r="K482" t="str">
            <v>13.834</v>
          </cell>
          <cell r="L482" t="str">
            <v>GBP</v>
          </cell>
          <cell r="M482">
            <v>13.834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338"/>
  <sheetViews>
    <sheetView topLeftCell="E1" workbookViewId="0">
      <selection activeCell="H215" sqref="H215"/>
    </sheetView>
  </sheetViews>
  <sheetFormatPr defaultColWidth="10.2857142857143" defaultRowHeight="12.75"/>
  <cols>
    <col min="1" max="1" width="7.42857142857143" customWidth="1"/>
    <col min="2" max="2" width="21.1428571428571" customWidth="1"/>
    <col min="3" max="3" width="29.7142857142857" customWidth="1"/>
    <col min="4" max="4" width="21.1428571428571" customWidth="1"/>
    <col min="5" max="5" width="18.7142857142857" customWidth="1"/>
    <col min="6" max="6" width="22.5714285714286" hidden="1" customWidth="1"/>
    <col min="7" max="7" width="18.4285714285714" customWidth="1"/>
    <col min="8" max="8" width="27.8571428571429" customWidth="1"/>
    <col min="9" max="9" width="24.1428571428571" customWidth="1"/>
    <col min="10" max="10" width="25.8571428571429" customWidth="1"/>
    <col min="11" max="11" width="17.4285714285714" customWidth="1"/>
    <col min="12" max="12" width="18.2857142857143" customWidth="1"/>
    <col min="13" max="14" width="18.7142857142857" customWidth="1"/>
    <col min="15" max="15" width="14.2857142857143" customWidth="1"/>
    <col min="16" max="16" width="21.5714285714286" customWidth="1"/>
    <col min="17" max="17" width="22.5714285714286" hidden="1" customWidth="1"/>
    <col min="18" max="18" width="22.5714285714286" customWidth="1"/>
    <col min="19" max="1024" width="11.5047619047619"/>
  </cols>
  <sheetData>
    <row r="1" ht="16" customHeight="1" spans="1:18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6" customHeight="1" spans="1:18">
      <c r="A2" s="2" t="s">
        <v>18</v>
      </c>
      <c r="B2" s="2" t="s">
        <v>19</v>
      </c>
      <c r="C2" s="2"/>
      <c r="D2" s="2" t="s">
        <v>20</v>
      </c>
      <c r="E2" s="2" t="s">
        <v>21</v>
      </c>
      <c r="F2" s="2"/>
      <c r="G2" s="2" t="s">
        <v>22</v>
      </c>
      <c r="H2" s="2" t="s">
        <v>23</v>
      </c>
      <c r="I2" s="2" t="s">
        <v>24</v>
      </c>
      <c r="J2" s="2" t="s">
        <v>25</v>
      </c>
      <c r="K2" s="7">
        <v>13.834</v>
      </c>
      <c r="L2" s="2" t="s">
        <v>26</v>
      </c>
      <c r="M2" s="7">
        <v>13.834</v>
      </c>
      <c r="N2" s="2" t="s">
        <v>26</v>
      </c>
      <c r="O2" s="2"/>
      <c r="P2" s="2" t="s">
        <v>27</v>
      </c>
      <c r="Q2" s="2"/>
      <c r="R2" s="2"/>
    </row>
    <row r="3" ht="16" hidden="1" customHeight="1" spans="1:18">
      <c r="A3" s="2" t="s">
        <v>28</v>
      </c>
      <c r="B3" s="2" t="s">
        <v>29</v>
      </c>
      <c r="C3" s="2" t="s">
        <v>30</v>
      </c>
      <c r="D3" s="2" t="s">
        <v>31</v>
      </c>
      <c r="E3" s="2" t="s">
        <v>21</v>
      </c>
      <c r="F3" s="2"/>
      <c r="G3" s="2" t="s">
        <v>32</v>
      </c>
      <c r="H3" s="2" t="s">
        <v>33</v>
      </c>
      <c r="I3" s="2" t="s">
        <v>34</v>
      </c>
      <c r="J3" s="2" t="s">
        <v>25</v>
      </c>
      <c r="K3" s="7">
        <v>0.4</v>
      </c>
      <c r="L3" s="2" t="s">
        <v>26</v>
      </c>
      <c r="M3" s="7">
        <v>0.4</v>
      </c>
      <c r="N3" s="2" t="s">
        <v>26</v>
      </c>
      <c r="O3" s="2" t="s">
        <v>35</v>
      </c>
      <c r="P3" s="2" t="s">
        <v>36</v>
      </c>
      <c r="Q3" s="2"/>
      <c r="R3" s="2" t="s">
        <v>37</v>
      </c>
    </row>
    <row r="4" ht="16" hidden="1" customHeight="1" spans="1:18">
      <c r="A4" s="2" t="s">
        <v>38</v>
      </c>
      <c r="B4" s="2" t="s">
        <v>29</v>
      </c>
      <c r="C4" s="2" t="s">
        <v>30</v>
      </c>
      <c r="D4" s="2" t="s">
        <v>31</v>
      </c>
      <c r="E4" s="2" t="s">
        <v>21</v>
      </c>
      <c r="F4" s="2"/>
      <c r="G4" s="2" t="s">
        <v>32</v>
      </c>
      <c r="H4" s="2" t="s">
        <v>33</v>
      </c>
      <c r="I4" s="2" t="s">
        <v>39</v>
      </c>
      <c r="J4" s="2" t="s">
        <v>25</v>
      </c>
      <c r="K4" s="7">
        <v>2.49</v>
      </c>
      <c r="L4" s="2" t="s">
        <v>26</v>
      </c>
      <c r="M4" s="7">
        <v>2.49</v>
      </c>
      <c r="N4" s="2" t="s">
        <v>26</v>
      </c>
      <c r="O4" s="2" t="s">
        <v>35</v>
      </c>
      <c r="P4" s="2" t="s">
        <v>36</v>
      </c>
      <c r="Q4" s="2"/>
      <c r="R4" s="2" t="s">
        <v>37</v>
      </c>
    </row>
    <row r="5" ht="16" customHeight="1" spans="1:18">
      <c r="A5" s="2" t="s">
        <v>40</v>
      </c>
      <c r="B5" s="2" t="s">
        <v>41</v>
      </c>
      <c r="C5" s="2"/>
      <c r="D5" s="2" t="s">
        <v>20</v>
      </c>
      <c r="E5" s="2" t="s">
        <v>21</v>
      </c>
      <c r="F5" s="2"/>
      <c r="G5" s="2" t="s">
        <v>22</v>
      </c>
      <c r="H5" s="2" t="s">
        <v>23</v>
      </c>
      <c r="I5" s="2" t="s">
        <v>24</v>
      </c>
      <c r="J5" s="2" t="s">
        <v>25</v>
      </c>
      <c r="K5" s="7">
        <v>13.845</v>
      </c>
      <c r="L5" s="2" t="s">
        <v>26</v>
      </c>
      <c r="M5" s="7">
        <v>13.845</v>
      </c>
      <c r="N5" s="2" t="s">
        <v>26</v>
      </c>
      <c r="O5" s="2"/>
      <c r="P5" s="2" t="s">
        <v>42</v>
      </c>
      <c r="Q5" s="2"/>
      <c r="R5" s="2"/>
    </row>
    <row r="6" ht="16" hidden="1" customHeight="1" spans="1:18">
      <c r="A6" s="2" t="s">
        <v>43</v>
      </c>
      <c r="B6" s="2" t="s">
        <v>44</v>
      </c>
      <c r="C6" s="2" t="s">
        <v>45</v>
      </c>
      <c r="D6" s="2" t="s">
        <v>46</v>
      </c>
      <c r="E6" s="2" t="s">
        <v>21</v>
      </c>
      <c r="F6" s="2"/>
      <c r="G6" s="2" t="s">
        <v>32</v>
      </c>
      <c r="H6" s="2" t="s">
        <v>33</v>
      </c>
      <c r="I6" s="2" t="s">
        <v>47</v>
      </c>
      <c r="J6" s="2" t="s">
        <v>25</v>
      </c>
      <c r="K6" s="7">
        <v>0.07</v>
      </c>
      <c r="L6" s="2" t="s">
        <v>26</v>
      </c>
      <c r="M6" s="7">
        <v>0.07</v>
      </c>
      <c r="N6" s="2" t="s">
        <v>26</v>
      </c>
      <c r="O6" s="2" t="s">
        <v>48</v>
      </c>
      <c r="P6" s="2" t="s">
        <v>49</v>
      </c>
      <c r="Q6" s="2"/>
      <c r="R6" s="2" t="s">
        <v>37</v>
      </c>
    </row>
    <row r="7" ht="16" hidden="1" customHeight="1" spans="1:18">
      <c r="A7" s="2" t="s">
        <v>50</v>
      </c>
      <c r="B7" s="2" t="s">
        <v>44</v>
      </c>
      <c r="C7" s="2" t="s">
        <v>45</v>
      </c>
      <c r="D7" s="2" t="s">
        <v>46</v>
      </c>
      <c r="E7" s="2" t="s">
        <v>21</v>
      </c>
      <c r="F7" s="2"/>
      <c r="G7" s="2" t="s">
        <v>32</v>
      </c>
      <c r="H7" s="2" t="s">
        <v>33</v>
      </c>
      <c r="I7" s="2" t="s">
        <v>34</v>
      </c>
      <c r="J7" s="2" t="s">
        <v>25</v>
      </c>
      <c r="K7" s="7">
        <v>0.4</v>
      </c>
      <c r="L7" s="2" t="s">
        <v>26</v>
      </c>
      <c r="M7" s="7">
        <v>0.4</v>
      </c>
      <c r="N7" s="2" t="s">
        <v>26</v>
      </c>
      <c r="O7" s="2" t="s">
        <v>48</v>
      </c>
      <c r="P7" s="2" t="s">
        <v>49</v>
      </c>
      <c r="Q7" s="2"/>
      <c r="R7" s="2" t="s">
        <v>37</v>
      </c>
    </row>
    <row r="8" ht="16" hidden="1" customHeight="1" spans="1:18">
      <c r="A8" s="2" t="s">
        <v>51</v>
      </c>
      <c r="B8" s="2" t="s">
        <v>44</v>
      </c>
      <c r="C8" s="2" t="s">
        <v>45</v>
      </c>
      <c r="D8" s="2" t="s">
        <v>46</v>
      </c>
      <c r="E8" s="2" t="s">
        <v>21</v>
      </c>
      <c r="F8" s="2"/>
      <c r="G8" s="2" t="s">
        <v>32</v>
      </c>
      <c r="H8" s="2" t="s">
        <v>33</v>
      </c>
      <c r="I8" s="2" t="s">
        <v>39</v>
      </c>
      <c r="J8" s="2" t="s">
        <v>25</v>
      </c>
      <c r="K8" s="7">
        <v>2.49</v>
      </c>
      <c r="L8" s="2" t="s">
        <v>26</v>
      </c>
      <c r="M8" s="7">
        <v>2.49</v>
      </c>
      <c r="N8" s="2" t="s">
        <v>26</v>
      </c>
      <c r="O8" s="2" t="s">
        <v>48</v>
      </c>
      <c r="P8" s="2" t="s">
        <v>49</v>
      </c>
      <c r="Q8" s="2"/>
      <c r="R8" s="2" t="s">
        <v>37</v>
      </c>
    </row>
    <row r="9" ht="16" hidden="1" customHeight="1" spans="1:18">
      <c r="A9" s="2" t="s">
        <v>52</v>
      </c>
      <c r="B9" s="2" t="s">
        <v>53</v>
      </c>
      <c r="C9" s="2" t="s">
        <v>54</v>
      </c>
      <c r="D9" s="2" t="s">
        <v>55</v>
      </c>
      <c r="E9" s="2" t="s">
        <v>21</v>
      </c>
      <c r="F9" s="2"/>
      <c r="G9" s="2" t="s">
        <v>32</v>
      </c>
      <c r="H9" s="2" t="s">
        <v>33</v>
      </c>
      <c r="I9" s="2" t="s">
        <v>47</v>
      </c>
      <c r="J9" s="2" t="s">
        <v>25</v>
      </c>
      <c r="K9" s="7">
        <v>0.07</v>
      </c>
      <c r="L9" s="2" t="s">
        <v>26</v>
      </c>
      <c r="M9" s="7">
        <v>0.07</v>
      </c>
      <c r="N9" s="2" t="s">
        <v>26</v>
      </c>
      <c r="O9" s="2" t="s">
        <v>56</v>
      </c>
      <c r="P9" s="2" t="s">
        <v>57</v>
      </c>
      <c r="Q9" s="2"/>
      <c r="R9" s="2" t="s">
        <v>37</v>
      </c>
    </row>
    <row r="10" ht="16" hidden="1" customHeight="1" spans="1:18">
      <c r="A10" s="2" t="s">
        <v>58</v>
      </c>
      <c r="B10" s="2" t="s">
        <v>53</v>
      </c>
      <c r="C10" s="2" t="s">
        <v>54</v>
      </c>
      <c r="D10" s="2" t="s">
        <v>55</v>
      </c>
      <c r="E10" s="2" t="s">
        <v>21</v>
      </c>
      <c r="F10" s="2"/>
      <c r="G10" s="2" t="s">
        <v>32</v>
      </c>
      <c r="H10" s="2" t="s">
        <v>33</v>
      </c>
      <c r="I10" s="2" t="s">
        <v>34</v>
      </c>
      <c r="J10" s="2" t="s">
        <v>25</v>
      </c>
      <c r="K10" s="7">
        <v>0.4</v>
      </c>
      <c r="L10" s="2" t="s">
        <v>26</v>
      </c>
      <c r="M10" s="7">
        <v>0.4</v>
      </c>
      <c r="N10" s="2" t="s">
        <v>26</v>
      </c>
      <c r="O10" s="2" t="s">
        <v>56</v>
      </c>
      <c r="P10" s="2" t="s">
        <v>57</v>
      </c>
      <c r="Q10" s="2"/>
      <c r="R10" s="2" t="s">
        <v>37</v>
      </c>
    </row>
    <row r="11" ht="16" hidden="1" customHeight="1" spans="1:18">
      <c r="A11" s="2" t="s">
        <v>59</v>
      </c>
      <c r="B11" s="2" t="s">
        <v>53</v>
      </c>
      <c r="C11" s="2" t="s">
        <v>54</v>
      </c>
      <c r="D11" s="2" t="s">
        <v>55</v>
      </c>
      <c r="E11" s="2" t="s">
        <v>21</v>
      </c>
      <c r="F11" s="2"/>
      <c r="G11" s="2" t="s">
        <v>32</v>
      </c>
      <c r="H11" s="2" t="s">
        <v>33</v>
      </c>
      <c r="I11" s="2" t="s">
        <v>39</v>
      </c>
      <c r="J11" s="2" t="s">
        <v>25</v>
      </c>
      <c r="K11" s="7">
        <v>2.49</v>
      </c>
      <c r="L11" s="2" t="s">
        <v>26</v>
      </c>
      <c r="M11" s="7">
        <v>2.49</v>
      </c>
      <c r="N11" s="2" t="s">
        <v>26</v>
      </c>
      <c r="O11" s="2" t="s">
        <v>56</v>
      </c>
      <c r="P11" s="2" t="s">
        <v>57</v>
      </c>
      <c r="Q11" s="2"/>
      <c r="R11" s="2" t="s">
        <v>37</v>
      </c>
    </row>
    <row r="12" ht="16" hidden="1" customHeight="1" spans="1:18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21</v>
      </c>
      <c r="F12" s="2"/>
      <c r="G12" s="2" t="s">
        <v>32</v>
      </c>
      <c r="H12" s="2" t="s">
        <v>33</v>
      </c>
      <c r="I12" s="2" t="s">
        <v>47</v>
      </c>
      <c r="J12" s="2" t="s">
        <v>25</v>
      </c>
      <c r="K12" s="7">
        <v>0.07</v>
      </c>
      <c r="L12" s="2" t="s">
        <v>26</v>
      </c>
      <c r="M12" s="7">
        <v>0.07</v>
      </c>
      <c r="N12" s="2" t="s">
        <v>26</v>
      </c>
      <c r="O12" s="2" t="s">
        <v>56</v>
      </c>
      <c r="P12" s="2" t="s">
        <v>64</v>
      </c>
      <c r="Q12" s="2"/>
      <c r="R12" s="2" t="s">
        <v>37</v>
      </c>
    </row>
    <row r="13" ht="16" hidden="1" customHeight="1" spans="1:18">
      <c r="A13" s="2" t="s">
        <v>65</v>
      </c>
      <c r="B13" s="2" t="s">
        <v>61</v>
      </c>
      <c r="C13" s="2" t="s">
        <v>62</v>
      </c>
      <c r="D13" s="2" t="s">
        <v>63</v>
      </c>
      <c r="E13" s="2" t="s">
        <v>21</v>
      </c>
      <c r="F13" s="2"/>
      <c r="G13" s="2" t="s">
        <v>32</v>
      </c>
      <c r="H13" s="2" t="s">
        <v>33</v>
      </c>
      <c r="I13" s="2" t="s">
        <v>34</v>
      </c>
      <c r="J13" s="2" t="s">
        <v>25</v>
      </c>
      <c r="K13" s="7">
        <v>0.4</v>
      </c>
      <c r="L13" s="2" t="s">
        <v>26</v>
      </c>
      <c r="M13" s="7">
        <v>0.4</v>
      </c>
      <c r="N13" s="2" t="s">
        <v>26</v>
      </c>
      <c r="O13" s="2" t="s">
        <v>56</v>
      </c>
      <c r="P13" s="2" t="s">
        <v>64</v>
      </c>
      <c r="Q13" s="2"/>
      <c r="R13" s="2" t="s">
        <v>37</v>
      </c>
    </row>
    <row r="14" ht="16" hidden="1" customHeight="1" spans="1:18">
      <c r="A14" s="2" t="s">
        <v>66</v>
      </c>
      <c r="B14" s="2" t="s">
        <v>61</v>
      </c>
      <c r="C14" s="2" t="s">
        <v>62</v>
      </c>
      <c r="D14" s="2" t="s">
        <v>63</v>
      </c>
      <c r="E14" s="2" t="s">
        <v>21</v>
      </c>
      <c r="F14" s="2"/>
      <c r="G14" s="2" t="s">
        <v>32</v>
      </c>
      <c r="H14" s="2" t="s">
        <v>33</v>
      </c>
      <c r="I14" s="2" t="s">
        <v>39</v>
      </c>
      <c r="J14" s="2" t="s">
        <v>25</v>
      </c>
      <c r="K14" s="7">
        <v>2.49</v>
      </c>
      <c r="L14" s="2" t="s">
        <v>26</v>
      </c>
      <c r="M14" s="7">
        <v>2.49</v>
      </c>
      <c r="N14" s="2" t="s">
        <v>26</v>
      </c>
      <c r="O14" s="2" t="s">
        <v>56</v>
      </c>
      <c r="P14" s="2" t="s">
        <v>64</v>
      </c>
      <c r="Q14" s="2"/>
      <c r="R14" s="2" t="s">
        <v>37</v>
      </c>
    </row>
    <row r="15" ht="16" hidden="1" customHeight="1" spans="1:18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21</v>
      </c>
      <c r="F15" s="2"/>
      <c r="G15" s="2" t="s">
        <v>32</v>
      </c>
      <c r="H15" s="2" t="s">
        <v>33</v>
      </c>
      <c r="I15" s="2" t="s">
        <v>47</v>
      </c>
      <c r="J15" s="2" t="s">
        <v>25</v>
      </c>
      <c r="K15" s="7">
        <v>0.07</v>
      </c>
      <c r="L15" s="2" t="s">
        <v>26</v>
      </c>
      <c r="M15" s="7">
        <v>0.07</v>
      </c>
      <c r="N15" s="2" t="s">
        <v>26</v>
      </c>
      <c r="O15" s="2" t="s">
        <v>56</v>
      </c>
      <c r="P15" s="2" t="s">
        <v>71</v>
      </c>
      <c r="Q15" s="2"/>
      <c r="R15" s="2" t="s">
        <v>37</v>
      </c>
    </row>
    <row r="16" ht="16" hidden="1" customHeight="1" spans="1:18">
      <c r="A16" s="2" t="s">
        <v>72</v>
      </c>
      <c r="B16" s="2" t="s">
        <v>68</v>
      </c>
      <c r="C16" s="2" t="s">
        <v>69</v>
      </c>
      <c r="D16" s="2" t="s">
        <v>70</v>
      </c>
      <c r="E16" s="2" t="s">
        <v>21</v>
      </c>
      <c r="F16" s="2"/>
      <c r="G16" s="2" t="s">
        <v>32</v>
      </c>
      <c r="H16" s="2" t="s">
        <v>33</v>
      </c>
      <c r="I16" s="2" t="s">
        <v>34</v>
      </c>
      <c r="J16" s="2" t="s">
        <v>25</v>
      </c>
      <c r="K16" s="7">
        <v>0.4</v>
      </c>
      <c r="L16" s="2" t="s">
        <v>26</v>
      </c>
      <c r="M16" s="7">
        <v>0.4</v>
      </c>
      <c r="N16" s="2" t="s">
        <v>26</v>
      </c>
      <c r="O16" s="2" t="s">
        <v>56</v>
      </c>
      <c r="P16" s="2" t="s">
        <v>71</v>
      </c>
      <c r="Q16" s="2"/>
      <c r="R16" s="2" t="s">
        <v>37</v>
      </c>
    </row>
    <row r="17" ht="16" hidden="1" customHeight="1" spans="1:18">
      <c r="A17" s="2" t="s">
        <v>73</v>
      </c>
      <c r="B17" s="2" t="s">
        <v>68</v>
      </c>
      <c r="C17" s="2" t="s">
        <v>69</v>
      </c>
      <c r="D17" s="2" t="s">
        <v>70</v>
      </c>
      <c r="E17" s="2" t="s">
        <v>21</v>
      </c>
      <c r="F17" s="2"/>
      <c r="G17" s="2" t="s">
        <v>32</v>
      </c>
      <c r="H17" s="2" t="s">
        <v>33</v>
      </c>
      <c r="I17" s="2" t="s">
        <v>39</v>
      </c>
      <c r="J17" s="2" t="s">
        <v>25</v>
      </c>
      <c r="K17" s="7">
        <v>2.49</v>
      </c>
      <c r="L17" s="2" t="s">
        <v>26</v>
      </c>
      <c r="M17" s="7">
        <v>2.49</v>
      </c>
      <c r="N17" s="2" t="s">
        <v>26</v>
      </c>
      <c r="O17" s="2" t="s">
        <v>56</v>
      </c>
      <c r="P17" s="2" t="s">
        <v>71</v>
      </c>
      <c r="Q17" s="2"/>
      <c r="R17" s="2" t="s">
        <v>37</v>
      </c>
    </row>
    <row r="18" ht="16" hidden="1" customHeight="1" spans="1:18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21</v>
      </c>
      <c r="F18" s="2"/>
      <c r="G18" s="2" t="s">
        <v>32</v>
      </c>
      <c r="H18" s="2" t="s">
        <v>33</v>
      </c>
      <c r="I18" s="2" t="s">
        <v>47</v>
      </c>
      <c r="J18" s="2" t="s">
        <v>25</v>
      </c>
      <c r="K18" s="7">
        <v>0.07</v>
      </c>
      <c r="L18" s="2" t="s">
        <v>26</v>
      </c>
      <c r="M18" s="7">
        <v>0.07</v>
      </c>
      <c r="N18" s="2" t="s">
        <v>26</v>
      </c>
      <c r="O18" s="2" t="s">
        <v>56</v>
      </c>
      <c r="P18" s="2" t="s">
        <v>78</v>
      </c>
      <c r="Q18" s="2"/>
      <c r="R18" s="2" t="s">
        <v>37</v>
      </c>
    </row>
    <row r="19" ht="16" hidden="1" customHeight="1" spans="1:18">
      <c r="A19" s="2" t="s">
        <v>79</v>
      </c>
      <c r="B19" s="2" t="s">
        <v>75</v>
      </c>
      <c r="C19" s="2" t="s">
        <v>76</v>
      </c>
      <c r="D19" s="2" t="s">
        <v>77</v>
      </c>
      <c r="E19" s="2" t="s">
        <v>21</v>
      </c>
      <c r="F19" s="2"/>
      <c r="G19" s="2" t="s">
        <v>32</v>
      </c>
      <c r="H19" s="2" t="s">
        <v>33</v>
      </c>
      <c r="I19" s="2" t="s">
        <v>34</v>
      </c>
      <c r="J19" s="2" t="s">
        <v>25</v>
      </c>
      <c r="K19" s="7">
        <v>0.4</v>
      </c>
      <c r="L19" s="2" t="s">
        <v>26</v>
      </c>
      <c r="M19" s="7">
        <v>0.4</v>
      </c>
      <c r="N19" s="2" t="s">
        <v>26</v>
      </c>
      <c r="O19" s="2" t="s">
        <v>56</v>
      </c>
      <c r="P19" s="2" t="s">
        <v>78</v>
      </c>
      <c r="Q19" s="2"/>
      <c r="R19" s="2" t="s">
        <v>37</v>
      </c>
    </row>
    <row r="20" ht="16" hidden="1" customHeight="1" spans="1:18">
      <c r="A20" s="2" t="s">
        <v>80</v>
      </c>
      <c r="B20" s="2" t="s">
        <v>75</v>
      </c>
      <c r="C20" s="2" t="s">
        <v>76</v>
      </c>
      <c r="D20" s="2" t="s">
        <v>77</v>
      </c>
      <c r="E20" s="2" t="s">
        <v>21</v>
      </c>
      <c r="F20" s="2"/>
      <c r="G20" s="2" t="s">
        <v>32</v>
      </c>
      <c r="H20" s="2" t="s">
        <v>33</v>
      </c>
      <c r="I20" s="2" t="s">
        <v>39</v>
      </c>
      <c r="J20" s="2" t="s">
        <v>25</v>
      </c>
      <c r="K20" s="7">
        <v>2.49</v>
      </c>
      <c r="L20" s="2" t="s">
        <v>26</v>
      </c>
      <c r="M20" s="7">
        <v>2.49</v>
      </c>
      <c r="N20" s="2" t="s">
        <v>26</v>
      </c>
      <c r="O20" s="2" t="s">
        <v>56</v>
      </c>
      <c r="P20" s="2" t="s">
        <v>78</v>
      </c>
      <c r="Q20" s="2"/>
      <c r="R20" s="2" t="s">
        <v>37</v>
      </c>
    </row>
    <row r="21" ht="16" hidden="1" customHeight="1" spans="1:18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21</v>
      </c>
      <c r="F21" s="2"/>
      <c r="G21" s="2" t="s">
        <v>32</v>
      </c>
      <c r="H21" s="2" t="s">
        <v>33</v>
      </c>
      <c r="I21" s="2" t="s">
        <v>85</v>
      </c>
      <c r="J21" s="2" t="s">
        <v>25</v>
      </c>
      <c r="K21" s="7">
        <v>1.5</v>
      </c>
      <c r="L21" s="2" t="s">
        <v>26</v>
      </c>
      <c r="M21" s="7">
        <v>1.5</v>
      </c>
      <c r="N21" s="2" t="s">
        <v>26</v>
      </c>
      <c r="O21" s="2" t="s">
        <v>86</v>
      </c>
      <c r="P21" s="2" t="s">
        <v>87</v>
      </c>
      <c r="Q21" s="2"/>
      <c r="R21" s="2" t="s">
        <v>37</v>
      </c>
    </row>
    <row r="22" ht="16" hidden="1" customHeight="1" spans="1:18">
      <c r="A22" s="2" t="s">
        <v>88</v>
      </c>
      <c r="B22" s="2" t="s">
        <v>82</v>
      </c>
      <c r="C22" s="2" t="s">
        <v>83</v>
      </c>
      <c r="D22" s="2" t="s">
        <v>84</v>
      </c>
      <c r="E22" s="2" t="s">
        <v>21</v>
      </c>
      <c r="F22" s="2"/>
      <c r="G22" s="2" t="s">
        <v>32</v>
      </c>
      <c r="H22" s="2" t="s">
        <v>33</v>
      </c>
      <c r="I22" s="2" t="s">
        <v>89</v>
      </c>
      <c r="J22" s="2" t="s">
        <v>25</v>
      </c>
      <c r="K22" s="7">
        <v>0.3</v>
      </c>
      <c r="L22" s="2" t="s">
        <v>26</v>
      </c>
      <c r="M22" s="7">
        <v>0.3</v>
      </c>
      <c r="N22" s="2" t="s">
        <v>26</v>
      </c>
      <c r="O22" s="2" t="s">
        <v>86</v>
      </c>
      <c r="P22" s="2" t="s">
        <v>87</v>
      </c>
      <c r="Q22" s="2"/>
      <c r="R22" s="2" t="s">
        <v>37</v>
      </c>
    </row>
    <row r="23" ht="16" hidden="1" customHeight="1" spans="1:18">
      <c r="A23" s="2" t="s">
        <v>90</v>
      </c>
      <c r="B23" s="2" t="s">
        <v>82</v>
      </c>
      <c r="C23" s="2" t="s">
        <v>83</v>
      </c>
      <c r="D23" s="2" t="s">
        <v>84</v>
      </c>
      <c r="E23" s="2" t="s">
        <v>21</v>
      </c>
      <c r="F23" s="2"/>
      <c r="G23" s="2" t="s">
        <v>32</v>
      </c>
      <c r="H23" s="2" t="s">
        <v>33</v>
      </c>
      <c r="I23" s="2" t="s">
        <v>47</v>
      </c>
      <c r="J23" s="2" t="s">
        <v>25</v>
      </c>
      <c r="K23" s="7">
        <v>0.21</v>
      </c>
      <c r="L23" s="2" t="s">
        <v>26</v>
      </c>
      <c r="M23" s="7">
        <v>0.21</v>
      </c>
      <c r="N23" s="2" t="s">
        <v>26</v>
      </c>
      <c r="O23" s="2" t="s">
        <v>86</v>
      </c>
      <c r="P23" s="2" t="s">
        <v>87</v>
      </c>
      <c r="Q23" s="2"/>
      <c r="R23" s="2" t="s">
        <v>37</v>
      </c>
    </row>
    <row r="24" ht="16" hidden="1" customHeight="1" spans="1:18">
      <c r="A24" s="2" t="s">
        <v>91</v>
      </c>
      <c r="B24" s="2" t="s">
        <v>82</v>
      </c>
      <c r="C24" s="2" t="s">
        <v>83</v>
      </c>
      <c r="D24" s="2" t="s">
        <v>84</v>
      </c>
      <c r="E24" s="2" t="s">
        <v>21</v>
      </c>
      <c r="F24" s="2"/>
      <c r="G24" s="2" t="s">
        <v>32</v>
      </c>
      <c r="H24" s="2" t="s">
        <v>33</v>
      </c>
      <c r="I24" s="2" t="s">
        <v>34</v>
      </c>
      <c r="J24" s="2" t="s">
        <v>25</v>
      </c>
      <c r="K24" s="7">
        <v>0.4</v>
      </c>
      <c r="L24" s="2" t="s">
        <v>26</v>
      </c>
      <c r="M24" s="7">
        <v>0.4</v>
      </c>
      <c r="N24" s="2" t="s">
        <v>26</v>
      </c>
      <c r="O24" s="2" t="s">
        <v>86</v>
      </c>
      <c r="P24" s="2" t="s">
        <v>87</v>
      </c>
      <c r="Q24" s="2"/>
      <c r="R24" s="2" t="s">
        <v>37</v>
      </c>
    </row>
    <row r="25" ht="16" hidden="1" customHeight="1" spans="1:18">
      <c r="A25" s="2" t="s">
        <v>92</v>
      </c>
      <c r="B25" s="2" t="s">
        <v>82</v>
      </c>
      <c r="C25" s="2" t="s">
        <v>83</v>
      </c>
      <c r="D25" s="2" t="s">
        <v>84</v>
      </c>
      <c r="E25" s="2" t="s">
        <v>21</v>
      </c>
      <c r="F25" s="2"/>
      <c r="G25" s="2" t="s">
        <v>32</v>
      </c>
      <c r="H25" s="2" t="s">
        <v>33</v>
      </c>
      <c r="I25" s="2" t="s">
        <v>39</v>
      </c>
      <c r="J25" s="2" t="s">
        <v>25</v>
      </c>
      <c r="K25" s="7">
        <v>2.86</v>
      </c>
      <c r="L25" s="2" t="s">
        <v>26</v>
      </c>
      <c r="M25" s="7">
        <v>2.86</v>
      </c>
      <c r="N25" s="2" t="s">
        <v>26</v>
      </c>
      <c r="O25" s="2" t="s">
        <v>86</v>
      </c>
      <c r="P25" s="2" t="s">
        <v>87</v>
      </c>
      <c r="Q25" s="2"/>
      <c r="R25" s="2" t="s">
        <v>37</v>
      </c>
    </row>
    <row r="26" ht="16" customHeight="1" spans="1:18">
      <c r="A26" s="2" t="s">
        <v>93</v>
      </c>
      <c r="B26" s="2" t="s">
        <v>94</v>
      </c>
      <c r="C26" s="2"/>
      <c r="D26" s="2" t="s">
        <v>20</v>
      </c>
      <c r="E26" s="2" t="s">
        <v>21</v>
      </c>
      <c r="F26" s="2"/>
      <c r="G26" s="2" t="s">
        <v>22</v>
      </c>
      <c r="H26" s="2" t="s">
        <v>23</v>
      </c>
      <c r="I26" s="2" t="s">
        <v>24</v>
      </c>
      <c r="J26" s="2" t="s">
        <v>25</v>
      </c>
      <c r="K26" s="7">
        <v>13.876</v>
      </c>
      <c r="L26" s="2" t="s">
        <v>26</v>
      </c>
      <c r="M26" s="7">
        <v>13.876</v>
      </c>
      <c r="N26" s="2" t="s">
        <v>26</v>
      </c>
      <c r="O26" s="2"/>
      <c r="P26" s="2" t="s">
        <v>95</v>
      </c>
      <c r="Q26" s="2"/>
      <c r="R26" s="2"/>
    </row>
    <row r="27" ht="16" hidden="1" customHeight="1" spans="1:18">
      <c r="A27" s="2" t="s">
        <v>96</v>
      </c>
      <c r="B27" s="2" t="s">
        <v>97</v>
      </c>
      <c r="C27" s="2" t="s">
        <v>98</v>
      </c>
      <c r="D27" s="2" t="s">
        <v>99</v>
      </c>
      <c r="E27" s="2" t="s">
        <v>21</v>
      </c>
      <c r="F27" s="2"/>
      <c r="G27" s="2" t="s">
        <v>32</v>
      </c>
      <c r="H27" s="2" t="s">
        <v>33</v>
      </c>
      <c r="I27" s="2" t="s">
        <v>85</v>
      </c>
      <c r="J27" s="2" t="s">
        <v>25</v>
      </c>
      <c r="K27" s="7">
        <v>1.5</v>
      </c>
      <c r="L27" s="2" t="s">
        <v>26</v>
      </c>
      <c r="M27" s="7">
        <v>1.5</v>
      </c>
      <c r="N27" s="2" t="s">
        <v>26</v>
      </c>
      <c r="O27" s="2" t="s">
        <v>100</v>
      </c>
      <c r="P27" s="2" t="s">
        <v>101</v>
      </c>
      <c r="Q27" s="2"/>
      <c r="R27" s="2" t="s">
        <v>37</v>
      </c>
    </row>
    <row r="28" ht="16" hidden="1" customHeight="1" spans="1:18">
      <c r="A28" s="2" t="s">
        <v>102</v>
      </c>
      <c r="B28" s="2" t="s">
        <v>97</v>
      </c>
      <c r="C28" s="2" t="s">
        <v>98</v>
      </c>
      <c r="D28" s="2" t="s">
        <v>99</v>
      </c>
      <c r="E28" s="2" t="s">
        <v>21</v>
      </c>
      <c r="F28" s="2"/>
      <c r="G28" s="2" t="s">
        <v>32</v>
      </c>
      <c r="H28" s="2" t="s">
        <v>33</v>
      </c>
      <c r="I28" s="2" t="s">
        <v>47</v>
      </c>
      <c r="J28" s="2" t="s">
        <v>25</v>
      </c>
      <c r="K28" s="7">
        <v>0.07</v>
      </c>
      <c r="L28" s="2" t="s">
        <v>26</v>
      </c>
      <c r="M28" s="7">
        <v>0.07</v>
      </c>
      <c r="N28" s="2" t="s">
        <v>26</v>
      </c>
      <c r="O28" s="2" t="s">
        <v>100</v>
      </c>
      <c r="P28" s="2" t="s">
        <v>101</v>
      </c>
      <c r="Q28" s="2"/>
      <c r="R28" s="2" t="s">
        <v>37</v>
      </c>
    </row>
    <row r="29" ht="16" hidden="1" customHeight="1" spans="1:18">
      <c r="A29" s="2" t="s">
        <v>103</v>
      </c>
      <c r="B29" s="2" t="s">
        <v>97</v>
      </c>
      <c r="C29" s="2" t="s">
        <v>98</v>
      </c>
      <c r="D29" s="2" t="s">
        <v>99</v>
      </c>
      <c r="E29" s="2" t="s">
        <v>21</v>
      </c>
      <c r="F29" s="2"/>
      <c r="G29" s="2" t="s">
        <v>32</v>
      </c>
      <c r="H29" s="2" t="s">
        <v>33</v>
      </c>
      <c r="I29" s="2" t="s">
        <v>34</v>
      </c>
      <c r="J29" s="2" t="s">
        <v>25</v>
      </c>
      <c r="K29" s="7">
        <v>0.4</v>
      </c>
      <c r="L29" s="2" t="s">
        <v>26</v>
      </c>
      <c r="M29" s="7">
        <v>0.4</v>
      </c>
      <c r="N29" s="2" t="s">
        <v>26</v>
      </c>
      <c r="O29" s="2" t="s">
        <v>100</v>
      </c>
      <c r="P29" s="2" t="s">
        <v>101</v>
      </c>
      <c r="Q29" s="2"/>
      <c r="R29" s="2" t="s">
        <v>37</v>
      </c>
    </row>
    <row r="30" ht="16" hidden="1" customHeight="1" spans="1:18">
      <c r="A30" s="2" t="s">
        <v>104</v>
      </c>
      <c r="B30" s="2" t="s">
        <v>97</v>
      </c>
      <c r="C30" s="2" t="s">
        <v>98</v>
      </c>
      <c r="D30" s="2" t="s">
        <v>99</v>
      </c>
      <c r="E30" s="2" t="s">
        <v>21</v>
      </c>
      <c r="F30" s="2"/>
      <c r="G30" s="2" t="s">
        <v>32</v>
      </c>
      <c r="H30" s="2" t="s">
        <v>33</v>
      </c>
      <c r="I30" s="2" t="s">
        <v>39</v>
      </c>
      <c r="J30" s="2" t="s">
        <v>25</v>
      </c>
      <c r="K30" s="7">
        <v>2.49</v>
      </c>
      <c r="L30" s="2" t="s">
        <v>26</v>
      </c>
      <c r="M30" s="7">
        <v>2.49</v>
      </c>
      <c r="N30" s="2" t="s">
        <v>26</v>
      </c>
      <c r="O30" s="2" t="s">
        <v>100</v>
      </c>
      <c r="P30" s="2" t="s">
        <v>101</v>
      </c>
      <c r="Q30" s="2"/>
      <c r="R30" s="2" t="s">
        <v>37</v>
      </c>
    </row>
    <row r="31" ht="16" hidden="1" customHeight="1" spans="1:18">
      <c r="A31" s="2" t="s">
        <v>105</v>
      </c>
      <c r="B31" s="2" t="s">
        <v>106</v>
      </c>
      <c r="C31" s="2" t="s">
        <v>107</v>
      </c>
      <c r="D31" s="2" t="s">
        <v>108</v>
      </c>
      <c r="E31" s="2" t="s">
        <v>21</v>
      </c>
      <c r="F31" s="2"/>
      <c r="G31" s="2" t="s">
        <v>32</v>
      </c>
      <c r="H31" s="2" t="s">
        <v>33</v>
      </c>
      <c r="I31" s="2" t="s">
        <v>85</v>
      </c>
      <c r="J31" s="2" t="s">
        <v>25</v>
      </c>
      <c r="K31" s="7">
        <v>1.5</v>
      </c>
      <c r="L31" s="2" t="s">
        <v>26</v>
      </c>
      <c r="M31" s="7">
        <v>1.5</v>
      </c>
      <c r="N31" s="2" t="s">
        <v>26</v>
      </c>
      <c r="O31" s="2" t="s">
        <v>100</v>
      </c>
      <c r="P31" s="2" t="s">
        <v>109</v>
      </c>
      <c r="Q31" s="2"/>
      <c r="R31" s="2" t="s">
        <v>37</v>
      </c>
    </row>
    <row r="32" ht="16" hidden="1" customHeight="1" spans="1:18">
      <c r="A32" s="2" t="s">
        <v>110</v>
      </c>
      <c r="B32" s="2" t="s">
        <v>106</v>
      </c>
      <c r="C32" s="2" t="s">
        <v>107</v>
      </c>
      <c r="D32" s="2" t="s">
        <v>108</v>
      </c>
      <c r="E32" s="2" t="s">
        <v>21</v>
      </c>
      <c r="F32" s="2"/>
      <c r="G32" s="2" t="s">
        <v>32</v>
      </c>
      <c r="H32" s="2" t="s">
        <v>33</v>
      </c>
      <c r="I32" s="2" t="s">
        <v>47</v>
      </c>
      <c r="J32" s="2" t="s">
        <v>25</v>
      </c>
      <c r="K32" s="7">
        <v>0.07</v>
      </c>
      <c r="L32" s="2" t="s">
        <v>26</v>
      </c>
      <c r="M32" s="7">
        <v>0.07</v>
      </c>
      <c r="N32" s="2" t="s">
        <v>26</v>
      </c>
      <c r="O32" s="2" t="s">
        <v>100</v>
      </c>
      <c r="P32" s="2" t="s">
        <v>109</v>
      </c>
      <c r="Q32" s="2"/>
      <c r="R32" s="2" t="s">
        <v>37</v>
      </c>
    </row>
    <row r="33" ht="16" hidden="1" customHeight="1" spans="1:18">
      <c r="A33" s="2" t="s">
        <v>111</v>
      </c>
      <c r="B33" s="2" t="s">
        <v>106</v>
      </c>
      <c r="C33" s="2" t="s">
        <v>107</v>
      </c>
      <c r="D33" s="2" t="s">
        <v>108</v>
      </c>
      <c r="E33" s="2" t="s">
        <v>21</v>
      </c>
      <c r="F33" s="2"/>
      <c r="G33" s="2" t="s">
        <v>32</v>
      </c>
      <c r="H33" s="2" t="s">
        <v>33</v>
      </c>
      <c r="I33" s="2" t="s">
        <v>34</v>
      </c>
      <c r="J33" s="2" t="s">
        <v>25</v>
      </c>
      <c r="K33" s="7">
        <v>0.4</v>
      </c>
      <c r="L33" s="2" t="s">
        <v>26</v>
      </c>
      <c r="M33" s="7">
        <v>0.4</v>
      </c>
      <c r="N33" s="2" t="s">
        <v>26</v>
      </c>
      <c r="O33" s="2" t="s">
        <v>100</v>
      </c>
      <c r="P33" s="2" t="s">
        <v>109</v>
      </c>
      <c r="Q33" s="2"/>
      <c r="R33" s="2" t="s">
        <v>37</v>
      </c>
    </row>
    <row r="34" ht="16" hidden="1" customHeight="1" spans="1:18">
      <c r="A34" s="2" t="s">
        <v>112</v>
      </c>
      <c r="B34" s="2" t="s">
        <v>106</v>
      </c>
      <c r="C34" s="2" t="s">
        <v>107</v>
      </c>
      <c r="D34" s="2" t="s">
        <v>108</v>
      </c>
      <c r="E34" s="2" t="s">
        <v>21</v>
      </c>
      <c r="F34" s="2"/>
      <c r="G34" s="2" t="s">
        <v>32</v>
      </c>
      <c r="H34" s="2" t="s">
        <v>33</v>
      </c>
      <c r="I34" s="2" t="s">
        <v>39</v>
      </c>
      <c r="J34" s="2" t="s">
        <v>25</v>
      </c>
      <c r="K34" s="7">
        <v>2.49</v>
      </c>
      <c r="L34" s="2" t="s">
        <v>26</v>
      </c>
      <c r="M34" s="7">
        <v>2.49</v>
      </c>
      <c r="N34" s="2" t="s">
        <v>26</v>
      </c>
      <c r="O34" s="2" t="s">
        <v>100</v>
      </c>
      <c r="P34" s="2" t="s">
        <v>109</v>
      </c>
      <c r="Q34" s="2"/>
      <c r="R34" s="2" t="s">
        <v>37</v>
      </c>
    </row>
    <row r="35" ht="16" hidden="1" customHeight="1" spans="1:18">
      <c r="A35" s="2" t="s">
        <v>113</v>
      </c>
      <c r="B35" s="2" t="s">
        <v>114</v>
      </c>
      <c r="C35" s="2" t="s">
        <v>115</v>
      </c>
      <c r="D35" s="2" t="s">
        <v>116</v>
      </c>
      <c r="E35" s="2" t="s">
        <v>21</v>
      </c>
      <c r="F35" s="2"/>
      <c r="G35" s="2" t="s">
        <v>32</v>
      </c>
      <c r="H35" s="2" t="s">
        <v>33</v>
      </c>
      <c r="I35" s="2" t="s">
        <v>85</v>
      </c>
      <c r="J35" s="2" t="s">
        <v>25</v>
      </c>
      <c r="K35" s="7">
        <v>0.8</v>
      </c>
      <c r="L35" s="2" t="s">
        <v>26</v>
      </c>
      <c r="M35" s="7">
        <v>0.8</v>
      </c>
      <c r="N35" s="2" t="s">
        <v>26</v>
      </c>
      <c r="O35" s="2" t="s">
        <v>117</v>
      </c>
      <c r="P35" s="2" t="s">
        <v>118</v>
      </c>
      <c r="Q35" s="2"/>
      <c r="R35" s="2" t="s">
        <v>37</v>
      </c>
    </row>
    <row r="36" ht="16" hidden="1" customHeight="1" spans="1:18">
      <c r="A36" s="2" t="s">
        <v>119</v>
      </c>
      <c r="B36" s="2" t="s">
        <v>114</v>
      </c>
      <c r="C36" s="2" t="s">
        <v>115</v>
      </c>
      <c r="D36" s="2" t="s">
        <v>116</v>
      </c>
      <c r="E36" s="2" t="s">
        <v>21</v>
      </c>
      <c r="F36" s="2"/>
      <c r="G36" s="2" t="s">
        <v>32</v>
      </c>
      <c r="H36" s="2" t="s">
        <v>33</v>
      </c>
      <c r="I36" s="2" t="s">
        <v>89</v>
      </c>
      <c r="J36" s="2" t="s">
        <v>25</v>
      </c>
      <c r="K36" s="7">
        <v>0.3</v>
      </c>
      <c r="L36" s="2" t="s">
        <v>26</v>
      </c>
      <c r="M36" s="7">
        <v>0.3</v>
      </c>
      <c r="N36" s="2" t="s">
        <v>26</v>
      </c>
      <c r="O36" s="2" t="s">
        <v>117</v>
      </c>
      <c r="P36" s="2" t="s">
        <v>118</v>
      </c>
      <c r="Q36" s="2"/>
      <c r="R36" s="2" t="s">
        <v>37</v>
      </c>
    </row>
    <row r="37" ht="16" hidden="1" customHeight="1" spans="1:18">
      <c r="A37" s="2" t="s">
        <v>120</v>
      </c>
      <c r="B37" s="2" t="s">
        <v>114</v>
      </c>
      <c r="C37" s="2" t="s">
        <v>115</v>
      </c>
      <c r="D37" s="2" t="s">
        <v>116</v>
      </c>
      <c r="E37" s="2" t="s">
        <v>21</v>
      </c>
      <c r="F37" s="2"/>
      <c r="G37" s="2" t="s">
        <v>32</v>
      </c>
      <c r="H37" s="2" t="s">
        <v>33</v>
      </c>
      <c r="I37" s="2" t="s">
        <v>47</v>
      </c>
      <c r="J37" s="2" t="s">
        <v>25</v>
      </c>
      <c r="K37" s="7">
        <v>0.07</v>
      </c>
      <c r="L37" s="2" t="s">
        <v>26</v>
      </c>
      <c r="M37" s="7">
        <v>0.07</v>
      </c>
      <c r="N37" s="2" t="s">
        <v>26</v>
      </c>
      <c r="O37" s="2" t="s">
        <v>117</v>
      </c>
      <c r="P37" s="2" t="s">
        <v>118</v>
      </c>
      <c r="Q37" s="2"/>
      <c r="R37" s="2" t="s">
        <v>37</v>
      </c>
    </row>
    <row r="38" ht="16" hidden="1" customHeight="1" spans="1:18">
      <c r="A38" s="2" t="s">
        <v>121</v>
      </c>
      <c r="B38" s="2" t="s">
        <v>114</v>
      </c>
      <c r="C38" s="2" t="s">
        <v>115</v>
      </c>
      <c r="D38" s="2" t="s">
        <v>116</v>
      </c>
      <c r="E38" s="2" t="s">
        <v>21</v>
      </c>
      <c r="F38" s="2"/>
      <c r="G38" s="2" t="s">
        <v>32</v>
      </c>
      <c r="H38" s="2" t="s">
        <v>33</v>
      </c>
      <c r="I38" s="2" t="s">
        <v>34</v>
      </c>
      <c r="J38" s="2" t="s">
        <v>25</v>
      </c>
      <c r="K38" s="7">
        <v>0.4</v>
      </c>
      <c r="L38" s="2" t="s">
        <v>26</v>
      </c>
      <c r="M38" s="7">
        <v>0.4</v>
      </c>
      <c r="N38" s="2" t="s">
        <v>26</v>
      </c>
      <c r="O38" s="2" t="s">
        <v>117</v>
      </c>
      <c r="P38" s="2" t="s">
        <v>118</v>
      </c>
      <c r="Q38" s="2"/>
      <c r="R38" s="2" t="s">
        <v>37</v>
      </c>
    </row>
    <row r="39" ht="16" hidden="1" customHeight="1" spans="1:18">
      <c r="A39" s="2" t="s">
        <v>122</v>
      </c>
      <c r="B39" s="2" t="s">
        <v>114</v>
      </c>
      <c r="C39" s="2" t="s">
        <v>115</v>
      </c>
      <c r="D39" s="2" t="s">
        <v>116</v>
      </c>
      <c r="E39" s="2" t="s">
        <v>21</v>
      </c>
      <c r="F39" s="2"/>
      <c r="G39" s="2" t="s">
        <v>32</v>
      </c>
      <c r="H39" s="2" t="s">
        <v>33</v>
      </c>
      <c r="I39" s="2" t="s">
        <v>39</v>
      </c>
      <c r="J39" s="2" t="s">
        <v>25</v>
      </c>
      <c r="K39" s="7">
        <v>2.49</v>
      </c>
      <c r="L39" s="2" t="s">
        <v>26</v>
      </c>
      <c r="M39" s="7">
        <v>2.49</v>
      </c>
      <c r="N39" s="2" t="s">
        <v>26</v>
      </c>
      <c r="O39" s="2" t="s">
        <v>117</v>
      </c>
      <c r="P39" s="2" t="s">
        <v>118</v>
      </c>
      <c r="Q39" s="2"/>
      <c r="R39" s="2" t="s">
        <v>37</v>
      </c>
    </row>
    <row r="40" ht="16" hidden="1" customHeight="1" spans="1:18">
      <c r="A40" s="2" t="s">
        <v>123</v>
      </c>
      <c r="B40" s="2" t="s">
        <v>124</v>
      </c>
      <c r="C40" s="2" t="s">
        <v>125</v>
      </c>
      <c r="D40" s="2" t="s">
        <v>126</v>
      </c>
      <c r="E40" s="2" t="s">
        <v>21</v>
      </c>
      <c r="F40" s="2"/>
      <c r="G40" s="2" t="s">
        <v>32</v>
      </c>
      <c r="H40" s="2" t="s">
        <v>33</v>
      </c>
      <c r="I40" s="2" t="s">
        <v>34</v>
      </c>
      <c r="J40" s="2" t="s">
        <v>25</v>
      </c>
      <c r="K40" s="7">
        <v>0.4</v>
      </c>
      <c r="L40" s="2" t="s">
        <v>26</v>
      </c>
      <c r="M40" s="7">
        <v>0.4</v>
      </c>
      <c r="N40" s="2" t="s">
        <v>26</v>
      </c>
      <c r="O40" s="2" t="s">
        <v>35</v>
      </c>
      <c r="P40" s="2" t="s">
        <v>127</v>
      </c>
      <c r="Q40" s="2"/>
      <c r="R40" s="2" t="s">
        <v>37</v>
      </c>
    </row>
    <row r="41" ht="16" hidden="1" customHeight="1" spans="1:18">
      <c r="A41" s="2" t="s">
        <v>128</v>
      </c>
      <c r="B41" s="2" t="s">
        <v>124</v>
      </c>
      <c r="C41" s="2" t="s">
        <v>125</v>
      </c>
      <c r="D41" s="2" t="s">
        <v>126</v>
      </c>
      <c r="E41" s="2" t="s">
        <v>21</v>
      </c>
      <c r="F41" s="2"/>
      <c r="G41" s="2" t="s">
        <v>32</v>
      </c>
      <c r="H41" s="2" t="s">
        <v>33</v>
      </c>
      <c r="I41" s="2" t="s">
        <v>39</v>
      </c>
      <c r="J41" s="2" t="s">
        <v>25</v>
      </c>
      <c r="K41" s="7">
        <v>2.49</v>
      </c>
      <c r="L41" s="2" t="s">
        <v>26</v>
      </c>
      <c r="M41" s="7">
        <v>2.49</v>
      </c>
      <c r="N41" s="2" t="s">
        <v>26</v>
      </c>
      <c r="O41" s="2" t="s">
        <v>35</v>
      </c>
      <c r="P41" s="2" t="s">
        <v>127</v>
      </c>
      <c r="Q41" s="2"/>
      <c r="R41" s="2" t="s">
        <v>37</v>
      </c>
    </row>
    <row r="42" ht="16" hidden="1" customHeight="1" spans="1:18">
      <c r="A42" s="2" t="s">
        <v>129</v>
      </c>
      <c r="B42" s="2" t="s">
        <v>130</v>
      </c>
      <c r="C42" s="2" t="s">
        <v>131</v>
      </c>
      <c r="D42" s="2" t="s">
        <v>132</v>
      </c>
      <c r="E42" s="2" t="s">
        <v>21</v>
      </c>
      <c r="F42" s="2"/>
      <c r="G42" s="2" t="s">
        <v>32</v>
      </c>
      <c r="H42" s="2" t="s">
        <v>33</v>
      </c>
      <c r="I42" s="2" t="s">
        <v>34</v>
      </c>
      <c r="J42" s="2" t="s">
        <v>25</v>
      </c>
      <c r="K42" s="7">
        <v>0.4</v>
      </c>
      <c r="L42" s="2" t="s">
        <v>26</v>
      </c>
      <c r="M42" s="7">
        <v>0.4</v>
      </c>
      <c r="N42" s="2" t="s">
        <v>26</v>
      </c>
      <c r="O42" s="2" t="s">
        <v>35</v>
      </c>
      <c r="P42" s="2" t="s">
        <v>133</v>
      </c>
      <c r="Q42" s="2"/>
      <c r="R42" s="2" t="s">
        <v>37</v>
      </c>
    </row>
    <row r="43" ht="16" hidden="1" customHeight="1" spans="1:18">
      <c r="A43" s="2" t="s">
        <v>134</v>
      </c>
      <c r="B43" s="2" t="s">
        <v>130</v>
      </c>
      <c r="C43" s="2" t="s">
        <v>131</v>
      </c>
      <c r="D43" s="2" t="s">
        <v>132</v>
      </c>
      <c r="E43" s="2" t="s">
        <v>21</v>
      </c>
      <c r="F43" s="2"/>
      <c r="G43" s="2" t="s">
        <v>32</v>
      </c>
      <c r="H43" s="2" t="s">
        <v>33</v>
      </c>
      <c r="I43" s="2" t="s">
        <v>39</v>
      </c>
      <c r="J43" s="2" t="s">
        <v>25</v>
      </c>
      <c r="K43" s="7">
        <v>2.49</v>
      </c>
      <c r="L43" s="2" t="s">
        <v>26</v>
      </c>
      <c r="M43" s="7">
        <v>2.49</v>
      </c>
      <c r="N43" s="2" t="s">
        <v>26</v>
      </c>
      <c r="O43" s="2" t="s">
        <v>35</v>
      </c>
      <c r="P43" s="2" t="s">
        <v>133</v>
      </c>
      <c r="Q43" s="2"/>
      <c r="R43" s="2" t="s">
        <v>37</v>
      </c>
    </row>
    <row r="44" ht="16" hidden="1" customHeight="1" spans="1:18">
      <c r="A44" s="2" t="s">
        <v>135</v>
      </c>
      <c r="B44" s="2" t="s">
        <v>136</v>
      </c>
      <c r="C44" s="2" t="s">
        <v>137</v>
      </c>
      <c r="D44" s="2" t="s">
        <v>138</v>
      </c>
      <c r="E44" s="2" t="s">
        <v>21</v>
      </c>
      <c r="F44" s="2"/>
      <c r="G44" s="2" t="s">
        <v>32</v>
      </c>
      <c r="H44" s="2" t="s">
        <v>33</v>
      </c>
      <c r="I44" s="2" t="s">
        <v>34</v>
      </c>
      <c r="J44" s="2" t="s">
        <v>25</v>
      </c>
      <c r="K44" s="7">
        <v>0.4</v>
      </c>
      <c r="L44" s="2" t="s">
        <v>26</v>
      </c>
      <c r="M44" s="7">
        <v>0.4</v>
      </c>
      <c r="N44" s="2" t="s">
        <v>26</v>
      </c>
      <c r="O44" s="2" t="s">
        <v>35</v>
      </c>
      <c r="P44" s="2" t="s">
        <v>139</v>
      </c>
      <c r="Q44" s="2"/>
      <c r="R44" s="2" t="s">
        <v>37</v>
      </c>
    </row>
    <row r="45" ht="16" hidden="1" customHeight="1" spans="1:18">
      <c r="A45" s="2" t="s">
        <v>140</v>
      </c>
      <c r="B45" s="2" t="s">
        <v>136</v>
      </c>
      <c r="C45" s="2" t="s">
        <v>137</v>
      </c>
      <c r="D45" s="2" t="s">
        <v>138</v>
      </c>
      <c r="E45" s="2" t="s">
        <v>21</v>
      </c>
      <c r="F45" s="2"/>
      <c r="G45" s="2" t="s">
        <v>32</v>
      </c>
      <c r="H45" s="2" t="s">
        <v>33</v>
      </c>
      <c r="I45" s="2" t="s">
        <v>39</v>
      </c>
      <c r="J45" s="2" t="s">
        <v>25</v>
      </c>
      <c r="K45" s="7">
        <v>2.49</v>
      </c>
      <c r="L45" s="2" t="s">
        <v>26</v>
      </c>
      <c r="M45" s="7">
        <v>2.49</v>
      </c>
      <c r="N45" s="2" t="s">
        <v>26</v>
      </c>
      <c r="O45" s="2" t="s">
        <v>35</v>
      </c>
      <c r="P45" s="2" t="s">
        <v>139</v>
      </c>
      <c r="Q45" s="2"/>
      <c r="R45" s="2" t="s">
        <v>37</v>
      </c>
    </row>
    <row r="46" ht="16" hidden="1" customHeight="1" spans="1:18">
      <c r="A46" s="2" t="s">
        <v>141</v>
      </c>
      <c r="B46" s="2" t="s">
        <v>142</v>
      </c>
      <c r="C46" s="2" t="s">
        <v>143</v>
      </c>
      <c r="D46" s="2" t="s">
        <v>144</v>
      </c>
      <c r="E46" s="2" t="s">
        <v>21</v>
      </c>
      <c r="F46" s="2"/>
      <c r="G46" s="2" t="s">
        <v>32</v>
      </c>
      <c r="H46" s="2" t="s">
        <v>33</v>
      </c>
      <c r="I46" s="2" t="s">
        <v>47</v>
      </c>
      <c r="J46" s="2" t="s">
        <v>25</v>
      </c>
      <c r="K46" s="7">
        <v>0.07</v>
      </c>
      <c r="L46" s="2" t="s">
        <v>26</v>
      </c>
      <c r="M46" s="7">
        <v>0.07</v>
      </c>
      <c r="N46" s="2" t="s">
        <v>26</v>
      </c>
      <c r="O46" s="2" t="s">
        <v>56</v>
      </c>
      <c r="P46" s="2" t="s">
        <v>145</v>
      </c>
      <c r="Q46" s="2"/>
      <c r="R46" s="2" t="s">
        <v>37</v>
      </c>
    </row>
    <row r="47" ht="16" hidden="1" customHeight="1" spans="1:18">
      <c r="A47" s="2" t="s">
        <v>146</v>
      </c>
      <c r="B47" s="2" t="s">
        <v>142</v>
      </c>
      <c r="C47" s="2" t="s">
        <v>143</v>
      </c>
      <c r="D47" s="2" t="s">
        <v>144</v>
      </c>
      <c r="E47" s="2" t="s">
        <v>21</v>
      </c>
      <c r="F47" s="2"/>
      <c r="G47" s="2" t="s">
        <v>32</v>
      </c>
      <c r="H47" s="2" t="s">
        <v>33</v>
      </c>
      <c r="I47" s="2" t="s">
        <v>34</v>
      </c>
      <c r="J47" s="2" t="s">
        <v>25</v>
      </c>
      <c r="K47" s="7">
        <v>0.4</v>
      </c>
      <c r="L47" s="2" t="s">
        <v>26</v>
      </c>
      <c r="M47" s="7">
        <v>0.4</v>
      </c>
      <c r="N47" s="2" t="s">
        <v>26</v>
      </c>
      <c r="O47" s="2" t="s">
        <v>56</v>
      </c>
      <c r="P47" s="2" t="s">
        <v>145</v>
      </c>
      <c r="Q47" s="2"/>
      <c r="R47" s="2" t="s">
        <v>37</v>
      </c>
    </row>
    <row r="48" ht="16" hidden="1" customHeight="1" spans="1:18">
      <c r="A48" s="2" t="s">
        <v>147</v>
      </c>
      <c r="B48" s="2" t="s">
        <v>142</v>
      </c>
      <c r="C48" s="2" t="s">
        <v>143</v>
      </c>
      <c r="D48" s="2" t="s">
        <v>144</v>
      </c>
      <c r="E48" s="2" t="s">
        <v>21</v>
      </c>
      <c r="F48" s="2"/>
      <c r="G48" s="2" t="s">
        <v>32</v>
      </c>
      <c r="H48" s="2" t="s">
        <v>33</v>
      </c>
      <c r="I48" s="2" t="s">
        <v>39</v>
      </c>
      <c r="J48" s="2" t="s">
        <v>25</v>
      </c>
      <c r="K48" s="7">
        <v>2.49</v>
      </c>
      <c r="L48" s="2" t="s">
        <v>26</v>
      </c>
      <c r="M48" s="7">
        <v>2.49</v>
      </c>
      <c r="N48" s="2" t="s">
        <v>26</v>
      </c>
      <c r="O48" s="2" t="s">
        <v>56</v>
      </c>
      <c r="P48" s="2" t="s">
        <v>145</v>
      </c>
      <c r="Q48" s="2"/>
      <c r="R48" s="2" t="s">
        <v>37</v>
      </c>
    </row>
    <row r="49" ht="16" hidden="1" customHeight="1" spans="1:18">
      <c r="A49" s="2" t="s">
        <v>148</v>
      </c>
      <c r="B49" s="2" t="s">
        <v>149</v>
      </c>
      <c r="C49" s="2" t="s">
        <v>150</v>
      </c>
      <c r="D49" s="2" t="s">
        <v>151</v>
      </c>
      <c r="E49" s="2" t="s">
        <v>21</v>
      </c>
      <c r="F49" s="2"/>
      <c r="G49" s="2" t="s">
        <v>32</v>
      </c>
      <c r="H49" s="2" t="s">
        <v>33</v>
      </c>
      <c r="I49" s="2" t="s">
        <v>47</v>
      </c>
      <c r="J49" s="2" t="s">
        <v>25</v>
      </c>
      <c r="K49" s="7">
        <v>0.07</v>
      </c>
      <c r="L49" s="2" t="s">
        <v>26</v>
      </c>
      <c r="M49" s="7">
        <v>0.07</v>
      </c>
      <c r="N49" s="2" t="s">
        <v>26</v>
      </c>
      <c r="O49" s="2" t="s">
        <v>56</v>
      </c>
      <c r="P49" s="2" t="s">
        <v>152</v>
      </c>
      <c r="Q49" s="2"/>
      <c r="R49" s="2" t="s">
        <v>37</v>
      </c>
    </row>
    <row r="50" ht="16" hidden="1" customHeight="1" spans="1:18">
      <c r="A50" s="2" t="s">
        <v>153</v>
      </c>
      <c r="B50" s="2" t="s">
        <v>149</v>
      </c>
      <c r="C50" s="2" t="s">
        <v>150</v>
      </c>
      <c r="D50" s="2" t="s">
        <v>151</v>
      </c>
      <c r="E50" s="2" t="s">
        <v>21</v>
      </c>
      <c r="F50" s="2"/>
      <c r="G50" s="2" t="s">
        <v>32</v>
      </c>
      <c r="H50" s="2" t="s">
        <v>33</v>
      </c>
      <c r="I50" s="2" t="s">
        <v>34</v>
      </c>
      <c r="J50" s="2" t="s">
        <v>25</v>
      </c>
      <c r="K50" s="7">
        <v>0.4</v>
      </c>
      <c r="L50" s="2" t="s">
        <v>26</v>
      </c>
      <c r="M50" s="7">
        <v>0.4</v>
      </c>
      <c r="N50" s="2" t="s">
        <v>26</v>
      </c>
      <c r="O50" s="2" t="s">
        <v>56</v>
      </c>
      <c r="P50" s="2" t="s">
        <v>152</v>
      </c>
      <c r="Q50" s="2"/>
      <c r="R50" s="2" t="s">
        <v>37</v>
      </c>
    </row>
    <row r="51" ht="16" hidden="1" customHeight="1" spans="1:18">
      <c r="A51" s="2" t="s">
        <v>154</v>
      </c>
      <c r="B51" s="2" t="s">
        <v>149</v>
      </c>
      <c r="C51" s="2" t="s">
        <v>150</v>
      </c>
      <c r="D51" s="2" t="s">
        <v>151</v>
      </c>
      <c r="E51" s="2" t="s">
        <v>21</v>
      </c>
      <c r="F51" s="2"/>
      <c r="G51" s="2" t="s">
        <v>32</v>
      </c>
      <c r="H51" s="2" t="s">
        <v>33</v>
      </c>
      <c r="I51" s="2" t="s">
        <v>39</v>
      </c>
      <c r="J51" s="2" t="s">
        <v>25</v>
      </c>
      <c r="K51" s="7">
        <v>2.49</v>
      </c>
      <c r="L51" s="2" t="s">
        <v>26</v>
      </c>
      <c r="M51" s="7">
        <v>2.49</v>
      </c>
      <c r="N51" s="2" t="s">
        <v>26</v>
      </c>
      <c r="O51" s="2" t="s">
        <v>56</v>
      </c>
      <c r="P51" s="2" t="s">
        <v>152</v>
      </c>
      <c r="Q51" s="2"/>
      <c r="R51" s="2" t="s">
        <v>37</v>
      </c>
    </row>
    <row r="52" ht="16" hidden="1" customHeight="1" spans="1:18">
      <c r="A52" s="2" t="s">
        <v>155</v>
      </c>
      <c r="B52" s="2" t="s">
        <v>156</v>
      </c>
      <c r="C52" s="2" t="s">
        <v>157</v>
      </c>
      <c r="D52" s="2" t="s">
        <v>158</v>
      </c>
      <c r="E52" s="2" t="s">
        <v>21</v>
      </c>
      <c r="F52" s="2"/>
      <c r="G52" s="2" t="s">
        <v>32</v>
      </c>
      <c r="H52" s="2" t="s">
        <v>33</v>
      </c>
      <c r="I52" s="2" t="s">
        <v>47</v>
      </c>
      <c r="J52" s="2" t="s">
        <v>25</v>
      </c>
      <c r="K52" s="7">
        <v>0.07</v>
      </c>
      <c r="L52" s="2" t="s">
        <v>26</v>
      </c>
      <c r="M52" s="7">
        <v>0.07</v>
      </c>
      <c r="N52" s="2" t="s">
        <v>26</v>
      </c>
      <c r="O52" s="2" t="s">
        <v>56</v>
      </c>
      <c r="P52" s="2" t="s">
        <v>159</v>
      </c>
      <c r="Q52" s="2"/>
      <c r="R52" s="2" t="s">
        <v>37</v>
      </c>
    </row>
    <row r="53" ht="16" hidden="1" customHeight="1" spans="1:18">
      <c r="A53" s="2" t="s">
        <v>160</v>
      </c>
      <c r="B53" s="2" t="s">
        <v>156</v>
      </c>
      <c r="C53" s="2" t="s">
        <v>157</v>
      </c>
      <c r="D53" s="2" t="s">
        <v>158</v>
      </c>
      <c r="E53" s="2" t="s">
        <v>21</v>
      </c>
      <c r="F53" s="2"/>
      <c r="G53" s="2" t="s">
        <v>32</v>
      </c>
      <c r="H53" s="2" t="s">
        <v>33</v>
      </c>
      <c r="I53" s="2" t="s">
        <v>34</v>
      </c>
      <c r="J53" s="2" t="s">
        <v>25</v>
      </c>
      <c r="K53" s="7">
        <v>0.4</v>
      </c>
      <c r="L53" s="2" t="s">
        <v>26</v>
      </c>
      <c r="M53" s="7">
        <v>0.4</v>
      </c>
      <c r="N53" s="2" t="s">
        <v>26</v>
      </c>
      <c r="O53" s="2" t="s">
        <v>56</v>
      </c>
      <c r="P53" s="2" t="s">
        <v>159</v>
      </c>
      <c r="Q53" s="2"/>
      <c r="R53" s="2" t="s">
        <v>37</v>
      </c>
    </row>
    <row r="54" ht="16" hidden="1" customHeight="1" spans="1:18">
      <c r="A54" s="2" t="s">
        <v>161</v>
      </c>
      <c r="B54" s="2" t="s">
        <v>156</v>
      </c>
      <c r="C54" s="2" t="s">
        <v>157</v>
      </c>
      <c r="D54" s="2" t="s">
        <v>158</v>
      </c>
      <c r="E54" s="2" t="s">
        <v>21</v>
      </c>
      <c r="F54" s="2"/>
      <c r="G54" s="2" t="s">
        <v>32</v>
      </c>
      <c r="H54" s="2" t="s">
        <v>33</v>
      </c>
      <c r="I54" s="2" t="s">
        <v>39</v>
      </c>
      <c r="J54" s="2" t="s">
        <v>25</v>
      </c>
      <c r="K54" s="7">
        <v>2.49</v>
      </c>
      <c r="L54" s="2" t="s">
        <v>26</v>
      </c>
      <c r="M54" s="7">
        <v>2.49</v>
      </c>
      <c r="N54" s="2" t="s">
        <v>26</v>
      </c>
      <c r="O54" s="2" t="s">
        <v>56</v>
      </c>
      <c r="P54" s="2" t="s">
        <v>159</v>
      </c>
      <c r="Q54" s="2"/>
      <c r="R54" s="2" t="s">
        <v>37</v>
      </c>
    </row>
    <row r="55" ht="16" hidden="1" customHeight="1" spans="1:18">
      <c r="A55" s="2" t="s">
        <v>162</v>
      </c>
      <c r="B55" s="2" t="s">
        <v>163</v>
      </c>
      <c r="C55" s="2" t="s">
        <v>164</v>
      </c>
      <c r="D55" s="2" t="s">
        <v>165</v>
      </c>
      <c r="E55" s="2" t="s">
        <v>21</v>
      </c>
      <c r="F55" s="2"/>
      <c r="G55" s="2" t="s">
        <v>32</v>
      </c>
      <c r="H55" s="2" t="s">
        <v>33</v>
      </c>
      <c r="I55" s="2" t="s">
        <v>47</v>
      </c>
      <c r="J55" s="2" t="s">
        <v>25</v>
      </c>
      <c r="K55" s="7">
        <v>0.07</v>
      </c>
      <c r="L55" s="2" t="s">
        <v>26</v>
      </c>
      <c r="M55" s="7">
        <v>0.07</v>
      </c>
      <c r="N55" s="2" t="s">
        <v>26</v>
      </c>
      <c r="O55" s="2" t="s">
        <v>166</v>
      </c>
      <c r="P55" s="2" t="s">
        <v>167</v>
      </c>
      <c r="Q55" s="2"/>
      <c r="R55" s="2" t="s">
        <v>37</v>
      </c>
    </row>
    <row r="56" ht="16" hidden="1" customHeight="1" spans="1:18">
      <c r="A56" s="2" t="s">
        <v>168</v>
      </c>
      <c r="B56" s="2" t="s">
        <v>163</v>
      </c>
      <c r="C56" s="2" t="s">
        <v>164</v>
      </c>
      <c r="D56" s="2" t="s">
        <v>165</v>
      </c>
      <c r="E56" s="2" t="s">
        <v>21</v>
      </c>
      <c r="F56" s="2"/>
      <c r="G56" s="2" t="s">
        <v>32</v>
      </c>
      <c r="H56" s="2" t="s">
        <v>33</v>
      </c>
      <c r="I56" s="2" t="s">
        <v>34</v>
      </c>
      <c r="J56" s="2" t="s">
        <v>25</v>
      </c>
      <c r="K56" s="7">
        <v>0.4</v>
      </c>
      <c r="L56" s="2" t="s">
        <v>26</v>
      </c>
      <c r="M56" s="7">
        <v>0.4</v>
      </c>
      <c r="N56" s="2" t="s">
        <v>26</v>
      </c>
      <c r="O56" s="2" t="s">
        <v>166</v>
      </c>
      <c r="P56" s="2" t="s">
        <v>167</v>
      </c>
      <c r="Q56" s="2"/>
      <c r="R56" s="2" t="s">
        <v>37</v>
      </c>
    </row>
    <row r="57" ht="16" hidden="1" customHeight="1" spans="1:18">
      <c r="A57" s="2" t="s">
        <v>169</v>
      </c>
      <c r="B57" s="2" t="s">
        <v>163</v>
      </c>
      <c r="C57" s="2" t="s">
        <v>164</v>
      </c>
      <c r="D57" s="2" t="s">
        <v>165</v>
      </c>
      <c r="E57" s="2" t="s">
        <v>21</v>
      </c>
      <c r="F57" s="2"/>
      <c r="G57" s="2" t="s">
        <v>32</v>
      </c>
      <c r="H57" s="2" t="s">
        <v>33</v>
      </c>
      <c r="I57" s="2" t="s">
        <v>39</v>
      </c>
      <c r="J57" s="2" t="s">
        <v>25</v>
      </c>
      <c r="K57" s="7">
        <v>2.49</v>
      </c>
      <c r="L57" s="2" t="s">
        <v>26</v>
      </c>
      <c r="M57" s="7">
        <v>2.49</v>
      </c>
      <c r="N57" s="2" t="s">
        <v>26</v>
      </c>
      <c r="O57" s="2" t="s">
        <v>166</v>
      </c>
      <c r="P57" s="2" t="s">
        <v>167</v>
      </c>
      <c r="Q57" s="2"/>
      <c r="R57" s="2" t="s">
        <v>37</v>
      </c>
    </row>
    <row r="58" ht="16" hidden="1" customHeight="1" spans="1:18">
      <c r="A58" s="2" t="s">
        <v>170</v>
      </c>
      <c r="B58" s="2" t="s">
        <v>171</v>
      </c>
      <c r="C58" s="2" t="s">
        <v>172</v>
      </c>
      <c r="D58" s="2" t="s">
        <v>173</v>
      </c>
      <c r="E58" s="2" t="s">
        <v>21</v>
      </c>
      <c r="F58" s="2"/>
      <c r="G58" s="2" t="s">
        <v>32</v>
      </c>
      <c r="H58" s="2" t="s">
        <v>33</v>
      </c>
      <c r="I58" s="2" t="s">
        <v>47</v>
      </c>
      <c r="J58" s="2" t="s">
        <v>25</v>
      </c>
      <c r="K58" s="7">
        <v>0.07</v>
      </c>
      <c r="L58" s="2" t="s">
        <v>26</v>
      </c>
      <c r="M58" s="7">
        <v>0.07</v>
      </c>
      <c r="N58" s="2" t="s">
        <v>26</v>
      </c>
      <c r="O58" s="2" t="s">
        <v>48</v>
      </c>
      <c r="P58" s="2" t="s">
        <v>174</v>
      </c>
      <c r="Q58" s="2"/>
      <c r="R58" s="2" t="s">
        <v>37</v>
      </c>
    </row>
    <row r="59" ht="16" hidden="1" customHeight="1" spans="1:18">
      <c r="A59" s="2" t="s">
        <v>175</v>
      </c>
      <c r="B59" s="2" t="s">
        <v>171</v>
      </c>
      <c r="C59" s="2" t="s">
        <v>172</v>
      </c>
      <c r="D59" s="2" t="s">
        <v>173</v>
      </c>
      <c r="E59" s="2" t="s">
        <v>21</v>
      </c>
      <c r="F59" s="2"/>
      <c r="G59" s="2" t="s">
        <v>32</v>
      </c>
      <c r="H59" s="2" t="s">
        <v>33</v>
      </c>
      <c r="I59" s="2" t="s">
        <v>34</v>
      </c>
      <c r="J59" s="2" t="s">
        <v>25</v>
      </c>
      <c r="K59" s="7">
        <v>0.4</v>
      </c>
      <c r="L59" s="2" t="s">
        <v>26</v>
      </c>
      <c r="M59" s="7">
        <v>0.4</v>
      </c>
      <c r="N59" s="2" t="s">
        <v>26</v>
      </c>
      <c r="O59" s="2" t="s">
        <v>48</v>
      </c>
      <c r="P59" s="2" t="s">
        <v>174</v>
      </c>
      <c r="Q59" s="2"/>
      <c r="R59" s="2" t="s">
        <v>37</v>
      </c>
    </row>
    <row r="60" ht="16" hidden="1" customHeight="1" spans="1:18">
      <c r="A60" s="2" t="s">
        <v>176</v>
      </c>
      <c r="B60" s="2" t="s">
        <v>171</v>
      </c>
      <c r="C60" s="2" t="s">
        <v>172</v>
      </c>
      <c r="D60" s="2" t="s">
        <v>173</v>
      </c>
      <c r="E60" s="2" t="s">
        <v>21</v>
      </c>
      <c r="F60" s="2"/>
      <c r="G60" s="2" t="s">
        <v>32</v>
      </c>
      <c r="H60" s="2" t="s">
        <v>33</v>
      </c>
      <c r="I60" s="2" t="s">
        <v>39</v>
      </c>
      <c r="J60" s="2" t="s">
        <v>25</v>
      </c>
      <c r="K60" s="7">
        <v>2.49</v>
      </c>
      <c r="L60" s="2" t="s">
        <v>26</v>
      </c>
      <c r="M60" s="7">
        <v>2.49</v>
      </c>
      <c r="N60" s="2" t="s">
        <v>26</v>
      </c>
      <c r="O60" s="2" t="s">
        <v>48</v>
      </c>
      <c r="P60" s="2" t="s">
        <v>174</v>
      </c>
      <c r="Q60" s="2"/>
      <c r="R60" s="2" t="s">
        <v>37</v>
      </c>
    </row>
    <row r="61" ht="16" customHeight="1" spans="1:18">
      <c r="A61" s="2" t="s">
        <v>177</v>
      </c>
      <c r="B61" s="2" t="s">
        <v>178</v>
      </c>
      <c r="C61" s="2"/>
      <c r="D61" s="2" t="s">
        <v>20</v>
      </c>
      <c r="E61" s="2" t="s">
        <v>21</v>
      </c>
      <c r="F61" s="2"/>
      <c r="G61" s="2" t="s">
        <v>22</v>
      </c>
      <c r="H61" s="2" t="s">
        <v>23</v>
      </c>
      <c r="I61" s="2" t="s">
        <v>24</v>
      </c>
      <c r="J61" s="2" t="s">
        <v>25</v>
      </c>
      <c r="K61" s="7">
        <v>13.914</v>
      </c>
      <c r="L61" s="2" t="s">
        <v>26</v>
      </c>
      <c r="M61" s="7">
        <v>13.914</v>
      </c>
      <c r="N61" s="2" t="s">
        <v>26</v>
      </c>
      <c r="O61" s="2"/>
      <c r="P61" s="2" t="s">
        <v>179</v>
      </c>
      <c r="Q61" s="2"/>
      <c r="R61" s="2"/>
    </row>
    <row r="62" ht="16" hidden="1" customHeight="1" spans="1:18">
      <c r="A62" s="2" t="s">
        <v>180</v>
      </c>
      <c r="B62" s="2" t="s">
        <v>181</v>
      </c>
      <c r="C62" s="2" t="s">
        <v>182</v>
      </c>
      <c r="D62" s="2" t="s">
        <v>183</v>
      </c>
      <c r="E62" s="2" t="s">
        <v>21</v>
      </c>
      <c r="F62" s="2"/>
      <c r="G62" s="2" t="s">
        <v>32</v>
      </c>
      <c r="H62" s="2" t="s">
        <v>33</v>
      </c>
      <c r="I62" s="2" t="s">
        <v>47</v>
      </c>
      <c r="J62" s="2" t="s">
        <v>25</v>
      </c>
      <c r="K62" s="7">
        <v>0.07</v>
      </c>
      <c r="L62" s="2" t="s">
        <v>26</v>
      </c>
      <c r="M62" s="7">
        <v>0.07</v>
      </c>
      <c r="N62" s="2" t="s">
        <v>26</v>
      </c>
      <c r="O62" s="2" t="s">
        <v>184</v>
      </c>
      <c r="P62" s="2" t="s">
        <v>185</v>
      </c>
      <c r="Q62" s="2"/>
      <c r="R62" s="2" t="s">
        <v>37</v>
      </c>
    </row>
    <row r="63" ht="16" hidden="1" customHeight="1" spans="1:18">
      <c r="A63" s="2" t="s">
        <v>186</v>
      </c>
      <c r="B63" s="2" t="s">
        <v>181</v>
      </c>
      <c r="C63" s="2" t="s">
        <v>182</v>
      </c>
      <c r="D63" s="2" t="s">
        <v>183</v>
      </c>
      <c r="E63" s="2" t="s">
        <v>21</v>
      </c>
      <c r="F63" s="2"/>
      <c r="G63" s="2" t="s">
        <v>32</v>
      </c>
      <c r="H63" s="2" t="s">
        <v>33</v>
      </c>
      <c r="I63" s="2" t="s">
        <v>34</v>
      </c>
      <c r="J63" s="2" t="s">
        <v>25</v>
      </c>
      <c r="K63" s="7">
        <v>0.4</v>
      </c>
      <c r="L63" s="2" t="s">
        <v>26</v>
      </c>
      <c r="M63" s="7">
        <v>0.4</v>
      </c>
      <c r="N63" s="2" t="s">
        <v>26</v>
      </c>
      <c r="O63" s="2" t="s">
        <v>184</v>
      </c>
      <c r="P63" s="2" t="s">
        <v>185</v>
      </c>
      <c r="Q63" s="2"/>
      <c r="R63" s="2" t="s">
        <v>37</v>
      </c>
    </row>
    <row r="64" ht="16" hidden="1" customHeight="1" spans="1:18">
      <c r="A64" s="2" t="s">
        <v>187</v>
      </c>
      <c r="B64" s="2" t="s">
        <v>181</v>
      </c>
      <c r="C64" s="2" t="s">
        <v>182</v>
      </c>
      <c r="D64" s="2" t="s">
        <v>183</v>
      </c>
      <c r="E64" s="2" t="s">
        <v>21</v>
      </c>
      <c r="F64" s="2"/>
      <c r="G64" s="2" t="s">
        <v>32</v>
      </c>
      <c r="H64" s="2" t="s">
        <v>33</v>
      </c>
      <c r="I64" s="2" t="s">
        <v>39</v>
      </c>
      <c r="J64" s="2" t="s">
        <v>25</v>
      </c>
      <c r="K64" s="7">
        <v>2.49</v>
      </c>
      <c r="L64" s="2" t="s">
        <v>26</v>
      </c>
      <c r="M64" s="7">
        <v>2.49</v>
      </c>
      <c r="N64" s="2" t="s">
        <v>26</v>
      </c>
      <c r="O64" s="2" t="s">
        <v>184</v>
      </c>
      <c r="P64" s="2" t="s">
        <v>185</v>
      </c>
      <c r="Q64" s="2"/>
      <c r="R64" s="2" t="s">
        <v>37</v>
      </c>
    </row>
    <row r="65" ht="16" hidden="1" customHeight="1" spans="1:18">
      <c r="A65" s="2" t="s">
        <v>188</v>
      </c>
      <c r="B65" s="2" t="s">
        <v>189</v>
      </c>
      <c r="C65" s="2" t="s">
        <v>190</v>
      </c>
      <c r="D65" s="2" t="s">
        <v>191</v>
      </c>
      <c r="E65" s="2" t="s">
        <v>21</v>
      </c>
      <c r="F65" s="2"/>
      <c r="G65" s="2" t="s">
        <v>32</v>
      </c>
      <c r="H65" s="2" t="s">
        <v>33</v>
      </c>
      <c r="I65" s="2" t="s">
        <v>34</v>
      </c>
      <c r="J65" s="2" t="s">
        <v>25</v>
      </c>
      <c r="K65" s="7">
        <v>0.4</v>
      </c>
      <c r="L65" s="2" t="s">
        <v>26</v>
      </c>
      <c r="M65" s="7">
        <v>0.4</v>
      </c>
      <c r="N65" s="2" t="s">
        <v>26</v>
      </c>
      <c r="O65" s="2" t="s">
        <v>192</v>
      </c>
      <c r="P65" s="2" t="s">
        <v>193</v>
      </c>
      <c r="Q65" s="2"/>
      <c r="R65" s="2" t="s">
        <v>37</v>
      </c>
    </row>
    <row r="66" ht="16" hidden="1" customHeight="1" spans="1:18">
      <c r="A66" s="2" t="s">
        <v>194</v>
      </c>
      <c r="B66" s="2" t="s">
        <v>189</v>
      </c>
      <c r="C66" s="2" t="s">
        <v>190</v>
      </c>
      <c r="D66" s="2" t="s">
        <v>191</v>
      </c>
      <c r="E66" s="2" t="s">
        <v>21</v>
      </c>
      <c r="F66" s="2"/>
      <c r="G66" s="2" t="s">
        <v>32</v>
      </c>
      <c r="H66" s="2" t="s">
        <v>33</v>
      </c>
      <c r="I66" s="2" t="s">
        <v>39</v>
      </c>
      <c r="J66" s="2" t="s">
        <v>25</v>
      </c>
      <c r="K66" s="7">
        <v>2.49</v>
      </c>
      <c r="L66" s="2" t="s">
        <v>26</v>
      </c>
      <c r="M66" s="7">
        <v>2.49</v>
      </c>
      <c r="N66" s="2" t="s">
        <v>26</v>
      </c>
      <c r="O66" s="2" t="s">
        <v>192</v>
      </c>
      <c r="P66" s="2" t="s">
        <v>193</v>
      </c>
      <c r="Q66" s="2"/>
      <c r="R66" s="2" t="s">
        <v>37</v>
      </c>
    </row>
    <row r="67" ht="16" hidden="1" customHeight="1" spans="1:18">
      <c r="A67" s="2" t="s">
        <v>195</v>
      </c>
      <c r="B67" s="2" t="s">
        <v>196</v>
      </c>
      <c r="C67" s="2" t="s">
        <v>197</v>
      </c>
      <c r="D67" s="2" t="s">
        <v>198</v>
      </c>
      <c r="E67" s="2" t="s">
        <v>21</v>
      </c>
      <c r="F67" s="2"/>
      <c r="G67" s="2" t="s">
        <v>32</v>
      </c>
      <c r="H67" s="2" t="s">
        <v>33</v>
      </c>
      <c r="I67" s="2" t="s">
        <v>34</v>
      </c>
      <c r="J67" s="2" t="s">
        <v>25</v>
      </c>
      <c r="K67" s="7">
        <v>0.4</v>
      </c>
      <c r="L67" s="2" t="s">
        <v>26</v>
      </c>
      <c r="M67" s="7">
        <v>0.4</v>
      </c>
      <c r="N67" s="2" t="s">
        <v>26</v>
      </c>
      <c r="O67" s="2" t="s">
        <v>199</v>
      </c>
      <c r="P67" s="2" t="s">
        <v>200</v>
      </c>
      <c r="Q67" s="2"/>
      <c r="R67" s="2" t="s">
        <v>37</v>
      </c>
    </row>
    <row r="68" ht="16" hidden="1" customHeight="1" spans="1:18">
      <c r="A68" s="2" t="s">
        <v>201</v>
      </c>
      <c r="B68" s="2" t="s">
        <v>196</v>
      </c>
      <c r="C68" s="2" t="s">
        <v>197</v>
      </c>
      <c r="D68" s="2" t="s">
        <v>198</v>
      </c>
      <c r="E68" s="2" t="s">
        <v>21</v>
      </c>
      <c r="F68" s="2"/>
      <c r="G68" s="2" t="s">
        <v>32</v>
      </c>
      <c r="H68" s="2" t="s">
        <v>33</v>
      </c>
      <c r="I68" s="2" t="s">
        <v>39</v>
      </c>
      <c r="J68" s="2" t="s">
        <v>25</v>
      </c>
      <c r="K68" s="7">
        <v>2.49</v>
      </c>
      <c r="L68" s="2" t="s">
        <v>26</v>
      </c>
      <c r="M68" s="7">
        <v>2.49</v>
      </c>
      <c r="N68" s="2" t="s">
        <v>26</v>
      </c>
      <c r="O68" s="2" t="s">
        <v>199</v>
      </c>
      <c r="P68" s="2" t="s">
        <v>200</v>
      </c>
      <c r="Q68" s="2"/>
      <c r="R68" s="2" t="s">
        <v>37</v>
      </c>
    </row>
    <row r="69" ht="16" hidden="1" customHeight="1" spans="1:18">
      <c r="A69" s="2" t="s">
        <v>202</v>
      </c>
      <c r="B69" s="2" t="s">
        <v>203</v>
      </c>
      <c r="C69" s="2" t="s">
        <v>204</v>
      </c>
      <c r="D69" s="2" t="s">
        <v>205</v>
      </c>
      <c r="E69" s="2" t="s">
        <v>21</v>
      </c>
      <c r="F69" s="2"/>
      <c r="G69" s="2" t="s">
        <v>32</v>
      </c>
      <c r="H69" s="2" t="s">
        <v>33</v>
      </c>
      <c r="I69" s="2" t="s">
        <v>34</v>
      </c>
      <c r="J69" s="2" t="s">
        <v>25</v>
      </c>
      <c r="K69" s="7">
        <v>0.4</v>
      </c>
      <c r="L69" s="2" t="s">
        <v>26</v>
      </c>
      <c r="M69" s="7">
        <v>0.4</v>
      </c>
      <c r="N69" s="2" t="s">
        <v>26</v>
      </c>
      <c r="O69" s="2" t="s">
        <v>35</v>
      </c>
      <c r="P69" s="2" t="s">
        <v>206</v>
      </c>
      <c r="Q69" s="2"/>
      <c r="R69" s="2" t="s">
        <v>37</v>
      </c>
    </row>
    <row r="70" ht="16" hidden="1" customHeight="1" spans="1:18">
      <c r="A70" s="2" t="s">
        <v>207</v>
      </c>
      <c r="B70" s="2" t="s">
        <v>203</v>
      </c>
      <c r="C70" s="2" t="s">
        <v>204</v>
      </c>
      <c r="D70" s="2" t="s">
        <v>205</v>
      </c>
      <c r="E70" s="2" t="s">
        <v>21</v>
      </c>
      <c r="F70" s="2"/>
      <c r="G70" s="2" t="s">
        <v>32</v>
      </c>
      <c r="H70" s="2" t="s">
        <v>33</v>
      </c>
      <c r="I70" s="2" t="s">
        <v>39</v>
      </c>
      <c r="J70" s="2" t="s">
        <v>25</v>
      </c>
      <c r="K70" s="7">
        <v>2.49</v>
      </c>
      <c r="L70" s="2" t="s">
        <v>26</v>
      </c>
      <c r="M70" s="7">
        <v>2.49</v>
      </c>
      <c r="N70" s="2" t="s">
        <v>26</v>
      </c>
      <c r="O70" s="2" t="s">
        <v>35</v>
      </c>
      <c r="P70" s="2" t="s">
        <v>206</v>
      </c>
      <c r="Q70" s="2"/>
      <c r="R70" s="2" t="s">
        <v>37</v>
      </c>
    </row>
    <row r="71" ht="16" hidden="1" customHeight="1" spans="1:18">
      <c r="A71" s="2" t="s">
        <v>208</v>
      </c>
      <c r="B71" s="2" t="s">
        <v>209</v>
      </c>
      <c r="C71" s="2" t="s">
        <v>210</v>
      </c>
      <c r="D71" s="2" t="s">
        <v>211</v>
      </c>
      <c r="E71" s="2" t="s">
        <v>21</v>
      </c>
      <c r="F71" s="2"/>
      <c r="G71" s="2" t="s">
        <v>32</v>
      </c>
      <c r="H71" s="2" t="s">
        <v>33</v>
      </c>
      <c r="I71" s="2" t="s">
        <v>34</v>
      </c>
      <c r="J71" s="2" t="s">
        <v>25</v>
      </c>
      <c r="K71" s="7">
        <v>0.4</v>
      </c>
      <c r="L71" s="2" t="s">
        <v>26</v>
      </c>
      <c r="M71" s="7">
        <v>0.4</v>
      </c>
      <c r="N71" s="2" t="s">
        <v>26</v>
      </c>
      <c r="O71" s="2" t="s">
        <v>35</v>
      </c>
      <c r="P71" s="2" t="s">
        <v>212</v>
      </c>
      <c r="Q71" s="2"/>
      <c r="R71" s="2" t="s">
        <v>37</v>
      </c>
    </row>
    <row r="72" ht="16" hidden="1" customHeight="1" spans="1:18">
      <c r="A72" s="2" t="s">
        <v>213</v>
      </c>
      <c r="B72" s="2" t="s">
        <v>209</v>
      </c>
      <c r="C72" s="2" t="s">
        <v>210</v>
      </c>
      <c r="D72" s="2" t="s">
        <v>211</v>
      </c>
      <c r="E72" s="2" t="s">
        <v>21</v>
      </c>
      <c r="F72" s="2"/>
      <c r="G72" s="2" t="s">
        <v>32</v>
      </c>
      <c r="H72" s="2" t="s">
        <v>33</v>
      </c>
      <c r="I72" s="2" t="s">
        <v>39</v>
      </c>
      <c r="J72" s="2" t="s">
        <v>25</v>
      </c>
      <c r="K72" s="7">
        <v>2.49</v>
      </c>
      <c r="L72" s="2" t="s">
        <v>26</v>
      </c>
      <c r="M72" s="7">
        <v>2.49</v>
      </c>
      <c r="N72" s="2" t="s">
        <v>26</v>
      </c>
      <c r="O72" s="2" t="s">
        <v>35</v>
      </c>
      <c r="P72" s="2" t="s">
        <v>212</v>
      </c>
      <c r="Q72" s="2"/>
      <c r="R72" s="2" t="s">
        <v>37</v>
      </c>
    </row>
    <row r="73" ht="16" hidden="1" customHeight="1" spans="1:18">
      <c r="A73" s="2" t="s">
        <v>214</v>
      </c>
      <c r="B73" s="2" t="s">
        <v>215</v>
      </c>
      <c r="C73" s="2" t="s">
        <v>216</v>
      </c>
      <c r="D73" s="2" t="s">
        <v>217</v>
      </c>
      <c r="E73" s="2" t="s">
        <v>21</v>
      </c>
      <c r="F73" s="2"/>
      <c r="G73" s="2" t="s">
        <v>32</v>
      </c>
      <c r="H73" s="2" t="s">
        <v>33</v>
      </c>
      <c r="I73" s="2" t="s">
        <v>85</v>
      </c>
      <c r="J73" s="2" t="s">
        <v>25</v>
      </c>
      <c r="K73" s="7">
        <v>0.8</v>
      </c>
      <c r="L73" s="2" t="s">
        <v>26</v>
      </c>
      <c r="M73" s="7">
        <v>0.8</v>
      </c>
      <c r="N73" s="2" t="s">
        <v>26</v>
      </c>
      <c r="O73" s="2" t="s">
        <v>35</v>
      </c>
      <c r="P73" s="2" t="s">
        <v>218</v>
      </c>
      <c r="Q73" s="2"/>
      <c r="R73" s="2" t="s">
        <v>37</v>
      </c>
    </row>
    <row r="74" ht="16" hidden="1" customHeight="1" spans="1:18">
      <c r="A74" s="2" t="s">
        <v>219</v>
      </c>
      <c r="B74" s="2" t="s">
        <v>215</v>
      </c>
      <c r="C74" s="2" t="s">
        <v>216</v>
      </c>
      <c r="D74" s="2" t="s">
        <v>217</v>
      </c>
      <c r="E74" s="2" t="s">
        <v>21</v>
      </c>
      <c r="F74" s="2"/>
      <c r="G74" s="2" t="s">
        <v>32</v>
      </c>
      <c r="H74" s="2" t="s">
        <v>33</v>
      </c>
      <c r="I74" s="2" t="s">
        <v>34</v>
      </c>
      <c r="J74" s="2" t="s">
        <v>25</v>
      </c>
      <c r="K74" s="7">
        <v>0.4</v>
      </c>
      <c r="L74" s="2" t="s">
        <v>26</v>
      </c>
      <c r="M74" s="7">
        <v>0.4</v>
      </c>
      <c r="N74" s="2" t="s">
        <v>26</v>
      </c>
      <c r="O74" s="2" t="s">
        <v>35</v>
      </c>
      <c r="P74" s="2" t="s">
        <v>218</v>
      </c>
      <c r="Q74" s="2"/>
      <c r="R74" s="2" t="s">
        <v>37</v>
      </c>
    </row>
    <row r="75" ht="16" hidden="1" customHeight="1" spans="1:18">
      <c r="A75" s="2" t="s">
        <v>220</v>
      </c>
      <c r="B75" s="2" t="s">
        <v>215</v>
      </c>
      <c r="C75" s="2" t="s">
        <v>216</v>
      </c>
      <c r="D75" s="2" t="s">
        <v>217</v>
      </c>
      <c r="E75" s="2" t="s">
        <v>21</v>
      </c>
      <c r="F75" s="2"/>
      <c r="G75" s="2" t="s">
        <v>32</v>
      </c>
      <c r="H75" s="2" t="s">
        <v>33</v>
      </c>
      <c r="I75" s="2" t="s">
        <v>39</v>
      </c>
      <c r="J75" s="2" t="s">
        <v>25</v>
      </c>
      <c r="K75" s="7">
        <v>2.49</v>
      </c>
      <c r="L75" s="2" t="s">
        <v>26</v>
      </c>
      <c r="M75" s="7">
        <v>2.49</v>
      </c>
      <c r="N75" s="2" t="s">
        <v>26</v>
      </c>
      <c r="O75" s="2" t="s">
        <v>35</v>
      </c>
      <c r="P75" s="2" t="s">
        <v>218</v>
      </c>
      <c r="Q75" s="2"/>
      <c r="R75" s="2" t="s">
        <v>37</v>
      </c>
    </row>
    <row r="76" ht="16" hidden="1" customHeight="1" spans="1:18">
      <c r="A76" s="2" t="s">
        <v>221</v>
      </c>
      <c r="B76" s="2" t="s">
        <v>222</v>
      </c>
      <c r="C76" s="2" t="s">
        <v>223</v>
      </c>
      <c r="D76" s="2" t="s">
        <v>224</v>
      </c>
      <c r="E76" s="2" t="s">
        <v>21</v>
      </c>
      <c r="F76" s="2"/>
      <c r="G76" s="2" t="s">
        <v>32</v>
      </c>
      <c r="H76" s="2" t="s">
        <v>33</v>
      </c>
      <c r="I76" s="2" t="s">
        <v>85</v>
      </c>
      <c r="J76" s="2" t="s">
        <v>25</v>
      </c>
      <c r="K76" s="7">
        <v>0.8</v>
      </c>
      <c r="L76" s="2" t="s">
        <v>26</v>
      </c>
      <c r="M76" s="7">
        <v>0.8</v>
      </c>
      <c r="N76" s="2" t="s">
        <v>26</v>
      </c>
      <c r="O76" s="2" t="s">
        <v>56</v>
      </c>
      <c r="P76" s="2" t="s">
        <v>225</v>
      </c>
      <c r="Q76" s="2"/>
      <c r="R76" s="2" t="s">
        <v>37</v>
      </c>
    </row>
    <row r="77" ht="16" hidden="1" customHeight="1" spans="1:18">
      <c r="A77" s="2" t="s">
        <v>226</v>
      </c>
      <c r="B77" s="2" t="s">
        <v>222</v>
      </c>
      <c r="C77" s="2" t="s">
        <v>223</v>
      </c>
      <c r="D77" s="2" t="s">
        <v>224</v>
      </c>
      <c r="E77" s="2" t="s">
        <v>21</v>
      </c>
      <c r="F77" s="2"/>
      <c r="G77" s="2" t="s">
        <v>32</v>
      </c>
      <c r="H77" s="2" t="s">
        <v>33</v>
      </c>
      <c r="I77" s="2" t="s">
        <v>47</v>
      </c>
      <c r="J77" s="2" t="s">
        <v>25</v>
      </c>
      <c r="K77" s="7">
        <v>0.07</v>
      </c>
      <c r="L77" s="2" t="s">
        <v>26</v>
      </c>
      <c r="M77" s="7">
        <v>0.07</v>
      </c>
      <c r="N77" s="2" t="s">
        <v>26</v>
      </c>
      <c r="O77" s="2" t="s">
        <v>56</v>
      </c>
      <c r="P77" s="2" t="s">
        <v>225</v>
      </c>
      <c r="Q77" s="2"/>
      <c r="R77" s="2" t="s">
        <v>37</v>
      </c>
    </row>
    <row r="78" ht="16" hidden="1" customHeight="1" spans="1:18">
      <c r="A78" s="2" t="s">
        <v>227</v>
      </c>
      <c r="B78" s="2" t="s">
        <v>222</v>
      </c>
      <c r="C78" s="2" t="s">
        <v>223</v>
      </c>
      <c r="D78" s="2" t="s">
        <v>224</v>
      </c>
      <c r="E78" s="2" t="s">
        <v>21</v>
      </c>
      <c r="F78" s="2"/>
      <c r="G78" s="2" t="s">
        <v>32</v>
      </c>
      <c r="H78" s="2" t="s">
        <v>33</v>
      </c>
      <c r="I78" s="2" t="s">
        <v>34</v>
      </c>
      <c r="J78" s="2" t="s">
        <v>25</v>
      </c>
      <c r="K78" s="7">
        <v>0.4</v>
      </c>
      <c r="L78" s="2" t="s">
        <v>26</v>
      </c>
      <c r="M78" s="7">
        <v>0.4</v>
      </c>
      <c r="N78" s="2" t="s">
        <v>26</v>
      </c>
      <c r="O78" s="2" t="s">
        <v>56</v>
      </c>
      <c r="P78" s="2" t="s">
        <v>225</v>
      </c>
      <c r="Q78" s="2"/>
      <c r="R78" s="2" t="s">
        <v>37</v>
      </c>
    </row>
    <row r="79" ht="16" hidden="1" customHeight="1" spans="1:18">
      <c r="A79" s="2" t="s">
        <v>228</v>
      </c>
      <c r="B79" s="2" t="s">
        <v>222</v>
      </c>
      <c r="C79" s="2" t="s">
        <v>223</v>
      </c>
      <c r="D79" s="2" t="s">
        <v>224</v>
      </c>
      <c r="E79" s="2" t="s">
        <v>21</v>
      </c>
      <c r="F79" s="2"/>
      <c r="G79" s="2" t="s">
        <v>32</v>
      </c>
      <c r="H79" s="2" t="s">
        <v>33</v>
      </c>
      <c r="I79" s="2" t="s">
        <v>39</v>
      </c>
      <c r="J79" s="2" t="s">
        <v>25</v>
      </c>
      <c r="K79" s="7">
        <v>2.49</v>
      </c>
      <c r="L79" s="2" t="s">
        <v>26</v>
      </c>
      <c r="M79" s="7">
        <v>2.49</v>
      </c>
      <c r="N79" s="2" t="s">
        <v>26</v>
      </c>
      <c r="O79" s="2" t="s">
        <v>56</v>
      </c>
      <c r="P79" s="2" t="s">
        <v>225</v>
      </c>
      <c r="Q79" s="2"/>
      <c r="R79" s="2" t="s">
        <v>37</v>
      </c>
    </row>
    <row r="80" ht="16" hidden="1" customHeight="1" spans="1:18">
      <c r="A80" s="2" t="s">
        <v>229</v>
      </c>
      <c r="B80" s="2" t="s">
        <v>230</v>
      </c>
      <c r="C80" s="2" t="s">
        <v>231</v>
      </c>
      <c r="D80" s="2" t="s">
        <v>232</v>
      </c>
      <c r="E80" s="2" t="s">
        <v>21</v>
      </c>
      <c r="F80" s="2"/>
      <c r="G80" s="2" t="s">
        <v>32</v>
      </c>
      <c r="H80" s="2" t="s">
        <v>33</v>
      </c>
      <c r="I80" s="2" t="s">
        <v>85</v>
      </c>
      <c r="J80" s="2" t="s">
        <v>25</v>
      </c>
      <c r="K80" s="7">
        <v>0.8</v>
      </c>
      <c r="L80" s="2" t="s">
        <v>26</v>
      </c>
      <c r="M80" s="7">
        <v>0.8</v>
      </c>
      <c r="N80" s="2" t="s">
        <v>26</v>
      </c>
      <c r="O80" s="2" t="s">
        <v>56</v>
      </c>
      <c r="P80" s="2" t="s">
        <v>233</v>
      </c>
      <c r="Q80" s="2"/>
      <c r="R80" s="2" t="s">
        <v>37</v>
      </c>
    </row>
    <row r="81" ht="16" hidden="1" customHeight="1" spans="1:18">
      <c r="A81" s="2" t="s">
        <v>234</v>
      </c>
      <c r="B81" s="2" t="s">
        <v>230</v>
      </c>
      <c r="C81" s="2" t="s">
        <v>231</v>
      </c>
      <c r="D81" s="2" t="s">
        <v>232</v>
      </c>
      <c r="E81" s="2" t="s">
        <v>21</v>
      </c>
      <c r="F81" s="2"/>
      <c r="G81" s="2" t="s">
        <v>32</v>
      </c>
      <c r="H81" s="2" t="s">
        <v>33</v>
      </c>
      <c r="I81" s="2" t="s">
        <v>47</v>
      </c>
      <c r="J81" s="2" t="s">
        <v>25</v>
      </c>
      <c r="K81" s="7">
        <v>0.07</v>
      </c>
      <c r="L81" s="2" t="s">
        <v>26</v>
      </c>
      <c r="M81" s="7">
        <v>0.07</v>
      </c>
      <c r="N81" s="2" t="s">
        <v>26</v>
      </c>
      <c r="O81" s="2" t="s">
        <v>56</v>
      </c>
      <c r="P81" s="2" t="s">
        <v>233</v>
      </c>
      <c r="Q81" s="2"/>
      <c r="R81" s="2" t="s">
        <v>37</v>
      </c>
    </row>
    <row r="82" ht="16" hidden="1" customHeight="1" spans="1:18">
      <c r="A82" s="2" t="s">
        <v>235</v>
      </c>
      <c r="B82" s="2" t="s">
        <v>230</v>
      </c>
      <c r="C82" s="2" t="s">
        <v>231</v>
      </c>
      <c r="D82" s="2" t="s">
        <v>232</v>
      </c>
      <c r="E82" s="2" t="s">
        <v>21</v>
      </c>
      <c r="F82" s="2"/>
      <c r="G82" s="2" t="s">
        <v>32</v>
      </c>
      <c r="H82" s="2" t="s">
        <v>33</v>
      </c>
      <c r="I82" s="2" t="s">
        <v>34</v>
      </c>
      <c r="J82" s="2" t="s">
        <v>25</v>
      </c>
      <c r="K82" s="7">
        <v>0.4</v>
      </c>
      <c r="L82" s="2" t="s">
        <v>26</v>
      </c>
      <c r="M82" s="7">
        <v>0.4</v>
      </c>
      <c r="N82" s="2" t="s">
        <v>26</v>
      </c>
      <c r="O82" s="2" t="s">
        <v>56</v>
      </c>
      <c r="P82" s="2" t="s">
        <v>233</v>
      </c>
      <c r="Q82" s="2"/>
      <c r="R82" s="2" t="s">
        <v>37</v>
      </c>
    </row>
    <row r="83" ht="16" hidden="1" customHeight="1" spans="1:18">
      <c r="A83" s="2" t="s">
        <v>236</v>
      </c>
      <c r="B83" s="2" t="s">
        <v>230</v>
      </c>
      <c r="C83" s="2" t="s">
        <v>231</v>
      </c>
      <c r="D83" s="2" t="s">
        <v>232</v>
      </c>
      <c r="E83" s="2" t="s">
        <v>21</v>
      </c>
      <c r="F83" s="2"/>
      <c r="G83" s="2" t="s">
        <v>32</v>
      </c>
      <c r="H83" s="2" t="s">
        <v>33</v>
      </c>
      <c r="I83" s="2" t="s">
        <v>39</v>
      </c>
      <c r="J83" s="2" t="s">
        <v>25</v>
      </c>
      <c r="K83" s="7">
        <v>2.49</v>
      </c>
      <c r="L83" s="2" t="s">
        <v>26</v>
      </c>
      <c r="M83" s="7">
        <v>2.49</v>
      </c>
      <c r="N83" s="2" t="s">
        <v>26</v>
      </c>
      <c r="O83" s="2" t="s">
        <v>56</v>
      </c>
      <c r="P83" s="2" t="s">
        <v>233</v>
      </c>
      <c r="Q83" s="2"/>
      <c r="R83" s="2" t="s">
        <v>37</v>
      </c>
    </row>
    <row r="84" ht="16" hidden="1" customHeight="1" spans="1:18">
      <c r="A84" s="2" t="s">
        <v>237</v>
      </c>
      <c r="B84" s="2" t="s">
        <v>238</v>
      </c>
      <c r="C84" s="2" t="s">
        <v>239</v>
      </c>
      <c r="D84" s="2" t="s">
        <v>240</v>
      </c>
      <c r="E84" s="2" t="s">
        <v>21</v>
      </c>
      <c r="F84" s="2"/>
      <c r="G84" s="2" t="s">
        <v>32</v>
      </c>
      <c r="H84" s="2" t="s">
        <v>33</v>
      </c>
      <c r="I84" s="2" t="s">
        <v>85</v>
      </c>
      <c r="J84" s="2" t="s">
        <v>25</v>
      </c>
      <c r="K84" s="7">
        <v>0.8</v>
      </c>
      <c r="L84" s="2" t="s">
        <v>26</v>
      </c>
      <c r="M84" s="7">
        <v>0.8</v>
      </c>
      <c r="N84" s="2" t="s">
        <v>26</v>
      </c>
      <c r="O84" s="2" t="s">
        <v>56</v>
      </c>
      <c r="P84" s="2" t="s">
        <v>241</v>
      </c>
      <c r="Q84" s="2"/>
      <c r="R84" s="2" t="s">
        <v>37</v>
      </c>
    </row>
    <row r="85" ht="16" hidden="1" customHeight="1" spans="1:18">
      <c r="A85" s="2" t="s">
        <v>242</v>
      </c>
      <c r="B85" s="2" t="s">
        <v>238</v>
      </c>
      <c r="C85" s="2" t="s">
        <v>239</v>
      </c>
      <c r="D85" s="2" t="s">
        <v>240</v>
      </c>
      <c r="E85" s="2" t="s">
        <v>21</v>
      </c>
      <c r="F85" s="2"/>
      <c r="G85" s="2" t="s">
        <v>32</v>
      </c>
      <c r="H85" s="2" t="s">
        <v>33</v>
      </c>
      <c r="I85" s="2" t="s">
        <v>47</v>
      </c>
      <c r="J85" s="2" t="s">
        <v>25</v>
      </c>
      <c r="K85" s="7">
        <v>0.07</v>
      </c>
      <c r="L85" s="2" t="s">
        <v>26</v>
      </c>
      <c r="M85" s="7">
        <v>0.07</v>
      </c>
      <c r="N85" s="2" t="s">
        <v>26</v>
      </c>
      <c r="O85" s="2" t="s">
        <v>56</v>
      </c>
      <c r="P85" s="2" t="s">
        <v>241</v>
      </c>
      <c r="Q85" s="2"/>
      <c r="R85" s="2" t="s">
        <v>37</v>
      </c>
    </row>
    <row r="86" ht="16" hidden="1" customHeight="1" spans="1:18">
      <c r="A86" s="2" t="s">
        <v>243</v>
      </c>
      <c r="B86" s="2" t="s">
        <v>238</v>
      </c>
      <c r="C86" s="2" t="s">
        <v>239</v>
      </c>
      <c r="D86" s="2" t="s">
        <v>240</v>
      </c>
      <c r="E86" s="2" t="s">
        <v>21</v>
      </c>
      <c r="F86" s="2"/>
      <c r="G86" s="2" t="s">
        <v>32</v>
      </c>
      <c r="H86" s="2" t="s">
        <v>33</v>
      </c>
      <c r="I86" s="2" t="s">
        <v>34</v>
      </c>
      <c r="J86" s="2" t="s">
        <v>25</v>
      </c>
      <c r="K86" s="7">
        <v>0.4</v>
      </c>
      <c r="L86" s="2" t="s">
        <v>26</v>
      </c>
      <c r="M86" s="7">
        <v>0.4</v>
      </c>
      <c r="N86" s="2" t="s">
        <v>26</v>
      </c>
      <c r="O86" s="2" t="s">
        <v>56</v>
      </c>
      <c r="P86" s="2" t="s">
        <v>241</v>
      </c>
      <c r="Q86" s="2"/>
      <c r="R86" s="2" t="s">
        <v>37</v>
      </c>
    </row>
    <row r="87" ht="16" hidden="1" customHeight="1" spans="1:18">
      <c r="A87" s="2" t="s">
        <v>244</v>
      </c>
      <c r="B87" s="2" t="s">
        <v>238</v>
      </c>
      <c r="C87" s="2" t="s">
        <v>239</v>
      </c>
      <c r="D87" s="2" t="s">
        <v>240</v>
      </c>
      <c r="E87" s="2" t="s">
        <v>21</v>
      </c>
      <c r="F87" s="2"/>
      <c r="G87" s="2" t="s">
        <v>32</v>
      </c>
      <c r="H87" s="2" t="s">
        <v>33</v>
      </c>
      <c r="I87" s="2" t="s">
        <v>39</v>
      </c>
      <c r="J87" s="2" t="s">
        <v>25</v>
      </c>
      <c r="K87" s="7">
        <v>2.49</v>
      </c>
      <c r="L87" s="2" t="s">
        <v>26</v>
      </c>
      <c r="M87" s="7">
        <v>2.49</v>
      </c>
      <c r="N87" s="2" t="s">
        <v>26</v>
      </c>
      <c r="O87" s="2" t="s">
        <v>56</v>
      </c>
      <c r="P87" s="2" t="s">
        <v>241</v>
      </c>
      <c r="Q87" s="2"/>
      <c r="R87" s="2" t="s">
        <v>37</v>
      </c>
    </row>
    <row r="88" ht="16" hidden="1" customHeight="1" spans="1:18">
      <c r="A88" s="2" t="s">
        <v>245</v>
      </c>
      <c r="B88" s="2" t="s">
        <v>246</v>
      </c>
      <c r="C88" s="2" t="s">
        <v>247</v>
      </c>
      <c r="D88" s="2" t="s">
        <v>248</v>
      </c>
      <c r="E88" s="2" t="s">
        <v>21</v>
      </c>
      <c r="F88" s="2"/>
      <c r="G88" s="2" t="s">
        <v>32</v>
      </c>
      <c r="H88" s="2" t="s">
        <v>33</v>
      </c>
      <c r="I88" s="2" t="s">
        <v>85</v>
      </c>
      <c r="J88" s="2" t="s">
        <v>25</v>
      </c>
      <c r="K88" s="7">
        <v>0.8</v>
      </c>
      <c r="L88" s="2" t="s">
        <v>26</v>
      </c>
      <c r="M88" s="7">
        <v>0.8</v>
      </c>
      <c r="N88" s="2" t="s">
        <v>26</v>
      </c>
      <c r="O88" s="2" t="s">
        <v>56</v>
      </c>
      <c r="P88" s="2" t="s">
        <v>249</v>
      </c>
      <c r="Q88" s="2"/>
      <c r="R88" s="2" t="s">
        <v>37</v>
      </c>
    </row>
    <row r="89" ht="16" hidden="1" customHeight="1" spans="1:18">
      <c r="A89" s="2" t="s">
        <v>250</v>
      </c>
      <c r="B89" s="2" t="s">
        <v>246</v>
      </c>
      <c r="C89" s="2" t="s">
        <v>247</v>
      </c>
      <c r="D89" s="2" t="s">
        <v>248</v>
      </c>
      <c r="E89" s="2" t="s">
        <v>21</v>
      </c>
      <c r="F89" s="2"/>
      <c r="G89" s="2" t="s">
        <v>32</v>
      </c>
      <c r="H89" s="2" t="s">
        <v>33</v>
      </c>
      <c r="I89" s="2" t="s">
        <v>47</v>
      </c>
      <c r="J89" s="2" t="s">
        <v>25</v>
      </c>
      <c r="K89" s="7">
        <v>0.07</v>
      </c>
      <c r="L89" s="2" t="s">
        <v>26</v>
      </c>
      <c r="M89" s="7">
        <v>0.07</v>
      </c>
      <c r="N89" s="2" t="s">
        <v>26</v>
      </c>
      <c r="O89" s="2" t="s">
        <v>56</v>
      </c>
      <c r="P89" s="2" t="s">
        <v>249</v>
      </c>
      <c r="Q89" s="2"/>
      <c r="R89" s="2" t="s">
        <v>37</v>
      </c>
    </row>
    <row r="90" ht="16" hidden="1" customHeight="1" spans="1:18">
      <c r="A90" s="2" t="s">
        <v>251</v>
      </c>
      <c r="B90" s="2" t="s">
        <v>246</v>
      </c>
      <c r="C90" s="2" t="s">
        <v>247</v>
      </c>
      <c r="D90" s="2" t="s">
        <v>248</v>
      </c>
      <c r="E90" s="2" t="s">
        <v>21</v>
      </c>
      <c r="F90" s="2"/>
      <c r="G90" s="2" t="s">
        <v>32</v>
      </c>
      <c r="H90" s="2" t="s">
        <v>33</v>
      </c>
      <c r="I90" s="2" t="s">
        <v>34</v>
      </c>
      <c r="J90" s="2" t="s">
        <v>25</v>
      </c>
      <c r="K90" s="7">
        <v>0.4</v>
      </c>
      <c r="L90" s="2" t="s">
        <v>26</v>
      </c>
      <c r="M90" s="7">
        <v>0.4</v>
      </c>
      <c r="N90" s="2" t="s">
        <v>26</v>
      </c>
      <c r="O90" s="2" t="s">
        <v>56</v>
      </c>
      <c r="P90" s="2" t="s">
        <v>249</v>
      </c>
      <c r="Q90" s="2"/>
      <c r="R90" s="2" t="s">
        <v>37</v>
      </c>
    </row>
    <row r="91" ht="16" hidden="1" customHeight="1" spans="1:18">
      <c r="A91" s="2" t="s">
        <v>252</v>
      </c>
      <c r="B91" s="2" t="s">
        <v>246</v>
      </c>
      <c r="C91" s="2" t="s">
        <v>247</v>
      </c>
      <c r="D91" s="2" t="s">
        <v>248</v>
      </c>
      <c r="E91" s="2" t="s">
        <v>21</v>
      </c>
      <c r="F91" s="2"/>
      <c r="G91" s="2" t="s">
        <v>32</v>
      </c>
      <c r="H91" s="2" t="s">
        <v>33</v>
      </c>
      <c r="I91" s="2" t="s">
        <v>39</v>
      </c>
      <c r="J91" s="2" t="s">
        <v>25</v>
      </c>
      <c r="K91" s="7">
        <v>2.49</v>
      </c>
      <c r="L91" s="2" t="s">
        <v>26</v>
      </c>
      <c r="M91" s="7">
        <v>2.49</v>
      </c>
      <c r="N91" s="2" t="s">
        <v>26</v>
      </c>
      <c r="O91" s="2" t="s">
        <v>56</v>
      </c>
      <c r="P91" s="2" t="s">
        <v>249</v>
      </c>
      <c r="Q91" s="2"/>
      <c r="R91" s="2" t="s">
        <v>37</v>
      </c>
    </row>
    <row r="92" ht="16" hidden="1" customHeight="1" spans="1:18">
      <c r="A92" s="2" t="s">
        <v>253</v>
      </c>
      <c r="B92" s="2" t="s">
        <v>254</v>
      </c>
      <c r="C92" s="2" t="s">
        <v>255</v>
      </c>
      <c r="D92" s="2" t="s">
        <v>256</v>
      </c>
      <c r="E92" s="2" t="s">
        <v>21</v>
      </c>
      <c r="F92" s="2"/>
      <c r="G92" s="2" t="s">
        <v>32</v>
      </c>
      <c r="H92" s="2" t="s">
        <v>33</v>
      </c>
      <c r="I92" s="2" t="s">
        <v>85</v>
      </c>
      <c r="J92" s="2" t="s">
        <v>25</v>
      </c>
      <c r="K92" s="7">
        <v>0.8</v>
      </c>
      <c r="L92" s="2" t="s">
        <v>26</v>
      </c>
      <c r="M92" s="7">
        <v>0.8</v>
      </c>
      <c r="N92" s="2" t="s">
        <v>26</v>
      </c>
      <c r="O92" s="2" t="s">
        <v>56</v>
      </c>
      <c r="P92" s="2" t="s">
        <v>257</v>
      </c>
      <c r="Q92" s="2"/>
      <c r="R92" s="2" t="s">
        <v>37</v>
      </c>
    </row>
    <row r="93" ht="16" hidden="1" customHeight="1" spans="1:18">
      <c r="A93" s="2" t="s">
        <v>258</v>
      </c>
      <c r="B93" s="2" t="s">
        <v>254</v>
      </c>
      <c r="C93" s="2" t="s">
        <v>255</v>
      </c>
      <c r="D93" s="2" t="s">
        <v>256</v>
      </c>
      <c r="E93" s="2" t="s">
        <v>21</v>
      </c>
      <c r="F93" s="2"/>
      <c r="G93" s="2" t="s">
        <v>32</v>
      </c>
      <c r="H93" s="2" t="s">
        <v>33</v>
      </c>
      <c r="I93" s="2" t="s">
        <v>47</v>
      </c>
      <c r="J93" s="2" t="s">
        <v>25</v>
      </c>
      <c r="K93" s="7">
        <v>0.07</v>
      </c>
      <c r="L93" s="2" t="s">
        <v>26</v>
      </c>
      <c r="M93" s="7">
        <v>0.07</v>
      </c>
      <c r="N93" s="2" t="s">
        <v>26</v>
      </c>
      <c r="O93" s="2" t="s">
        <v>56</v>
      </c>
      <c r="P93" s="2" t="s">
        <v>257</v>
      </c>
      <c r="Q93" s="2"/>
      <c r="R93" s="2" t="s">
        <v>37</v>
      </c>
    </row>
    <row r="94" ht="16" hidden="1" customHeight="1" spans="1:18">
      <c r="A94" s="2" t="s">
        <v>259</v>
      </c>
      <c r="B94" s="2" t="s">
        <v>254</v>
      </c>
      <c r="C94" s="2" t="s">
        <v>255</v>
      </c>
      <c r="D94" s="2" t="s">
        <v>256</v>
      </c>
      <c r="E94" s="2" t="s">
        <v>21</v>
      </c>
      <c r="F94" s="2"/>
      <c r="G94" s="2" t="s">
        <v>32</v>
      </c>
      <c r="H94" s="2" t="s">
        <v>33</v>
      </c>
      <c r="I94" s="2" t="s">
        <v>34</v>
      </c>
      <c r="J94" s="2" t="s">
        <v>25</v>
      </c>
      <c r="K94" s="7">
        <v>0.4</v>
      </c>
      <c r="L94" s="2" t="s">
        <v>26</v>
      </c>
      <c r="M94" s="7">
        <v>0.4</v>
      </c>
      <c r="N94" s="2" t="s">
        <v>26</v>
      </c>
      <c r="O94" s="2" t="s">
        <v>56</v>
      </c>
      <c r="P94" s="2" t="s">
        <v>257</v>
      </c>
      <c r="Q94" s="2"/>
      <c r="R94" s="2" t="s">
        <v>37</v>
      </c>
    </row>
    <row r="95" ht="16" hidden="1" customHeight="1" spans="1:18">
      <c r="A95" s="2" t="s">
        <v>260</v>
      </c>
      <c r="B95" s="2" t="s">
        <v>254</v>
      </c>
      <c r="C95" s="2" t="s">
        <v>255</v>
      </c>
      <c r="D95" s="2" t="s">
        <v>256</v>
      </c>
      <c r="E95" s="2" t="s">
        <v>21</v>
      </c>
      <c r="F95" s="2"/>
      <c r="G95" s="2" t="s">
        <v>32</v>
      </c>
      <c r="H95" s="2" t="s">
        <v>33</v>
      </c>
      <c r="I95" s="2" t="s">
        <v>39</v>
      </c>
      <c r="J95" s="2" t="s">
        <v>25</v>
      </c>
      <c r="K95" s="7">
        <v>2.49</v>
      </c>
      <c r="L95" s="2" t="s">
        <v>26</v>
      </c>
      <c r="M95" s="7">
        <v>2.49</v>
      </c>
      <c r="N95" s="2" t="s">
        <v>26</v>
      </c>
      <c r="O95" s="2" t="s">
        <v>56</v>
      </c>
      <c r="P95" s="2" t="s">
        <v>257</v>
      </c>
      <c r="Q95" s="2"/>
      <c r="R95" s="2" t="s">
        <v>37</v>
      </c>
    </row>
    <row r="96" ht="16" hidden="1" customHeight="1" spans="1:18">
      <c r="A96" s="2" t="s">
        <v>261</v>
      </c>
      <c r="B96" s="2" t="s">
        <v>262</v>
      </c>
      <c r="C96" s="2" t="s">
        <v>263</v>
      </c>
      <c r="D96" s="2" t="s">
        <v>264</v>
      </c>
      <c r="E96" s="2" t="s">
        <v>21</v>
      </c>
      <c r="F96" s="2"/>
      <c r="G96" s="2" t="s">
        <v>32</v>
      </c>
      <c r="H96" s="2" t="s">
        <v>33</v>
      </c>
      <c r="I96" s="2" t="s">
        <v>47</v>
      </c>
      <c r="J96" s="2" t="s">
        <v>25</v>
      </c>
      <c r="K96" s="7">
        <v>0.07</v>
      </c>
      <c r="L96" s="2" t="s">
        <v>26</v>
      </c>
      <c r="M96" s="7">
        <v>0.07</v>
      </c>
      <c r="N96" s="2" t="s">
        <v>26</v>
      </c>
      <c r="O96" s="2" t="s">
        <v>48</v>
      </c>
      <c r="P96" s="2" t="s">
        <v>265</v>
      </c>
      <c r="Q96" s="2"/>
      <c r="R96" s="2" t="s">
        <v>37</v>
      </c>
    </row>
    <row r="97" ht="16" hidden="1" customHeight="1" spans="1:18">
      <c r="A97" s="2" t="s">
        <v>266</v>
      </c>
      <c r="B97" s="2" t="s">
        <v>262</v>
      </c>
      <c r="C97" s="2" t="s">
        <v>263</v>
      </c>
      <c r="D97" s="2" t="s">
        <v>264</v>
      </c>
      <c r="E97" s="2" t="s">
        <v>21</v>
      </c>
      <c r="F97" s="2"/>
      <c r="G97" s="2" t="s">
        <v>32</v>
      </c>
      <c r="H97" s="2" t="s">
        <v>33</v>
      </c>
      <c r="I97" s="2" t="s">
        <v>34</v>
      </c>
      <c r="J97" s="2" t="s">
        <v>25</v>
      </c>
      <c r="K97" s="7">
        <v>0.4</v>
      </c>
      <c r="L97" s="2" t="s">
        <v>26</v>
      </c>
      <c r="M97" s="7">
        <v>0.4</v>
      </c>
      <c r="N97" s="2" t="s">
        <v>26</v>
      </c>
      <c r="O97" s="2" t="s">
        <v>48</v>
      </c>
      <c r="P97" s="2" t="s">
        <v>265</v>
      </c>
      <c r="Q97" s="2"/>
      <c r="R97" s="2" t="s">
        <v>37</v>
      </c>
    </row>
    <row r="98" ht="16" hidden="1" customHeight="1" spans="1:18">
      <c r="A98" s="2" t="s">
        <v>267</v>
      </c>
      <c r="B98" s="2" t="s">
        <v>262</v>
      </c>
      <c r="C98" s="2" t="s">
        <v>263</v>
      </c>
      <c r="D98" s="2" t="s">
        <v>264</v>
      </c>
      <c r="E98" s="2" t="s">
        <v>21</v>
      </c>
      <c r="F98" s="2"/>
      <c r="G98" s="2" t="s">
        <v>32</v>
      </c>
      <c r="H98" s="2" t="s">
        <v>33</v>
      </c>
      <c r="I98" s="2" t="s">
        <v>39</v>
      </c>
      <c r="J98" s="2" t="s">
        <v>25</v>
      </c>
      <c r="K98" s="7">
        <v>2.49</v>
      </c>
      <c r="L98" s="2" t="s">
        <v>26</v>
      </c>
      <c r="M98" s="7">
        <v>2.49</v>
      </c>
      <c r="N98" s="2" t="s">
        <v>26</v>
      </c>
      <c r="O98" s="2" t="s">
        <v>48</v>
      </c>
      <c r="P98" s="2" t="s">
        <v>265</v>
      </c>
      <c r="Q98" s="2"/>
      <c r="R98" s="2" t="s">
        <v>37</v>
      </c>
    </row>
    <row r="99" ht="16" hidden="1" customHeight="1" spans="1:18">
      <c r="A99" s="2" t="s">
        <v>268</v>
      </c>
      <c r="B99" s="2" t="s">
        <v>269</v>
      </c>
      <c r="C99" s="2" t="s">
        <v>270</v>
      </c>
      <c r="D99" s="2" t="s">
        <v>271</v>
      </c>
      <c r="E99" s="2" t="s">
        <v>21</v>
      </c>
      <c r="F99" s="2"/>
      <c r="G99" s="2" t="s">
        <v>32</v>
      </c>
      <c r="H99" s="2" t="s">
        <v>33</v>
      </c>
      <c r="I99" s="2" t="s">
        <v>47</v>
      </c>
      <c r="J99" s="2" t="s">
        <v>25</v>
      </c>
      <c r="K99" s="7">
        <v>0.07</v>
      </c>
      <c r="L99" s="2" t="s">
        <v>26</v>
      </c>
      <c r="M99" s="7">
        <v>0.07</v>
      </c>
      <c r="N99" s="2" t="s">
        <v>26</v>
      </c>
      <c r="O99" s="2" t="s">
        <v>48</v>
      </c>
      <c r="P99" s="2" t="s">
        <v>272</v>
      </c>
      <c r="Q99" s="2"/>
      <c r="R99" s="2" t="s">
        <v>37</v>
      </c>
    </row>
    <row r="100" ht="16" hidden="1" customHeight="1" spans="1:18">
      <c r="A100" s="2" t="s">
        <v>273</v>
      </c>
      <c r="B100" s="2" t="s">
        <v>269</v>
      </c>
      <c r="C100" s="2" t="s">
        <v>270</v>
      </c>
      <c r="D100" s="2" t="s">
        <v>271</v>
      </c>
      <c r="E100" s="2" t="s">
        <v>21</v>
      </c>
      <c r="F100" s="2"/>
      <c r="G100" s="2" t="s">
        <v>32</v>
      </c>
      <c r="H100" s="2" t="s">
        <v>33</v>
      </c>
      <c r="I100" s="2" t="s">
        <v>34</v>
      </c>
      <c r="J100" s="2" t="s">
        <v>25</v>
      </c>
      <c r="K100" s="7">
        <v>0.4</v>
      </c>
      <c r="L100" s="2" t="s">
        <v>26</v>
      </c>
      <c r="M100" s="7">
        <v>0.4</v>
      </c>
      <c r="N100" s="2" t="s">
        <v>26</v>
      </c>
      <c r="O100" s="2" t="s">
        <v>48</v>
      </c>
      <c r="P100" s="2" t="s">
        <v>272</v>
      </c>
      <c r="Q100" s="2"/>
      <c r="R100" s="2" t="s">
        <v>37</v>
      </c>
    </row>
    <row r="101" ht="16" hidden="1" customHeight="1" spans="1:18">
      <c r="A101" s="2" t="s">
        <v>274</v>
      </c>
      <c r="B101" s="2" t="s">
        <v>269</v>
      </c>
      <c r="C101" s="2" t="s">
        <v>270</v>
      </c>
      <c r="D101" s="2" t="s">
        <v>271</v>
      </c>
      <c r="E101" s="2" t="s">
        <v>21</v>
      </c>
      <c r="F101" s="2"/>
      <c r="G101" s="2" t="s">
        <v>32</v>
      </c>
      <c r="H101" s="2" t="s">
        <v>33</v>
      </c>
      <c r="I101" s="2" t="s">
        <v>39</v>
      </c>
      <c r="J101" s="2" t="s">
        <v>25</v>
      </c>
      <c r="K101" s="7">
        <v>2.49</v>
      </c>
      <c r="L101" s="2" t="s">
        <v>26</v>
      </c>
      <c r="M101" s="7">
        <v>2.49</v>
      </c>
      <c r="N101" s="2" t="s">
        <v>26</v>
      </c>
      <c r="O101" s="2" t="s">
        <v>48</v>
      </c>
      <c r="P101" s="2" t="s">
        <v>272</v>
      </c>
      <c r="Q101" s="2"/>
      <c r="R101" s="2" t="s">
        <v>37</v>
      </c>
    </row>
    <row r="102" ht="16" hidden="1" customHeight="1" spans="1:18">
      <c r="A102" s="2" t="s">
        <v>275</v>
      </c>
      <c r="B102" s="2" t="s">
        <v>276</v>
      </c>
      <c r="C102" s="2" t="s">
        <v>277</v>
      </c>
      <c r="D102" s="2" t="s">
        <v>278</v>
      </c>
      <c r="E102" s="2" t="s">
        <v>21</v>
      </c>
      <c r="F102" s="2"/>
      <c r="G102" s="2" t="s">
        <v>32</v>
      </c>
      <c r="H102" s="2" t="s">
        <v>33</v>
      </c>
      <c r="I102" s="2" t="s">
        <v>34</v>
      </c>
      <c r="J102" s="2" t="s">
        <v>25</v>
      </c>
      <c r="K102" s="7">
        <v>0.4</v>
      </c>
      <c r="L102" s="2" t="s">
        <v>26</v>
      </c>
      <c r="M102" s="7">
        <v>0.4</v>
      </c>
      <c r="N102" s="2" t="s">
        <v>26</v>
      </c>
      <c r="O102" s="2" t="s">
        <v>279</v>
      </c>
      <c r="P102" s="2" t="s">
        <v>280</v>
      </c>
      <c r="Q102" s="2"/>
      <c r="R102" s="2" t="s">
        <v>37</v>
      </c>
    </row>
    <row r="103" ht="16" hidden="1" customHeight="1" spans="1:18">
      <c r="A103" s="2" t="s">
        <v>281</v>
      </c>
      <c r="B103" s="2" t="s">
        <v>276</v>
      </c>
      <c r="C103" s="2" t="s">
        <v>277</v>
      </c>
      <c r="D103" s="2" t="s">
        <v>278</v>
      </c>
      <c r="E103" s="2" t="s">
        <v>21</v>
      </c>
      <c r="F103" s="2"/>
      <c r="G103" s="2" t="s">
        <v>32</v>
      </c>
      <c r="H103" s="2" t="s">
        <v>33</v>
      </c>
      <c r="I103" s="2" t="s">
        <v>39</v>
      </c>
      <c r="J103" s="2" t="s">
        <v>25</v>
      </c>
      <c r="K103" s="7">
        <v>2.49</v>
      </c>
      <c r="L103" s="2" t="s">
        <v>26</v>
      </c>
      <c r="M103" s="7">
        <v>2.49</v>
      </c>
      <c r="N103" s="2" t="s">
        <v>26</v>
      </c>
      <c r="O103" s="2" t="s">
        <v>279</v>
      </c>
      <c r="P103" s="2" t="s">
        <v>280</v>
      </c>
      <c r="Q103" s="2"/>
      <c r="R103" s="2" t="s">
        <v>37</v>
      </c>
    </row>
    <row r="104" ht="16" hidden="1" customHeight="1" spans="1:18">
      <c r="A104" s="2" t="s">
        <v>282</v>
      </c>
      <c r="B104" s="2" t="s">
        <v>283</v>
      </c>
      <c r="C104" s="2" t="s">
        <v>284</v>
      </c>
      <c r="D104" s="2" t="s">
        <v>285</v>
      </c>
      <c r="E104" s="2" t="s">
        <v>21</v>
      </c>
      <c r="F104" s="2"/>
      <c r="G104" s="2" t="s">
        <v>32</v>
      </c>
      <c r="H104" s="2" t="s">
        <v>33</v>
      </c>
      <c r="I104" s="2" t="s">
        <v>85</v>
      </c>
      <c r="J104" s="2" t="s">
        <v>25</v>
      </c>
      <c r="K104" s="7">
        <v>1</v>
      </c>
      <c r="L104" s="2" t="s">
        <v>26</v>
      </c>
      <c r="M104" s="7">
        <v>1</v>
      </c>
      <c r="N104" s="2" t="s">
        <v>26</v>
      </c>
      <c r="O104" s="2" t="s">
        <v>286</v>
      </c>
      <c r="P104" s="2" t="s">
        <v>287</v>
      </c>
      <c r="Q104" s="2"/>
      <c r="R104" s="2" t="s">
        <v>37</v>
      </c>
    </row>
    <row r="105" ht="16" hidden="1" customHeight="1" spans="1:18">
      <c r="A105" s="2" t="s">
        <v>288</v>
      </c>
      <c r="B105" s="2" t="s">
        <v>283</v>
      </c>
      <c r="C105" s="2" t="s">
        <v>284</v>
      </c>
      <c r="D105" s="2" t="s">
        <v>285</v>
      </c>
      <c r="E105" s="2" t="s">
        <v>21</v>
      </c>
      <c r="F105" s="2"/>
      <c r="G105" s="2" t="s">
        <v>32</v>
      </c>
      <c r="H105" s="2" t="s">
        <v>33</v>
      </c>
      <c r="I105" s="2" t="s">
        <v>47</v>
      </c>
      <c r="J105" s="2" t="s">
        <v>25</v>
      </c>
      <c r="K105" s="7">
        <v>0.07</v>
      </c>
      <c r="L105" s="2" t="s">
        <v>26</v>
      </c>
      <c r="M105" s="7">
        <v>0.07</v>
      </c>
      <c r="N105" s="2" t="s">
        <v>26</v>
      </c>
      <c r="O105" s="2" t="s">
        <v>286</v>
      </c>
      <c r="P105" s="2" t="s">
        <v>287</v>
      </c>
      <c r="Q105" s="2"/>
      <c r="R105" s="2" t="s">
        <v>37</v>
      </c>
    </row>
    <row r="106" ht="16" hidden="1" customHeight="1" spans="1:18">
      <c r="A106" s="2" t="s">
        <v>289</v>
      </c>
      <c r="B106" s="2" t="s">
        <v>283</v>
      </c>
      <c r="C106" s="2" t="s">
        <v>284</v>
      </c>
      <c r="D106" s="2" t="s">
        <v>285</v>
      </c>
      <c r="E106" s="2" t="s">
        <v>21</v>
      </c>
      <c r="F106" s="2"/>
      <c r="G106" s="2" t="s">
        <v>32</v>
      </c>
      <c r="H106" s="2" t="s">
        <v>33</v>
      </c>
      <c r="I106" s="2" t="s">
        <v>34</v>
      </c>
      <c r="J106" s="2" t="s">
        <v>25</v>
      </c>
      <c r="K106" s="7">
        <v>0.4</v>
      </c>
      <c r="L106" s="2" t="s">
        <v>26</v>
      </c>
      <c r="M106" s="7">
        <v>0.4</v>
      </c>
      <c r="N106" s="2" t="s">
        <v>26</v>
      </c>
      <c r="O106" s="2" t="s">
        <v>286</v>
      </c>
      <c r="P106" s="2" t="s">
        <v>287</v>
      </c>
      <c r="Q106" s="2"/>
      <c r="R106" s="2" t="s">
        <v>37</v>
      </c>
    </row>
    <row r="107" ht="16" hidden="1" customHeight="1" spans="1:18">
      <c r="A107" s="2" t="s">
        <v>290</v>
      </c>
      <c r="B107" s="2" t="s">
        <v>283</v>
      </c>
      <c r="C107" s="2" t="s">
        <v>284</v>
      </c>
      <c r="D107" s="2" t="s">
        <v>285</v>
      </c>
      <c r="E107" s="2" t="s">
        <v>21</v>
      </c>
      <c r="F107" s="2"/>
      <c r="G107" s="2" t="s">
        <v>32</v>
      </c>
      <c r="H107" s="2" t="s">
        <v>33</v>
      </c>
      <c r="I107" s="2" t="s">
        <v>39</v>
      </c>
      <c r="J107" s="2" t="s">
        <v>25</v>
      </c>
      <c r="K107" s="7">
        <v>2.49</v>
      </c>
      <c r="L107" s="2" t="s">
        <v>26</v>
      </c>
      <c r="M107" s="7">
        <v>2.49</v>
      </c>
      <c r="N107" s="2" t="s">
        <v>26</v>
      </c>
      <c r="O107" s="2" t="s">
        <v>286</v>
      </c>
      <c r="P107" s="2" t="s">
        <v>287</v>
      </c>
      <c r="Q107" s="2"/>
      <c r="R107" s="2" t="s">
        <v>37</v>
      </c>
    </row>
    <row r="108" ht="16" hidden="1" customHeight="1" spans="1:18">
      <c r="A108" s="2" t="s">
        <v>291</v>
      </c>
      <c r="B108" s="2" t="s">
        <v>292</v>
      </c>
      <c r="C108" s="2" t="s">
        <v>293</v>
      </c>
      <c r="D108" s="2" t="s">
        <v>294</v>
      </c>
      <c r="E108" s="2" t="s">
        <v>21</v>
      </c>
      <c r="F108" s="2"/>
      <c r="G108" s="2" t="s">
        <v>32</v>
      </c>
      <c r="H108" s="2" t="s">
        <v>33</v>
      </c>
      <c r="I108" s="2" t="s">
        <v>85</v>
      </c>
      <c r="J108" s="2" t="s">
        <v>25</v>
      </c>
      <c r="K108" s="7">
        <v>1</v>
      </c>
      <c r="L108" s="2" t="s">
        <v>26</v>
      </c>
      <c r="M108" s="7">
        <v>1</v>
      </c>
      <c r="N108" s="2" t="s">
        <v>26</v>
      </c>
      <c r="O108" s="2" t="s">
        <v>295</v>
      </c>
      <c r="P108" s="2" t="s">
        <v>296</v>
      </c>
      <c r="Q108" s="2"/>
      <c r="R108" s="2" t="s">
        <v>37</v>
      </c>
    </row>
    <row r="109" ht="16" hidden="1" customHeight="1" spans="1:18">
      <c r="A109" s="2" t="s">
        <v>297</v>
      </c>
      <c r="B109" s="2" t="s">
        <v>292</v>
      </c>
      <c r="C109" s="2" t="s">
        <v>293</v>
      </c>
      <c r="D109" s="2" t="s">
        <v>294</v>
      </c>
      <c r="E109" s="2" t="s">
        <v>21</v>
      </c>
      <c r="F109" s="2"/>
      <c r="G109" s="2" t="s">
        <v>32</v>
      </c>
      <c r="H109" s="2" t="s">
        <v>33</v>
      </c>
      <c r="I109" s="2" t="s">
        <v>34</v>
      </c>
      <c r="J109" s="2" t="s">
        <v>25</v>
      </c>
      <c r="K109" s="7">
        <v>0.4</v>
      </c>
      <c r="L109" s="2" t="s">
        <v>26</v>
      </c>
      <c r="M109" s="7">
        <v>0.4</v>
      </c>
      <c r="N109" s="2" t="s">
        <v>26</v>
      </c>
      <c r="O109" s="2" t="s">
        <v>295</v>
      </c>
      <c r="P109" s="2" t="s">
        <v>296</v>
      </c>
      <c r="Q109" s="2"/>
      <c r="R109" s="2" t="s">
        <v>37</v>
      </c>
    </row>
    <row r="110" ht="16" hidden="1" customHeight="1" spans="1:18">
      <c r="A110" s="2" t="s">
        <v>298</v>
      </c>
      <c r="B110" s="2" t="s">
        <v>292</v>
      </c>
      <c r="C110" s="2" t="s">
        <v>293</v>
      </c>
      <c r="D110" s="2" t="s">
        <v>294</v>
      </c>
      <c r="E110" s="2" t="s">
        <v>21</v>
      </c>
      <c r="F110" s="2"/>
      <c r="G110" s="2" t="s">
        <v>32</v>
      </c>
      <c r="H110" s="2" t="s">
        <v>33</v>
      </c>
      <c r="I110" s="2" t="s">
        <v>39</v>
      </c>
      <c r="J110" s="2" t="s">
        <v>25</v>
      </c>
      <c r="K110" s="7">
        <v>2.49</v>
      </c>
      <c r="L110" s="2" t="s">
        <v>26</v>
      </c>
      <c r="M110" s="7">
        <v>2.49</v>
      </c>
      <c r="N110" s="2" t="s">
        <v>26</v>
      </c>
      <c r="O110" s="2" t="s">
        <v>295</v>
      </c>
      <c r="P110" s="2" t="s">
        <v>296</v>
      </c>
      <c r="Q110" s="2"/>
      <c r="R110" s="2" t="s">
        <v>37</v>
      </c>
    </row>
    <row r="111" ht="16" hidden="1" customHeight="1" spans="1:18">
      <c r="A111" s="2" t="s">
        <v>299</v>
      </c>
      <c r="B111" s="2" t="s">
        <v>300</v>
      </c>
      <c r="C111" s="2" t="s">
        <v>301</v>
      </c>
      <c r="D111" s="2" t="s">
        <v>302</v>
      </c>
      <c r="E111" s="2" t="s">
        <v>21</v>
      </c>
      <c r="F111" s="2"/>
      <c r="G111" s="2" t="s">
        <v>32</v>
      </c>
      <c r="H111" s="2" t="s">
        <v>33</v>
      </c>
      <c r="I111" s="2" t="s">
        <v>85</v>
      </c>
      <c r="J111" s="2" t="s">
        <v>25</v>
      </c>
      <c r="K111" s="7">
        <v>1</v>
      </c>
      <c r="L111" s="2" t="s">
        <v>26</v>
      </c>
      <c r="M111" s="7">
        <v>1</v>
      </c>
      <c r="N111" s="2" t="s">
        <v>26</v>
      </c>
      <c r="O111" s="2" t="s">
        <v>295</v>
      </c>
      <c r="P111" s="2" t="s">
        <v>303</v>
      </c>
      <c r="Q111" s="2"/>
      <c r="R111" s="2" t="s">
        <v>37</v>
      </c>
    </row>
    <row r="112" ht="16" hidden="1" customHeight="1" spans="1:18">
      <c r="A112" s="2" t="s">
        <v>304</v>
      </c>
      <c r="B112" s="2" t="s">
        <v>300</v>
      </c>
      <c r="C112" s="2" t="s">
        <v>301</v>
      </c>
      <c r="D112" s="2" t="s">
        <v>302</v>
      </c>
      <c r="E112" s="2" t="s">
        <v>21</v>
      </c>
      <c r="F112" s="2"/>
      <c r="G112" s="2" t="s">
        <v>32</v>
      </c>
      <c r="H112" s="2" t="s">
        <v>33</v>
      </c>
      <c r="I112" s="2" t="s">
        <v>34</v>
      </c>
      <c r="J112" s="2" t="s">
        <v>25</v>
      </c>
      <c r="K112" s="7">
        <v>0.4</v>
      </c>
      <c r="L112" s="2" t="s">
        <v>26</v>
      </c>
      <c r="M112" s="7">
        <v>0.4</v>
      </c>
      <c r="N112" s="2" t="s">
        <v>26</v>
      </c>
      <c r="O112" s="2" t="s">
        <v>295</v>
      </c>
      <c r="P112" s="2" t="s">
        <v>303</v>
      </c>
      <c r="Q112" s="2"/>
      <c r="R112" s="2" t="s">
        <v>37</v>
      </c>
    </row>
    <row r="113" ht="16" hidden="1" customHeight="1" spans="1:18">
      <c r="A113" s="2" t="s">
        <v>305</v>
      </c>
      <c r="B113" s="2" t="s">
        <v>300</v>
      </c>
      <c r="C113" s="2" t="s">
        <v>301</v>
      </c>
      <c r="D113" s="2" t="s">
        <v>302</v>
      </c>
      <c r="E113" s="2" t="s">
        <v>21</v>
      </c>
      <c r="F113" s="2"/>
      <c r="G113" s="2" t="s">
        <v>32</v>
      </c>
      <c r="H113" s="2" t="s">
        <v>33</v>
      </c>
      <c r="I113" s="2" t="s">
        <v>39</v>
      </c>
      <c r="J113" s="2" t="s">
        <v>25</v>
      </c>
      <c r="K113" s="7">
        <v>2.49</v>
      </c>
      <c r="L113" s="2" t="s">
        <v>26</v>
      </c>
      <c r="M113" s="7">
        <v>2.49</v>
      </c>
      <c r="N113" s="2" t="s">
        <v>26</v>
      </c>
      <c r="O113" s="2" t="s">
        <v>295</v>
      </c>
      <c r="P113" s="2" t="s">
        <v>303</v>
      </c>
      <c r="Q113" s="2"/>
      <c r="R113" s="2" t="s">
        <v>37</v>
      </c>
    </row>
    <row r="114" ht="16" hidden="1" customHeight="1" spans="1:18">
      <c r="A114" s="2" t="s">
        <v>306</v>
      </c>
      <c r="B114" s="2" t="s">
        <v>307</v>
      </c>
      <c r="C114" s="2" t="s">
        <v>308</v>
      </c>
      <c r="D114" s="2" t="s">
        <v>309</v>
      </c>
      <c r="E114" s="2" t="s">
        <v>21</v>
      </c>
      <c r="F114" s="2"/>
      <c r="G114" s="2" t="s">
        <v>32</v>
      </c>
      <c r="H114" s="2" t="s">
        <v>33</v>
      </c>
      <c r="I114" s="2" t="s">
        <v>34</v>
      </c>
      <c r="J114" s="2" t="s">
        <v>25</v>
      </c>
      <c r="K114" s="7">
        <v>0.4</v>
      </c>
      <c r="L114" s="2" t="s">
        <v>26</v>
      </c>
      <c r="M114" s="7">
        <v>0.4</v>
      </c>
      <c r="N114" s="2" t="s">
        <v>26</v>
      </c>
      <c r="O114" s="2" t="s">
        <v>295</v>
      </c>
      <c r="P114" s="2" t="s">
        <v>310</v>
      </c>
      <c r="Q114" s="2"/>
      <c r="R114" s="2" t="s">
        <v>37</v>
      </c>
    </row>
    <row r="115" ht="16" hidden="1" customHeight="1" spans="1:18">
      <c r="A115" s="2" t="s">
        <v>311</v>
      </c>
      <c r="B115" s="2" t="s">
        <v>307</v>
      </c>
      <c r="C115" s="2" t="s">
        <v>308</v>
      </c>
      <c r="D115" s="2" t="s">
        <v>309</v>
      </c>
      <c r="E115" s="2" t="s">
        <v>21</v>
      </c>
      <c r="F115" s="2"/>
      <c r="G115" s="2" t="s">
        <v>32</v>
      </c>
      <c r="H115" s="2" t="s">
        <v>33</v>
      </c>
      <c r="I115" s="2" t="s">
        <v>39</v>
      </c>
      <c r="J115" s="2" t="s">
        <v>25</v>
      </c>
      <c r="K115" s="7">
        <v>2.49</v>
      </c>
      <c r="L115" s="2" t="s">
        <v>26</v>
      </c>
      <c r="M115" s="7">
        <v>2.49</v>
      </c>
      <c r="N115" s="2" t="s">
        <v>26</v>
      </c>
      <c r="O115" s="2" t="s">
        <v>295</v>
      </c>
      <c r="P115" s="2" t="s">
        <v>310</v>
      </c>
      <c r="Q115" s="2"/>
      <c r="R115" s="2" t="s">
        <v>37</v>
      </c>
    </row>
    <row r="116" ht="16" hidden="1" customHeight="1" spans="1:18">
      <c r="A116" s="2" t="s">
        <v>312</v>
      </c>
      <c r="B116" s="2" t="s">
        <v>313</v>
      </c>
      <c r="C116" s="2" t="s">
        <v>314</v>
      </c>
      <c r="D116" s="2" t="s">
        <v>315</v>
      </c>
      <c r="E116" s="2" t="s">
        <v>21</v>
      </c>
      <c r="F116" s="2"/>
      <c r="G116" s="2" t="s">
        <v>32</v>
      </c>
      <c r="H116" s="2" t="s">
        <v>33</v>
      </c>
      <c r="I116" s="2" t="s">
        <v>47</v>
      </c>
      <c r="J116" s="2" t="s">
        <v>25</v>
      </c>
      <c r="K116" s="7">
        <v>0.07</v>
      </c>
      <c r="L116" s="2" t="s">
        <v>26</v>
      </c>
      <c r="M116" s="7">
        <v>0.07</v>
      </c>
      <c r="N116" s="2" t="s">
        <v>26</v>
      </c>
      <c r="O116" s="2" t="s">
        <v>316</v>
      </c>
      <c r="P116" s="2" t="s">
        <v>317</v>
      </c>
      <c r="Q116" s="2"/>
      <c r="R116" s="2" t="s">
        <v>37</v>
      </c>
    </row>
    <row r="117" ht="16" hidden="1" customHeight="1" spans="1:18">
      <c r="A117" s="2" t="s">
        <v>318</v>
      </c>
      <c r="B117" s="2" t="s">
        <v>313</v>
      </c>
      <c r="C117" s="2" t="s">
        <v>314</v>
      </c>
      <c r="D117" s="2" t="s">
        <v>315</v>
      </c>
      <c r="E117" s="2" t="s">
        <v>21</v>
      </c>
      <c r="F117" s="2"/>
      <c r="G117" s="2" t="s">
        <v>32</v>
      </c>
      <c r="H117" s="2" t="s">
        <v>33</v>
      </c>
      <c r="I117" s="2" t="s">
        <v>34</v>
      </c>
      <c r="J117" s="2" t="s">
        <v>25</v>
      </c>
      <c r="K117" s="7">
        <v>0.4</v>
      </c>
      <c r="L117" s="2" t="s">
        <v>26</v>
      </c>
      <c r="M117" s="7">
        <v>0.4</v>
      </c>
      <c r="N117" s="2" t="s">
        <v>26</v>
      </c>
      <c r="O117" s="2" t="s">
        <v>316</v>
      </c>
      <c r="P117" s="2" t="s">
        <v>317</v>
      </c>
      <c r="Q117" s="2"/>
      <c r="R117" s="2" t="s">
        <v>37</v>
      </c>
    </row>
    <row r="118" ht="16" hidden="1" customHeight="1" spans="1:18">
      <c r="A118" s="2" t="s">
        <v>319</v>
      </c>
      <c r="B118" s="2" t="s">
        <v>313</v>
      </c>
      <c r="C118" s="2" t="s">
        <v>314</v>
      </c>
      <c r="D118" s="2" t="s">
        <v>315</v>
      </c>
      <c r="E118" s="2" t="s">
        <v>21</v>
      </c>
      <c r="F118" s="2"/>
      <c r="G118" s="2" t="s">
        <v>32</v>
      </c>
      <c r="H118" s="2" t="s">
        <v>33</v>
      </c>
      <c r="I118" s="2" t="s">
        <v>39</v>
      </c>
      <c r="J118" s="2" t="s">
        <v>25</v>
      </c>
      <c r="K118" s="7">
        <v>2.49</v>
      </c>
      <c r="L118" s="2" t="s">
        <v>26</v>
      </c>
      <c r="M118" s="7">
        <v>2.49</v>
      </c>
      <c r="N118" s="2" t="s">
        <v>26</v>
      </c>
      <c r="O118" s="2" t="s">
        <v>316</v>
      </c>
      <c r="P118" s="2" t="s">
        <v>317</v>
      </c>
      <c r="Q118" s="2"/>
      <c r="R118" s="2" t="s">
        <v>37</v>
      </c>
    </row>
    <row r="119" ht="16" hidden="1" customHeight="1" spans="1:18">
      <c r="A119" s="2" t="s">
        <v>320</v>
      </c>
      <c r="B119" s="2" t="s">
        <v>321</v>
      </c>
      <c r="C119" s="2" t="s">
        <v>322</v>
      </c>
      <c r="D119" s="2" t="s">
        <v>323</v>
      </c>
      <c r="E119" s="2" t="s">
        <v>21</v>
      </c>
      <c r="F119" s="2"/>
      <c r="G119" s="2" t="s">
        <v>32</v>
      </c>
      <c r="H119" s="2" t="s">
        <v>33</v>
      </c>
      <c r="I119" s="2" t="s">
        <v>47</v>
      </c>
      <c r="J119" s="2" t="s">
        <v>25</v>
      </c>
      <c r="K119" s="7">
        <v>0.07</v>
      </c>
      <c r="L119" s="2" t="s">
        <v>26</v>
      </c>
      <c r="M119" s="7">
        <v>0.07</v>
      </c>
      <c r="N119" s="2" t="s">
        <v>26</v>
      </c>
      <c r="O119" s="2" t="s">
        <v>48</v>
      </c>
      <c r="P119" s="2" t="s">
        <v>324</v>
      </c>
      <c r="Q119" s="2"/>
      <c r="R119" s="2" t="s">
        <v>37</v>
      </c>
    </row>
    <row r="120" ht="16" hidden="1" customHeight="1" spans="1:18">
      <c r="A120" s="2" t="s">
        <v>325</v>
      </c>
      <c r="B120" s="2" t="s">
        <v>321</v>
      </c>
      <c r="C120" s="2" t="s">
        <v>322</v>
      </c>
      <c r="D120" s="2" t="s">
        <v>323</v>
      </c>
      <c r="E120" s="2" t="s">
        <v>21</v>
      </c>
      <c r="F120" s="2"/>
      <c r="G120" s="2" t="s">
        <v>32</v>
      </c>
      <c r="H120" s="2" t="s">
        <v>33</v>
      </c>
      <c r="I120" s="2" t="s">
        <v>34</v>
      </c>
      <c r="J120" s="2" t="s">
        <v>25</v>
      </c>
      <c r="K120" s="7">
        <v>0.4</v>
      </c>
      <c r="L120" s="2" t="s">
        <v>26</v>
      </c>
      <c r="M120" s="7">
        <v>0.4</v>
      </c>
      <c r="N120" s="2" t="s">
        <v>26</v>
      </c>
      <c r="O120" s="2" t="s">
        <v>48</v>
      </c>
      <c r="P120" s="2" t="s">
        <v>324</v>
      </c>
      <c r="Q120" s="2"/>
      <c r="R120" s="2" t="s">
        <v>37</v>
      </c>
    </row>
    <row r="121" ht="16" hidden="1" customHeight="1" spans="1:18">
      <c r="A121" s="2" t="s">
        <v>326</v>
      </c>
      <c r="B121" s="2" t="s">
        <v>321</v>
      </c>
      <c r="C121" s="2" t="s">
        <v>322</v>
      </c>
      <c r="D121" s="2" t="s">
        <v>323</v>
      </c>
      <c r="E121" s="2" t="s">
        <v>21</v>
      </c>
      <c r="F121" s="2"/>
      <c r="G121" s="2" t="s">
        <v>32</v>
      </c>
      <c r="H121" s="2" t="s">
        <v>33</v>
      </c>
      <c r="I121" s="2" t="s">
        <v>39</v>
      </c>
      <c r="J121" s="2" t="s">
        <v>25</v>
      </c>
      <c r="K121" s="7">
        <v>2.49</v>
      </c>
      <c r="L121" s="2" t="s">
        <v>26</v>
      </c>
      <c r="M121" s="7">
        <v>2.49</v>
      </c>
      <c r="N121" s="2" t="s">
        <v>26</v>
      </c>
      <c r="O121" s="2" t="s">
        <v>48</v>
      </c>
      <c r="P121" s="2" t="s">
        <v>324</v>
      </c>
      <c r="Q121" s="2"/>
      <c r="R121" s="2" t="s">
        <v>37</v>
      </c>
    </row>
    <row r="122" ht="16" customHeight="1" spans="1:18">
      <c r="A122" s="2" t="s">
        <v>327</v>
      </c>
      <c r="B122" s="2" t="s">
        <v>328</v>
      </c>
      <c r="C122" s="2"/>
      <c r="D122" s="2" t="s">
        <v>20</v>
      </c>
      <c r="E122" s="2" t="s">
        <v>21</v>
      </c>
      <c r="F122" s="2"/>
      <c r="G122" s="2" t="s">
        <v>22</v>
      </c>
      <c r="H122" s="2" t="s">
        <v>23</v>
      </c>
      <c r="I122" s="2" t="s">
        <v>24</v>
      </c>
      <c r="J122" s="2" t="s">
        <v>25</v>
      </c>
      <c r="K122" s="7">
        <v>13.968</v>
      </c>
      <c r="L122" s="2" t="s">
        <v>26</v>
      </c>
      <c r="M122" s="7">
        <v>13.968</v>
      </c>
      <c r="N122" s="2" t="s">
        <v>26</v>
      </c>
      <c r="O122" s="2"/>
      <c r="P122" s="2" t="s">
        <v>329</v>
      </c>
      <c r="Q122" s="2"/>
      <c r="R122" s="2"/>
    </row>
    <row r="123" ht="16" hidden="1" customHeight="1" spans="1:18">
      <c r="A123" s="2" t="s">
        <v>330</v>
      </c>
      <c r="B123" s="2" t="s">
        <v>331</v>
      </c>
      <c r="C123" s="2" t="s">
        <v>332</v>
      </c>
      <c r="D123" s="2" t="s">
        <v>333</v>
      </c>
      <c r="E123" s="2" t="s">
        <v>21</v>
      </c>
      <c r="F123" s="2"/>
      <c r="G123" s="2" t="s">
        <v>32</v>
      </c>
      <c r="H123" s="2" t="s">
        <v>33</v>
      </c>
      <c r="I123" s="2" t="s">
        <v>85</v>
      </c>
      <c r="J123" s="2" t="s">
        <v>25</v>
      </c>
      <c r="K123" s="7">
        <v>0.8</v>
      </c>
      <c r="L123" s="2" t="s">
        <v>26</v>
      </c>
      <c r="M123" s="7">
        <v>0.8</v>
      </c>
      <c r="N123" s="2" t="s">
        <v>26</v>
      </c>
      <c r="O123" s="2" t="s">
        <v>117</v>
      </c>
      <c r="P123" s="2" t="s">
        <v>334</v>
      </c>
      <c r="Q123" s="2"/>
      <c r="R123" s="2" t="s">
        <v>37</v>
      </c>
    </row>
    <row r="124" ht="16" hidden="1" customHeight="1" spans="1:18">
      <c r="A124" s="2" t="s">
        <v>335</v>
      </c>
      <c r="B124" s="2" t="s">
        <v>331</v>
      </c>
      <c r="C124" s="2" t="s">
        <v>332</v>
      </c>
      <c r="D124" s="2" t="s">
        <v>333</v>
      </c>
      <c r="E124" s="2" t="s">
        <v>21</v>
      </c>
      <c r="F124" s="2"/>
      <c r="G124" s="2" t="s">
        <v>32</v>
      </c>
      <c r="H124" s="2" t="s">
        <v>33</v>
      </c>
      <c r="I124" s="2" t="s">
        <v>89</v>
      </c>
      <c r="J124" s="2" t="s">
        <v>25</v>
      </c>
      <c r="K124" s="7">
        <v>0.3</v>
      </c>
      <c r="L124" s="2" t="s">
        <v>26</v>
      </c>
      <c r="M124" s="7">
        <v>0.3</v>
      </c>
      <c r="N124" s="2" t="s">
        <v>26</v>
      </c>
      <c r="O124" s="2" t="s">
        <v>117</v>
      </c>
      <c r="P124" s="2" t="s">
        <v>334</v>
      </c>
      <c r="Q124" s="2"/>
      <c r="R124" s="2" t="s">
        <v>37</v>
      </c>
    </row>
    <row r="125" ht="16" hidden="1" customHeight="1" spans="1:18">
      <c r="A125" s="2" t="s">
        <v>336</v>
      </c>
      <c r="B125" s="2" t="s">
        <v>331</v>
      </c>
      <c r="C125" s="2" t="s">
        <v>332</v>
      </c>
      <c r="D125" s="2" t="s">
        <v>333</v>
      </c>
      <c r="E125" s="2" t="s">
        <v>21</v>
      </c>
      <c r="F125" s="2"/>
      <c r="G125" s="2" t="s">
        <v>32</v>
      </c>
      <c r="H125" s="2" t="s">
        <v>33</v>
      </c>
      <c r="I125" s="2" t="s">
        <v>47</v>
      </c>
      <c r="J125" s="2" t="s">
        <v>25</v>
      </c>
      <c r="K125" s="7">
        <v>0.07</v>
      </c>
      <c r="L125" s="2" t="s">
        <v>26</v>
      </c>
      <c r="M125" s="7">
        <v>0.07</v>
      </c>
      <c r="N125" s="2" t="s">
        <v>26</v>
      </c>
      <c r="O125" s="2" t="s">
        <v>117</v>
      </c>
      <c r="P125" s="2" t="s">
        <v>334</v>
      </c>
      <c r="Q125" s="2"/>
      <c r="R125" s="2" t="s">
        <v>37</v>
      </c>
    </row>
    <row r="126" ht="16" hidden="1" customHeight="1" spans="1:18">
      <c r="A126" s="2" t="s">
        <v>337</v>
      </c>
      <c r="B126" s="2" t="s">
        <v>331</v>
      </c>
      <c r="C126" s="2" t="s">
        <v>332</v>
      </c>
      <c r="D126" s="2" t="s">
        <v>333</v>
      </c>
      <c r="E126" s="2" t="s">
        <v>21</v>
      </c>
      <c r="F126" s="2"/>
      <c r="G126" s="2" t="s">
        <v>32</v>
      </c>
      <c r="H126" s="2" t="s">
        <v>33</v>
      </c>
      <c r="I126" s="2" t="s">
        <v>34</v>
      </c>
      <c r="J126" s="2" t="s">
        <v>25</v>
      </c>
      <c r="K126" s="7">
        <v>0.4</v>
      </c>
      <c r="L126" s="2" t="s">
        <v>26</v>
      </c>
      <c r="M126" s="7">
        <v>0.4</v>
      </c>
      <c r="N126" s="2" t="s">
        <v>26</v>
      </c>
      <c r="O126" s="2" t="s">
        <v>117</v>
      </c>
      <c r="P126" s="2" t="s">
        <v>334</v>
      </c>
      <c r="Q126" s="2"/>
      <c r="R126" s="2" t="s">
        <v>37</v>
      </c>
    </row>
    <row r="127" ht="16" hidden="1" customHeight="1" spans="1:18">
      <c r="A127" s="2" t="s">
        <v>338</v>
      </c>
      <c r="B127" s="2" t="s">
        <v>331</v>
      </c>
      <c r="C127" s="2" t="s">
        <v>332</v>
      </c>
      <c r="D127" s="2" t="s">
        <v>333</v>
      </c>
      <c r="E127" s="2" t="s">
        <v>21</v>
      </c>
      <c r="F127" s="2"/>
      <c r="G127" s="2" t="s">
        <v>32</v>
      </c>
      <c r="H127" s="2" t="s">
        <v>33</v>
      </c>
      <c r="I127" s="2" t="s">
        <v>39</v>
      </c>
      <c r="J127" s="2" t="s">
        <v>25</v>
      </c>
      <c r="K127" s="7">
        <v>2.49</v>
      </c>
      <c r="L127" s="2" t="s">
        <v>26</v>
      </c>
      <c r="M127" s="7">
        <v>2.49</v>
      </c>
      <c r="N127" s="2" t="s">
        <v>26</v>
      </c>
      <c r="O127" s="2" t="s">
        <v>117</v>
      </c>
      <c r="P127" s="2" t="s">
        <v>334</v>
      </c>
      <c r="Q127" s="2"/>
      <c r="R127" s="2" t="s">
        <v>37</v>
      </c>
    </row>
    <row r="128" ht="16" customHeight="1" spans="1:18">
      <c r="A128" s="2" t="s">
        <v>339</v>
      </c>
      <c r="B128" s="2" t="s">
        <v>340</v>
      </c>
      <c r="C128" s="2"/>
      <c r="D128" s="2" t="s">
        <v>20</v>
      </c>
      <c r="E128" s="2" t="s">
        <v>21</v>
      </c>
      <c r="F128" s="2"/>
      <c r="G128" s="2" t="s">
        <v>22</v>
      </c>
      <c r="H128" s="2" t="s">
        <v>23</v>
      </c>
      <c r="I128" s="2" t="s">
        <v>24</v>
      </c>
      <c r="J128" s="2" t="s">
        <v>25</v>
      </c>
      <c r="K128" s="7">
        <v>13.973</v>
      </c>
      <c r="L128" s="2" t="s">
        <v>26</v>
      </c>
      <c r="M128" s="7">
        <v>13.973</v>
      </c>
      <c r="N128" s="2" t="s">
        <v>26</v>
      </c>
      <c r="O128" s="2"/>
      <c r="P128" s="2" t="s">
        <v>341</v>
      </c>
      <c r="Q128" s="2"/>
      <c r="R128" s="2"/>
    </row>
    <row r="129" ht="16" customHeight="1" spans="1:18">
      <c r="A129" s="2" t="s">
        <v>342</v>
      </c>
      <c r="B129" s="2" t="s">
        <v>343</v>
      </c>
      <c r="C129" s="2"/>
      <c r="D129" s="2" t="s">
        <v>20</v>
      </c>
      <c r="E129" s="2" t="s">
        <v>21</v>
      </c>
      <c r="F129" s="2"/>
      <c r="G129" s="2" t="s">
        <v>22</v>
      </c>
      <c r="H129" s="2" t="s">
        <v>23</v>
      </c>
      <c r="I129" s="2" t="s">
        <v>24</v>
      </c>
      <c r="J129" s="2" t="s">
        <v>25</v>
      </c>
      <c r="K129" s="7">
        <v>13.973</v>
      </c>
      <c r="L129" s="2" t="s">
        <v>26</v>
      </c>
      <c r="M129" s="7">
        <v>13.973</v>
      </c>
      <c r="N129" s="2" t="s">
        <v>26</v>
      </c>
      <c r="O129" s="2"/>
      <c r="P129" s="2" t="s">
        <v>344</v>
      </c>
      <c r="Q129" s="2"/>
      <c r="R129" s="2"/>
    </row>
    <row r="130" ht="16" customHeight="1" spans="1:18">
      <c r="A130" s="2" t="s">
        <v>345</v>
      </c>
      <c r="B130" s="2" t="s">
        <v>346</v>
      </c>
      <c r="C130" s="2"/>
      <c r="D130" s="2" t="s">
        <v>20</v>
      </c>
      <c r="E130" s="2" t="s">
        <v>21</v>
      </c>
      <c r="F130" s="2"/>
      <c r="G130" s="2" t="s">
        <v>22</v>
      </c>
      <c r="H130" s="2" t="s">
        <v>23</v>
      </c>
      <c r="I130" s="2" t="s">
        <v>24</v>
      </c>
      <c r="J130" s="2" t="s">
        <v>25</v>
      </c>
      <c r="K130" s="7">
        <v>13.973</v>
      </c>
      <c r="L130" s="2" t="s">
        <v>26</v>
      </c>
      <c r="M130" s="7">
        <v>13.973</v>
      </c>
      <c r="N130" s="2" t="s">
        <v>26</v>
      </c>
      <c r="O130" s="2"/>
      <c r="P130" s="2" t="s">
        <v>347</v>
      </c>
      <c r="Q130" s="2"/>
      <c r="R130" s="2"/>
    </row>
    <row r="131" ht="16" customHeight="1" spans="1:18">
      <c r="A131" s="2" t="s">
        <v>348</v>
      </c>
      <c r="B131" s="2" t="s">
        <v>349</v>
      </c>
      <c r="C131" s="2" t="s">
        <v>20</v>
      </c>
      <c r="D131" s="8" t="s">
        <v>350</v>
      </c>
      <c r="E131" s="9" t="s">
        <v>21</v>
      </c>
      <c r="F131" s="2"/>
      <c r="G131" s="9" t="s">
        <v>22</v>
      </c>
      <c r="H131" s="8" t="s">
        <v>351</v>
      </c>
      <c r="I131" s="2" t="s">
        <v>47</v>
      </c>
      <c r="J131" s="2" t="s">
        <v>25</v>
      </c>
      <c r="K131" s="7">
        <v>0.98</v>
      </c>
      <c r="L131" s="2" t="s">
        <v>26</v>
      </c>
      <c r="M131" s="7">
        <v>0.98</v>
      </c>
      <c r="N131" s="2" t="s">
        <v>26</v>
      </c>
      <c r="O131" s="2" t="s">
        <v>352</v>
      </c>
      <c r="P131" s="2" t="s">
        <v>353</v>
      </c>
      <c r="Q131" s="2"/>
      <c r="R131" s="2" t="s">
        <v>37</v>
      </c>
    </row>
    <row r="132" ht="16" customHeight="1" spans="1:18">
      <c r="A132" s="2" t="s">
        <v>354</v>
      </c>
      <c r="B132" s="2" t="s">
        <v>349</v>
      </c>
      <c r="C132" s="2" t="s">
        <v>20</v>
      </c>
      <c r="D132" s="8" t="s">
        <v>350</v>
      </c>
      <c r="E132" s="9" t="s">
        <v>21</v>
      </c>
      <c r="F132" s="2"/>
      <c r="G132" s="9" t="s">
        <v>22</v>
      </c>
      <c r="H132" s="8" t="s">
        <v>351</v>
      </c>
      <c r="I132" s="2" t="s">
        <v>34</v>
      </c>
      <c r="J132" s="2" t="s">
        <v>25</v>
      </c>
      <c r="K132" s="7">
        <v>0.4</v>
      </c>
      <c r="L132" s="2" t="s">
        <v>26</v>
      </c>
      <c r="M132" s="7">
        <v>0.4</v>
      </c>
      <c r="N132" s="2" t="s">
        <v>26</v>
      </c>
      <c r="O132" s="2" t="s">
        <v>352</v>
      </c>
      <c r="P132" s="2" t="s">
        <v>353</v>
      </c>
      <c r="Q132" s="2"/>
      <c r="R132" s="2" t="s">
        <v>37</v>
      </c>
    </row>
    <row r="133" ht="16" customHeight="1" spans="1:18">
      <c r="A133" s="2" t="s">
        <v>355</v>
      </c>
      <c r="B133" s="2" t="s">
        <v>349</v>
      </c>
      <c r="C133" s="2" t="s">
        <v>20</v>
      </c>
      <c r="D133" s="8" t="s">
        <v>350</v>
      </c>
      <c r="E133" s="9" t="s">
        <v>21</v>
      </c>
      <c r="F133" s="2"/>
      <c r="G133" s="9" t="s">
        <v>22</v>
      </c>
      <c r="H133" s="8" t="s">
        <v>351</v>
      </c>
      <c r="I133" s="2" t="s">
        <v>39</v>
      </c>
      <c r="J133" s="2" t="s">
        <v>25</v>
      </c>
      <c r="K133" s="7">
        <v>5.55</v>
      </c>
      <c r="L133" s="2" t="s">
        <v>26</v>
      </c>
      <c r="M133" s="7">
        <v>5.55</v>
      </c>
      <c r="N133" s="2" t="s">
        <v>26</v>
      </c>
      <c r="O133" s="2" t="s">
        <v>352</v>
      </c>
      <c r="P133" s="2" t="s">
        <v>353</v>
      </c>
      <c r="Q133" s="2"/>
      <c r="R133" s="2" t="s">
        <v>37</v>
      </c>
    </row>
    <row r="134" ht="16" hidden="1" customHeight="1" spans="1:18">
      <c r="A134" s="2" t="s">
        <v>356</v>
      </c>
      <c r="B134" s="2" t="s">
        <v>357</v>
      </c>
      <c r="C134" s="2" t="s">
        <v>358</v>
      </c>
      <c r="D134" s="2" t="s">
        <v>359</v>
      </c>
      <c r="E134" s="2" t="s">
        <v>21</v>
      </c>
      <c r="F134" s="2"/>
      <c r="G134" s="2" t="s">
        <v>32</v>
      </c>
      <c r="H134" s="2" t="s">
        <v>33</v>
      </c>
      <c r="I134" s="2" t="s">
        <v>47</v>
      </c>
      <c r="J134" s="2" t="s">
        <v>25</v>
      </c>
      <c r="K134" s="7">
        <v>0.07</v>
      </c>
      <c r="L134" s="2" t="s">
        <v>26</v>
      </c>
      <c r="M134" s="7">
        <v>0.07</v>
      </c>
      <c r="N134" s="2" t="s">
        <v>26</v>
      </c>
      <c r="O134" s="2" t="s">
        <v>48</v>
      </c>
      <c r="P134" s="2" t="s">
        <v>360</v>
      </c>
      <c r="Q134" s="2"/>
      <c r="R134" s="2" t="s">
        <v>37</v>
      </c>
    </row>
    <row r="135" ht="16" hidden="1" customHeight="1" spans="1:18">
      <c r="A135" s="2" t="s">
        <v>361</v>
      </c>
      <c r="B135" s="2" t="s">
        <v>357</v>
      </c>
      <c r="C135" s="2" t="s">
        <v>358</v>
      </c>
      <c r="D135" s="2" t="s">
        <v>359</v>
      </c>
      <c r="E135" s="2" t="s">
        <v>21</v>
      </c>
      <c r="F135" s="2"/>
      <c r="G135" s="2" t="s">
        <v>32</v>
      </c>
      <c r="H135" s="2" t="s">
        <v>33</v>
      </c>
      <c r="I135" s="2" t="s">
        <v>34</v>
      </c>
      <c r="J135" s="2" t="s">
        <v>25</v>
      </c>
      <c r="K135" s="7">
        <v>0.4</v>
      </c>
      <c r="L135" s="2" t="s">
        <v>26</v>
      </c>
      <c r="M135" s="7">
        <v>0.4</v>
      </c>
      <c r="N135" s="2" t="s">
        <v>26</v>
      </c>
      <c r="O135" s="2" t="s">
        <v>48</v>
      </c>
      <c r="P135" s="2" t="s">
        <v>360</v>
      </c>
      <c r="Q135" s="2"/>
      <c r="R135" s="2" t="s">
        <v>37</v>
      </c>
    </row>
    <row r="136" ht="16" hidden="1" customHeight="1" spans="1:18">
      <c r="A136" s="2" t="s">
        <v>362</v>
      </c>
      <c r="B136" s="2" t="s">
        <v>357</v>
      </c>
      <c r="C136" s="2" t="s">
        <v>358</v>
      </c>
      <c r="D136" s="2" t="s">
        <v>359</v>
      </c>
      <c r="E136" s="2" t="s">
        <v>21</v>
      </c>
      <c r="F136" s="2"/>
      <c r="G136" s="2" t="s">
        <v>32</v>
      </c>
      <c r="H136" s="2" t="s">
        <v>33</v>
      </c>
      <c r="I136" s="2" t="s">
        <v>39</v>
      </c>
      <c r="J136" s="2" t="s">
        <v>25</v>
      </c>
      <c r="K136" s="7">
        <v>2.49</v>
      </c>
      <c r="L136" s="2" t="s">
        <v>26</v>
      </c>
      <c r="M136" s="7">
        <v>2.49</v>
      </c>
      <c r="N136" s="2" t="s">
        <v>26</v>
      </c>
      <c r="O136" s="2" t="s">
        <v>48</v>
      </c>
      <c r="P136" s="2" t="s">
        <v>360</v>
      </c>
      <c r="Q136" s="2"/>
      <c r="R136" s="2" t="s">
        <v>37</v>
      </c>
    </row>
    <row r="137" ht="16" hidden="1" customHeight="1" spans="1:18">
      <c r="A137" s="2" t="s">
        <v>363</v>
      </c>
      <c r="B137" s="2" t="s">
        <v>364</v>
      </c>
      <c r="C137" s="2" t="s">
        <v>365</v>
      </c>
      <c r="D137" s="2" t="s">
        <v>366</v>
      </c>
      <c r="E137" s="2" t="s">
        <v>21</v>
      </c>
      <c r="F137" s="2"/>
      <c r="G137" s="2" t="s">
        <v>32</v>
      </c>
      <c r="H137" s="2" t="s">
        <v>33</v>
      </c>
      <c r="I137" s="2" t="s">
        <v>85</v>
      </c>
      <c r="J137" s="2" t="s">
        <v>25</v>
      </c>
      <c r="K137" s="7">
        <v>0.8</v>
      </c>
      <c r="L137" s="2" t="s">
        <v>26</v>
      </c>
      <c r="M137" s="7">
        <v>0.8</v>
      </c>
      <c r="N137" s="2" t="s">
        <v>26</v>
      </c>
      <c r="O137" s="2" t="s">
        <v>367</v>
      </c>
      <c r="P137" s="2" t="s">
        <v>368</v>
      </c>
      <c r="Q137" s="2"/>
      <c r="R137" s="2" t="s">
        <v>37</v>
      </c>
    </row>
    <row r="138" ht="16" hidden="1" customHeight="1" spans="1:18">
      <c r="A138" s="2" t="s">
        <v>369</v>
      </c>
      <c r="B138" s="2" t="s">
        <v>364</v>
      </c>
      <c r="C138" s="2" t="s">
        <v>365</v>
      </c>
      <c r="D138" s="2" t="s">
        <v>366</v>
      </c>
      <c r="E138" s="2" t="s">
        <v>21</v>
      </c>
      <c r="F138" s="2"/>
      <c r="G138" s="2" t="s">
        <v>32</v>
      </c>
      <c r="H138" s="2" t="s">
        <v>33</v>
      </c>
      <c r="I138" s="2" t="s">
        <v>34</v>
      </c>
      <c r="J138" s="2" t="s">
        <v>25</v>
      </c>
      <c r="K138" s="7">
        <v>0.4</v>
      </c>
      <c r="L138" s="2" t="s">
        <v>26</v>
      </c>
      <c r="M138" s="7">
        <v>0.4</v>
      </c>
      <c r="N138" s="2" t="s">
        <v>26</v>
      </c>
      <c r="O138" s="2" t="s">
        <v>367</v>
      </c>
      <c r="P138" s="2" t="s">
        <v>368</v>
      </c>
      <c r="Q138" s="2"/>
      <c r="R138" s="2" t="s">
        <v>37</v>
      </c>
    </row>
    <row r="139" ht="16" hidden="1" customHeight="1" spans="1:18">
      <c r="A139" s="2" t="s">
        <v>370</v>
      </c>
      <c r="B139" s="2" t="s">
        <v>364</v>
      </c>
      <c r="C139" s="2" t="s">
        <v>365</v>
      </c>
      <c r="D139" s="2" t="s">
        <v>366</v>
      </c>
      <c r="E139" s="2" t="s">
        <v>21</v>
      </c>
      <c r="F139" s="2"/>
      <c r="G139" s="2" t="s">
        <v>32</v>
      </c>
      <c r="H139" s="2" t="s">
        <v>33</v>
      </c>
      <c r="I139" s="2" t="s">
        <v>39</v>
      </c>
      <c r="J139" s="2" t="s">
        <v>25</v>
      </c>
      <c r="K139" s="7">
        <v>2.49</v>
      </c>
      <c r="L139" s="2" t="s">
        <v>26</v>
      </c>
      <c r="M139" s="7">
        <v>2.49</v>
      </c>
      <c r="N139" s="2" t="s">
        <v>26</v>
      </c>
      <c r="O139" s="2" t="s">
        <v>367</v>
      </c>
      <c r="P139" s="2" t="s">
        <v>368</v>
      </c>
      <c r="Q139" s="2"/>
      <c r="R139" s="2" t="s">
        <v>37</v>
      </c>
    </row>
    <row r="140" ht="16" hidden="1" customHeight="1" spans="1:18">
      <c r="A140" s="2" t="s">
        <v>371</v>
      </c>
      <c r="B140" s="2" t="s">
        <v>372</v>
      </c>
      <c r="C140" s="2" t="s">
        <v>373</v>
      </c>
      <c r="D140" s="2" t="s">
        <v>374</v>
      </c>
      <c r="E140" s="2" t="s">
        <v>21</v>
      </c>
      <c r="F140" s="2"/>
      <c r="G140" s="2" t="s">
        <v>32</v>
      </c>
      <c r="H140" s="2" t="s">
        <v>33</v>
      </c>
      <c r="I140" s="2" t="s">
        <v>85</v>
      </c>
      <c r="J140" s="2" t="s">
        <v>25</v>
      </c>
      <c r="K140" s="7">
        <v>0.8</v>
      </c>
      <c r="L140" s="2" t="s">
        <v>26</v>
      </c>
      <c r="M140" s="7">
        <v>0.8</v>
      </c>
      <c r="N140" s="2" t="s">
        <v>26</v>
      </c>
      <c r="O140" s="2" t="s">
        <v>35</v>
      </c>
      <c r="P140" s="2" t="s">
        <v>375</v>
      </c>
      <c r="Q140" s="2"/>
      <c r="R140" s="2" t="s">
        <v>37</v>
      </c>
    </row>
    <row r="141" ht="16" hidden="1" customHeight="1" spans="1:18">
      <c r="A141" s="2" t="s">
        <v>376</v>
      </c>
      <c r="B141" s="2" t="s">
        <v>372</v>
      </c>
      <c r="C141" s="2" t="s">
        <v>373</v>
      </c>
      <c r="D141" s="2" t="s">
        <v>374</v>
      </c>
      <c r="E141" s="2" t="s">
        <v>21</v>
      </c>
      <c r="F141" s="2"/>
      <c r="G141" s="2" t="s">
        <v>32</v>
      </c>
      <c r="H141" s="2" t="s">
        <v>33</v>
      </c>
      <c r="I141" s="2" t="s">
        <v>34</v>
      </c>
      <c r="J141" s="2" t="s">
        <v>25</v>
      </c>
      <c r="K141" s="7">
        <v>0.4</v>
      </c>
      <c r="L141" s="2" t="s">
        <v>26</v>
      </c>
      <c r="M141" s="7">
        <v>0.4</v>
      </c>
      <c r="N141" s="2" t="s">
        <v>26</v>
      </c>
      <c r="O141" s="2" t="s">
        <v>35</v>
      </c>
      <c r="P141" s="2" t="s">
        <v>375</v>
      </c>
      <c r="Q141" s="2"/>
      <c r="R141" s="2" t="s">
        <v>37</v>
      </c>
    </row>
    <row r="142" ht="16" hidden="1" customHeight="1" spans="1:18">
      <c r="A142" s="2" t="s">
        <v>377</v>
      </c>
      <c r="B142" s="2" t="s">
        <v>372</v>
      </c>
      <c r="C142" s="2" t="s">
        <v>373</v>
      </c>
      <c r="D142" s="2" t="s">
        <v>374</v>
      </c>
      <c r="E142" s="2" t="s">
        <v>21</v>
      </c>
      <c r="F142" s="2"/>
      <c r="G142" s="2" t="s">
        <v>32</v>
      </c>
      <c r="H142" s="2" t="s">
        <v>33</v>
      </c>
      <c r="I142" s="2" t="s">
        <v>39</v>
      </c>
      <c r="J142" s="2" t="s">
        <v>25</v>
      </c>
      <c r="K142" s="7">
        <v>2.49</v>
      </c>
      <c r="L142" s="2" t="s">
        <v>26</v>
      </c>
      <c r="M142" s="7">
        <v>2.49</v>
      </c>
      <c r="N142" s="2" t="s">
        <v>26</v>
      </c>
      <c r="O142" s="2" t="s">
        <v>35</v>
      </c>
      <c r="P142" s="2" t="s">
        <v>375</v>
      </c>
      <c r="Q142" s="2"/>
      <c r="R142" s="2" t="s">
        <v>37</v>
      </c>
    </row>
    <row r="143" ht="16" hidden="1" customHeight="1" spans="1:18">
      <c r="A143" s="2" t="s">
        <v>378</v>
      </c>
      <c r="B143" s="2" t="s">
        <v>379</v>
      </c>
      <c r="C143" s="2" t="s">
        <v>380</v>
      </c>
      <c r="D143" s="2" t="s">
        <v>381</v>
      </c>
      <c r="E143" s="2" t="s">
        <v>21</v>
      </c>
      <c r="F143" s="2"/>
      <c r="G143" s="2" t="s">
        <v>32</v>
      </c>
      <c r="H143" s="2" t="s">
        <v>33</v>
      </c>
      <c r="I143" s="2" t="s">
        <v>85</v>
      </c>
      <c r="J143" s="2" t="s">
        <v>25</v>
      </c>
      <c r="K143" s="7">
        <v>0.8</v>
      </c>
      <c r="L143" s="2" t="s">
        <v>26</v>
      </c>
      <c r="M143" s="7">
        <v>0.8</v>
      </c>
      <c r="N143" s="2" t="s">
        <v>26</v>
      </c>
      <c r="O143" s="2" t="s">
        <v>166</v>
      </c>
      <c r="P143" s="2" t="s">
        <v>382</v>
      </c>
      <c r="Q143" s="2"/>
      <c r="R143" s="2" t="s">
        <v>37</v>
      </c>
    </row>
    <row r="144" ht="16" hidden="1" customHeight="1" spans="1:18">
      <c r="A144" s="2" t="s">
        <v>383</v>
      </c>
      <c r="B144" s="2" t="s">
        <v>379</v>
      </c>
      <c r="C144" s="2" t="s">
        <v>380</v>
      </c>
      <c r="D144" s="2" t="s">
        <v>381</v>
      </c>
      <c r="E144" s="2" t="s">
        <v>21</v>
      </c>
      <c r="F144" s="2"/>
      <c r="G144" s="2" t="s">
        <v>32</v>
      </c>
      <c r="H144" s="2" t="s">
        <v>33</v>
      </c>
      <c r="I144" s="2" t="s">
        <v>47</v>
      </c>
      <c r="J144" s="2" t="s">
        <v>25</v>
      </c>
      <c r="K144" s="7">
        <v>0.07</v>
      </c>
      <c r="L144" s="2" t="s">
        <v>26</v>
      </c>
      <c r="M144" s="7">
        <v>0.07</v>
      </c>
      <c r="N144" s="2" t="s">
        <v>26</v>
      </c>
      <c r="O144" s="2" t="s">
        <v>166</v>
      </c>
      <c r="P144" s="2" t="s">
        <v>382</v>
      </c>
      <c r="Q144" s="2"/>
      <c r="R144" s="2" t="s">
        <v>37</v>
      </c>
    </row>
    <row r="145" ht="16" hidden="1" customHeight="1" spans="1:18">
      <c r="A145" s="2" t="s">
        <v>384</v>
      </c>
      <c r="B145" s="2" t="s">
        <v>379</v>
      </c>
      <c r="C145" s="2" t="s">
        <v>380</v>
      </c>
      <c r="D145" s="2" t="s">
        <v>381</v>
      </c>
      <c r="E145" s="2" t="s">
        <v>21</v>
      </c>
      <c r="F145" s="2"/>
      <c r="G145" s="2" t="s">
        <v>32</v>
      </c>
      <c r="H145" s="2" t="s">
        <v>33</v>
      </c>
      <c r="I145" s="2" t="s">
        <v>34</v>
      </c>
      <c r="J145" s="2" t="s">
        <v>25</v>
      </c>
      <c r="K145" s="7">
        <v>0.4</v>
      </c>
      <c r="L145" s="2" t="s">
        <v>26</v>
      </c>
      <c r="M145" s="7">
        <v>0.4</v>
      </c>
      <c r="N145" s="2" t="s">
        <v>26</v>
      </c>
      <c r="O145" s="2" t="s">
        <v>166</v>
      </c>
      <c r="P145" s="2" t="s">
        <v>382</v>
      </c>
      <c r="Q145" s="2"/>
      <c r="R145" s="2" t="s">
        <v>37</v>
      </c>
    </row>
    <row r="146" ht="16" hidden="1" customHeight="1" spans="1:18">
      <c r="A146" s="2" t="s">
        <v>385</v>
      </c>
      <c r="B146" s="2" t="s">
        <v>379</v>
      </c>
      <c r="C146" s="2" t="s">
        <v>380</v>
      </c>
      <c r="D146" s="2" t="s">
        <v>381</v>
      </c>
      <c r="E146" s="2" t="s">
        <v>21</v>
      </c>
      <c r="F146" s="2"/>
      <c r="G146" s="2" t="s">
        <v>32</v>
      </c>
      <c r="H146" s="2" t="s">
        <v>33</v>
      </c>
      <c r="I146" s="2" t="s">
        <v>39</v>
      </c>
      <c r="J146" s="2" t="s">
        <v>25</v>
      </c>
      <c r="K146" s="7">
        <v>2.49</v>
      </c>
      <c r="L146" s="2" t="s">
        <v>26</v>
      </c>
      <c r="M146" s="7">
        <v>2.49</v>
      </c>
      <c r="N146" s="2" t="s">
        <v>26</v>
      </c>
      <c r="O146" s="2" t="s">
        <v>166</v>
      </c>
      <c r="P146" s="2" t="s">
        <v>382</v>
      </c>
      <c r="Q146" s="2"/>
      <c r="R146" s="2" t="s">
        <v>37</v>
      </c>
    </row>
    <row r="147" ht="16" hidden="1" customHeight="1" spans="1:18">
      <c r="A147" s="2" t="s">
        <v>386</v>
      </c>
      <c r="B147" s="2" t="s">
        <v>387</v>
      </c>
      <c r="C147" s="2" t="s">
        <v>388</v>
      </c>
      <c r="D147" s="2" t="s">
        <v>389</v>
      </c>
      <c r="E147" s="2" t="s">
        <v>21</v>
      </c>
      <c r="F147" s="2"/>
      <c r="G147" s="2" t="s">
        <v>32</v>
      </c>
      <c r="H147" s="2" t="s">
        <v>33</v>
      </c>
      <c r="I147" s="2" t="s">
        <v>85</v>
      </c>
      <c r="J147" s="2" t="s">
        <v>25</v>
      </c>
      <c r="K147" s="7">
        <v>0.8</v>
      </c>
      <c r="L147" s="2" t="s">
        <v>26</v>
      </c>
      <c r="M147" s="7">
        <v>0.8</v>
      </c>
      <c r="N147" s="2" t="s">
        <v>26</v>
      </c>
      <c r="O147" s="2" t="s">
        <v>352</v>
      </c>
      <c r="P147" s="2" t="s">
        <v>390</v>
      </c>
      <c r="Q147" s="2"/>
      <c r="R147" s="2" t="s">
        <v>37</v>
      </c>
    </row>
    <row r="148" ht="16" hidden="1" customHeight="1" spans="1:18">
      <c r="A148" s="2" t="s">
        <v>391</v>
      </c>
      <c r="B148" s="2" t="s">
        <v>387</v>
      </c>
      <c r="C148" s="2" t="s">
        <v>388</v>
      </c>
      <c r="D148" s="2" t="s">
        <v>389</v>
      </c>
      <c r="E148" s="2" t="s">
        <v>21</v>
      </c>
      <c r="F148" s="2"/>
      <c r="G148" s="2" t="s">
        <v>32</v>
      </c>
      <c r="H148" s="2" t="s">
        <v>33</v>
      </c>
      <c r="I148" s="2" t="s">
        <v>47</v>
      </c>
      <c r="J148" s="2" t="s">
        <v>25</v>
      </c>
      <c r="K148" s="7">
        <v>0.98</v>
      </c>
      <c r="L148" s="2" t="s">
        <v>26</v>
      </c>
      <c r="M148" s="7">
        <v>0.98</v>
      </c>
      <c r="N148" s="2" t="s">
        <v>26</v>
      </c>
      <c r="O148" s="2" t="s">
        <v>352</v>
      </c>
      <c r="P148" s="2" t="s">
        <v>390</v>
      </c>
      <c r="Q148" s="2"/>
      <c r="R148" s="2" t="s">
        <v>37</v>
      </c>
    </row>
    <row r="149" ht="16" hidden="1" customHeight="1" spans="1:18">
      <c r="A149" s="2" t="s">
        <v>392</v>
      </c>
      <c r="B149" s="2" t="s">
        <v>387</v>
      </c>
      <c r="C149" s="2" t="s">
        <v>388</v>
      </c>
      <c r="D149" s="2" t="s">
        <v>389</v>
      </c>
      <c r="E149" s="2" t="s">
        <v>21</v>
      </c>
      <c r="F149" s="2"/>
      <c r="G149" s="2" t="s">
        <v>32</v>
      </c>
      <c r="H149" s="2" t="s">
        <v>33</v>
      </c>
      <c r="I149" s="2" t="s">
        <v>34</v>
      </c>
      <c r="J149" s="2" t="s">
        <v>25</v>
      </c>
      <c r="K149" s="7">
        <v>0.4</v>
      </c>
      <c r="L149" s="2" t="s">
        <v>26</v>
      </c>
      <c r="M149" s="7">
        <v>0.4</v>
      </c>
      <c r="N149" s="2" t="s">
        <v>26</v>
      </c>
      <c r="O149" s="2" t="s">
        <v>352</v>
      </c>
      <c r="P149" s="2" t="s">
        <v>390</v>
      </c>
      <c r="Q149" s="2"/>
      <c r="R149" s="2" t="s">
        <v>37</v>
      </c>
    </row>
    <row r="150" ht="16" hidden="1" customHeight="1" spans="1:18">
      <c r="A150" s="2" t="s">
        <v>393</v>
      </c>
      <c r="B150" s="2" t="s">
        <v>387</v>
      </c>
      <c r="C150" s="2" t="s">
        <v>388</v>
      </c>
      <c r="D150" s="2" t="s">
        <v>389</v>
      </c>
      <c r="E150" s="2" t="s">
        <v>21</v>
      </c>
      <c r="F150" s="2"/>
      <c r="G150" s="2" t="s">
        <v>32</v>
      </c>
      <c r="H150" s="2" t="s">
        <v>33</v>
      </c>
      <c r="I150" s="2" t="s">
        <v>39</v>
      </c>
      <c r="J150" s="2" t="s">
        <v>25</v>
      </c>
      <c r="K150" s="7">
        <v>3.36</v>
      </c>
      <c r="L150" s="2" t="s">
        <v>26</v>
      </c>
      <c r="M150" s="7">
        <v>3.36</v>
      </c>
      <c r="N150" s="2" t="s">
        <v>26</v>
      </c>
      <c r="O150" s="2" t="s">
        <v>352</v>
      </c>
      <c r="P150" s="2" t="s">
        <v>390</v>
      </c>
      <c r="Q150" s="2"/>
      <c r="R150" s="2" t="s">
        <v>37</v>
      </c>
    </row>
    <row r="151" ht="16" hidden="1" customHeight="1" spans="1:18">
      <c r="A151" s="2" t="s">
        <v>394</v>
      </c>
      <c r="B151" s="2" t="s">
        <v>395</v>
      </c>
      <c r="C151" s="2" t="s">
        <v>396</v>
      </c>
      <c r="D151" s="2" t="s">
        <v>397</v>
      </c>
      <c r="E151" s="2" t="s">
        <v>21</v>
      </c>
      <c r="F151" s="2"/>
      <c r="G151" s="2" t="s">
        <v>32</v>
      </c>
      <c r="H151" s="2" t="s">
        <v>33</v>
      </c>
      <c r="I151" s="2" t="s">
        <v>85</v>
      </c>
      <c r="J151" s="2" t="s">
        <v>25</v>
      </c>
      <c r="K151" s="7">
        <v>0.8</v>
      </c>
      <c r="L151" s="2" t="s">
        <v>26</v>
      </c>
      <c r="M151" s="7">
        <v>0.8</v>
      </c>
      <c r="N151" s="2" t="s">
        <v>26</v>
      </c>
      <c r="O151" s="2" t="s">
        <v>100</v>
      </c>
      <c r="P151" s="2" t="s">
        <v>398</v>
      </c>
      <c r="Q151" s="2"/>
      <c r="R151" s="2" t="s">
        <v>37</v>
      </c>
    </row>
    <row r="152" ht="16" hidden="1" customHeight="1" spans="1:18">
      <c r="A152" s="2" t="s">
        <v>399</v>
      </c>
      <c r="B152" s="2" t="s">
        <v>395</v>
      </c>
      <c r="C152" s="2" t="s">
        <v>396</v>
      </c>
      <c r="D152" s="2" t="s">
        <v>397</v>
      </c>
      <c r="E152" s="2" t="s">
        <v>21</v>
      </c>
      <c r="F152" s="2"/>
      <c r="G152" s="2" t="s">
        <v>32</v>
      </c>
      <c r="H152" s="2" t="s">
        <v>33</v>
      </c>
      <c r="I152" s="2" t="s">
        <v>47</v>
      </c>
      <c r="J152" s="2" t="s">
        <v>25</v>
      </c>
      <c r="K152" s="7">
        <v>0.07</v>
      </c>
      <c r="L152" s="2" t="s">
        <v>26</v>
      </c>
      <c r="M152" s="7">
        <v>0.07</v>
      </c>
      <c r="N152" s="2" t="s">
        <v>26</v>
      </c>
      <c r="O152" s="2" t="s">
        <v>100</v>
      </c>
      <c r="P152" s="2" t="s">
        <v>398</v>
      </c>
      <c r="Q152" s="2"/>
      <c r="R152" s="2" t="s">
        <v>37</v>
      </c>
    </row>
    <row r="153" ht="16" hidden="1" customHeight="1" spans="1:18">
      <c r="A153" s="2" t="s">
        <v>400</v>
      </c>
      <c r="B153" s="2" t="s">
        <v>395</v>
      </c>
      <c r="C153" s="2" t="s">
        <v>396</v>
      </c>
      <c r="D153" s="2" t="s">
        <v>397</v>
      </c>
      <c r="E153" s="2" t="s">
        <v>21</v>
      </c>
      <c r="F153" s="2"/>
      <c r="G153" s="2" t="s">
        <v>32</v>
      </c>
      <c r="H153" s="2" t="s">
        <v>33</v>
      </c>
      <c r="I153" s="2" t="s">
        <v>34</v>
      </c>
      <c r="J153" s="2" t="s">
        <v>25</v>
      </c>
      <c r="K153" s="7">
        <v>0.4</v>
      </c>
      <c r="L153" s="2" t="s">
        <v>26</v>
      </c>
      <c r="M153" s="7">
        <v>0.4</v>
      </c>
      <c r="N153" s="2" t="s">
        <v>26</v>
      </c>
      <c r="O153" s="2" t="s">
        <v>100</v>
      </c>
      <c r="P153" s="2" t="s">
        <v>398</v>
      </c>
      <c r="Q153" s="2"/>
      <c r="R153" s="2" t="s">
        <v>37</v>
      </c>
    </row>
    <row r="154" ht="16" hidden="1" customHeight="1" spans="1:18">
      <c r="A154" s="2" t="s">
        <v>401</v>
      </c>
      <c r="B154" s="2" t="s">
        <v>395</v>
      </c>
      <c r="C154" s="2" t="s">
        <v>396</v>
      </c>
      <c r="D154" s="2" t="s">
        <v>397</v>
      </c>
      <c r="E154" s="2" t="s">
        <v>21</v>
      </c>
      <c r="F154" s="2"/>
      <c r="G154" s="2" t="s">
        <v>32</v>
      </c>
      <c r="H154" s="2" t="s">
        <v>33</v>
      </c>
      <c r="I154" s="2" t="s">
        <v>39</v>
      </c>
      <c r="J154" s="2" t="s">
        <v>25</v>
      </c>
      <c r="K154" s="7">
        <v>2.49</v>
      </c>
      <c r="L154" s="2" t="s">
        <v>26</v>
      </c>
      <c r="M154" s="7">
        <v>2.49</v>
      </c>
      <c r="N154" s="2" t="s">
        <v>26</v>
      </c>
      <c r="O154" s="2" t="s">
        <v>100</v>
      </c>
      <c r="P154" s="2" t="s">
        <v>398</v>
      </c>
      <c r="Q154" s="2"/>
      <c r="R154" s="2" t="s">
        <v>37</v>
      </c>
    </row>
    <row r="155" ht="16" customHeight="1" spans="1:18">
      <c r="A155" s="2" t="s">
        <v>402</v>
      </c>
      <c r="B155" s="2" t="s">
        <v>403</v>
      </c>
      <c r="C155" s="2"/>
      <c r="D155" s="2" t="s">
        <v>20</v>
      </c>
      <c r="E155" s="2" t="s">
        <v>21</v>
      </c>
      <c r="F155" s="2"/>
      <c r="G155" s="2" t="s">
        <v>22</v>
      </c>
      <c r="H155" s="2" t="s">
        <v>23</v>
      </c>
      <c r="I155" s="2" t="s">
        <v>24</v>
      </c>
      <c r="J155" s="2" t="s">
        <v>25</v>
      </c>
      <c r="K155" s="7">
        <v>14.036</v>
      </c>
      <c r="L155" s="2" t="s">
        <v>26</v>
      </c>
      <c r="M155" s="7">
        <v>14.036</v>
      </c>
      <c r="N155" s="2" t="s">
        <v>26</v>
      </c>
      <c r="O155" s="2"/>
      <c r="P155" s="2" t="s">
        <v>404</v>
      </c>
      <c r="Q155" s="2"/>
      <c r="R155" s="2"/>
    </row>
    <row r="156" ht="16" customHeight="1" spans="1:18">
      <c r="A156" s="2" t="s">
        <v>405</v>
      </c>
      <c r="B156" s="2" t="s">
        <v>406</v>
      </c>
      <c r="C156" s="2"/>
      <c r="D156" s="2" t="s">
        <v>20</v>
      </c>
      <c r="E156" s="2" t="s">
        <v>21</v>
      </c>
      <c r="F156" s="2"/>
      <c r="G156" s="2" t="s">
        <v>22</v>
      </c>
      <c r="H156" s="2" t="s">
        <v>23</v>
      </c>
      <c r="I156" s="2" t="s">
        <v>24</v>
      </c>
      <c r="J156" s="2" t="s">
        <v>25</v>
      </c>
      <c r="K156" s="7">
        <v>14.036</v>
      </c>
      <c r="L156" s="2" t="s">
        <v>26</v>
      </c>
      <c r="M156" s="7">
        <v>14.036</v>
      </c>
      <c r="N156" s="2" t="s">
        <v>26</v>
      </c>
      <c r="O156" s="2"/>
      <c r="P156" s="2" t="s">
        <v>407</v>
      </c>
      <c r="Q156" s="2"/>
      <c r="R156" s="2"/>
    </row>
    <row r="157" ht="16" hidden="1" customHeight="1" spans="1:18">
      <c r="A157" s="2" t="s">
        <v>408</v>
      </c>
      <c r="B157" s="2" t="s">
        <v>409</v>
      </c>
      <c r="C157" s="2" t="s">
        <v>410</v>
      </c>
      <c r="D157" s="2" t="s">
        <v>411</v>
      </c>
      <c r="E157" s="2" t="s">
        <v>21</v>
      </c>
      <c r="F157" s="2"/>
      <c r="G157" s="2" t="s">
        <v>32</v>
      </c>
      <c r="H157" s="2" t="s">
        <v>33</v>
      </c>
      <c r="I157" s="2" t="s">
        <v>85</v>
      </c>
      <c r="J157" s="2" t="s">
        <v>25</v>
      </c>
      <c r="K157" s="7">
        <v>1.5</v>
      </c>
      <c r="L157" s="2" t="s">
        <v>26</v>
      </c>
      <c r="M157" s="7">
        <v>1.5</v>
      </c>
      <c r="N157" s="2" t="s">
        <v>26</v>
      </c>
      <c r="O157" s="2" t="s">
        <v>100</v>
      </c>
      <c r="P157" s="2" t="s">
        <v>412</v>
      </c>
      <c r="Q157" s="2"/>
      <c r="R157" s="2" t="s">
        <v>37</v>
      </c>
    </row>
    <row r="158" ht="16" hidden="1" customHeight="1" spans="1:18">
      <c r="A158" s="2" t="s">
        <v>413</v>
      </c>
      <c r="B158" s="2" t="s">
        <v>409</v>
      </c>
      <c r="C158" s="2" t="s">
        <v>410</v>
      </c>
      <c r="D158" s="2" t="s">
        <v>411</v>
      </c>
      <c r="E158" s="2" t="s">
        <v>21</v>
      </c>
      <c r="F158" s="2"/>
      <c r="G158" s="2" t="s">
        <v>32</v>
      </c>
      <c r="H158" s="2" t="s">
        <v>33</v>
      </c>
      <c r="I158" s="2" t="s">
        <v>47</v>
      </c>
      <c r="J158" s="2" t="s">
        <v>25</v>
      </c>
      <c r="K158" s="7">
        <v>0.07</v>
      </c>
      <c r="L158" s="2" t="s">
        <v>26</v>
      </c>
      <c r="M158" s="7">
        <v>0.07</v>
      </c>
      <c r="N158" s="2" t="s">
        <v>26</v>
      </c>
      <c r="O158" s="2" t="s">
        <v>100</v>
      </c>
      <c r="P158" s="2" t="s">
        <v>412</v>
      </c>
      <c r="Q158" s="2"/>
      <c r="R158" s="2" t="s">
        <v>37</v>
      </c>
    </row>
    <row r="159" ht="16" hidden="1" customHeight="1" spans="1:18">
      <c r="A159" s="2" t="s">
        <v>414</v>
      </c>
      <c r="B159" s="2" t="s">
        <v>409</v>
      </c>
      <c r="C159" s="2" t="s">
        <v>410</v>
      </c>
      <c r="D159" s="2" t="s">
        <v>411</v>
      </c>
      <c r="E159" s="2" t="s">
        <v>21</v>
      </c>
      <c r="F159" s="2"/>
      <c r="G159" s="2" t="s">
        <v>32</v>
      </c>
      <c r="H159" s="2" t="s">
        <v>33</v>
      </c>
      <c r="I159" s="2" t="s">
        <v>34</v>
      </c>
      <c r="J159" s="2" t="s">
        <v>25</v>
      </c>
      <c r="K159" s="7">
        <v>0.4</v>
      </c>
      <c r="L159" s="2" t="s">
        <v>26</v>
      </c>
      <c r="M159" s="7">
        <v>0.4</v>
      </c>
      <c r="N159" s="2" t="s">
        <v>26</v>
      </c>
      <c r="O159" s="2" t="s">
        <v>100</v>
      </c>
      <c r="P159" s="2" t="s">
        <v>412</v>
      </c>
      <c r="Q159" s="2"/>
      <c r="R159" s="2" t="s">
        <v>37</v>
      </c>
    </row>
    <row r="160" ht="16" hidden="1" customHeight="1" spans="1:18">
      <c r="A160" s="2" t="s">
        <v>415</v>
      </c>
      <c r="B160" s="2" t="s">
        <v>409</v>
      </c>
      <c r="C160" s="2" t="s">
        <v>410</v>
      </c>
      <c r="D160" s="2" t="s">
        <v>411</v>
      </c>
      <c r="E160" s="2" t="s">
        <v>21</v>
      </c>
      <c r="F160" s="2"/>
      <c r="G160" s="2" t="s">
        <v>32</v>
      </c>
      <c r="H160" s="2" t="s">
        <v>33</v>
      </c>
      <c r="I160" s="2" t="s">
        <v>39</v>
      </c>
      <c r="J160" s="2" t="s">
        <v>25</v>
      </c>
      <c r="K160" s="7">
        <v>2.49</v>
      </c>
      <c r="L160" s="2" t="s">
        <v>26</v>
      </c>
      <c r="M160" s="7">
        <v>2.49</v>
      </c>
      <c r="N160" s="2" t="s">
        <v>26</v>
      </c>
      <c r="O160" s="2" t="s">
        <v>100</v>
      </c>
      <c r="P160" s="2" t="s">
        <v>412</v>
      </c>
      <c r="Q160" s="2"/>
      <c r="R160" s="2" t="s">
        <v>37</v>
      </c>
    </row>
    <row r="161" ht="16" hidden="1" customHeight="1" spans="1:18">
      <c r="A161" s="2" t="s">
        <v>416</v>
      </c>
      <c r="B161" s="2" t="s">
        <v>417</v>
      </c>
      <c r="C161" s="2" t="s">
        <v>418</v>
      </c>
      <c r="D161" s="2" t="s">
        <v>419</v>
      </c>
      <c r="E161" s="2" t="s">
        <v>21</v>
      </c>
      <c r="F161" s="2"/>
      <c r="G161" s="2" t="s">
        <v>32</v>
      </c>
      <c r="H161" s="2" t="s">
        <v>33</v>
      </c>
      <c r="I161" s="2" t="s">
        <v>47</v>
      </c>
      <c r="J161" s="2" t="s">
        <v>25</v>
      </c>
      <c r="K161" s="7">
        <v>0.07</v>
      </c>
      <c r="L161" s="2" t="s">
        <v>26</v>
      </c>
      <c r="M161" s="7">
        <v>0.07</v>
      </c>
      <c r="N161" s="2" t="s">
        <v>26</v>
      </c>
      <c r="O161" s="2" t="s">
        <v>48</v>
      </c>
      <c r="P161" s="2" t="s">
        <v>420</v>
      </c>
      <c r="Q161" s="2"/>
      <c r="R161" s="2" t="s">
        <v>37</v>
      </c>
    </row>
    <row r="162" ht="16" hidden="1" customHeight="1" spans="1:18">
      <c r="A162" s="2" t="s">
        <v>421</v>
      </c>
      <c r="B162" s="2" t="s">
        <v>417</v>
      </c>
      <c r="C162" s="2" t="s">
        <v>418</v>
      </c>
      <c r="D162" s="2" t="s">
        <v>419</v>
      </c>
      <c r="E162" s="2" t="s">
        <v>21</v>
      </c>
      <c r="F162" s="2"/>
      <c r="G162" s="2" t="s">
        <v>32</v>
      </c>
      <c r="H162" s="2" t="s">
        <v>33</v>
      </c>
      <c r="I162" s="2" t="s">
        <v>34</v>
      </c>
      <c r="J162" s="2" t="s">
        <v>25</v>
      </c>
      <c r="K162" s="7">
        <v>0.4</v>
      </c>
      <c r="L162" s="2" t="s">
        <v>26</v>
      </c>
      <c r="M162" s="7">
        <v>0.4</v>
      </c>
      <c r="N162" s="2" t="s">
        <v>26</v>
      </c>
      <c r="O162" s="2" t="s">
        <v>48</v>
      </c>
      <c r="P162" s="2" t="s">
        <v>420</v>
      </c>
      <c r="Q162" s="2"/>
      <c r="R162" s="2" t="s">
        <v>37</v>
      </c>
    </row>
    <row r="163" ht="16" hidden="1" customHeight="1" spans="1:18">
      <c r="A163" s="2" t="s">
        <v>422</v>
      </c>
      <c r="B163" s="2" t="s">
        <v>417</v>
      </c>
      <c r="C163" s="2" t="s">
        <v>418</v>
      </c>
      <c r="D163" s="2" t="s">
        <v>419</v>
      </c>
      <c r="E163" s="2" t="s">
        <v>21</v>
      </c>
      <c r="F163" s="2"/>
      <c r="G163" s="2" t="s">
        <v>32</v>
      </c>
      <c r="H163" s="2" t="s">
        <v>33</v>
      </c>
      <c r="I163" s="2" t="s">
        <v>39</v>
      </c>
      <c r="J163" s="2" t="s">
        <v>25</v>
      </c>
      <c r="K163" s="7">
        <v>2.49</v>
      </c>
      <c r="L163" s="2" t="s">
        <v>26</v>
      </c>
      <c r="M163" s="7">
        <v>2.49</v>
      </c>
      <c r="N163" s="2" t="s">
        <v>26</v>
      </c>
      <c r="O163" s="2" t="s">
        <v>48</v>
      </c>
      <c r="P163" s="2" t="s">
        <v>420</v>
      </c>
      <c r="Q163" s="2"/>
      <c r="R163" s="2" t="s">
        <v>37</v>
      </c>
    </row>
    <row r="164" ht="16" hidden="1" customHeight="1" spans="1:18">
      <c r="A164" s="2" t="s">
        <v>423</v>
      </c>
      <c r="B164" s="2" t="s">
        <v>424</v>
      </c>
      <c r="C164" s="2" t="s">
        <v>425</v>
      </c>
      <c r="D164" s="2" t="s">
        <v>426</v>
      </c>
      <c r="E164" s="2" t="s">
        <v>21</v>
      </c>
      <c r="F164" s="2"/>
      <c r="G164" s="2" t="s">
        <v>32</v>
      </c>
      <c r="H164" s="2" t="s">
        <v>33</v>
      </c>
      <c r="I164" s="2" t="s">
        <v>34</v>
      </c>
      <c r="J164" s="2" t="s">
        <v>25</v>
      </c>
      <c r="K164" s="7">
        <v>0.4</v>
      </c>
      <c r="L164" s="2" t="s">
        <v>26</v>
      </c>
      <c r="M164" s="7">
        <v>0.4</v>
      </c>
      <c r="N164" s="2" t="s">
        <v>26</v>
      </c>
      <c r="O164" s="2" t="s">
        <v>35</v>
      </c>
      <c r="P164" s="2" t="s">
        <v>427</v>
      </c>
      <c r="Q164" s="2"/>
      <c r="R164" s="2" t="s">
        <v>37</v>
      </c>
    </row>
    <row r="165" ht="16" hidden="1" customHeight="1" spans="1:18">
      <c r="A165" s="2" t="s">
        <v>428</v>
      </c>
      <c r="B165" s="2" t="s">
        <v>424</v>
      </c>
      <c r="C165" s="2" t="s">
        <v>425</v>
      </c>
      <c r="D165" s="2" t="s">
        <v>426</v>
      </c>
      <c r="E165" s="2" t="s">
        <v>21</v>
      </c>
      <c r="F165" s="2"/>
      <c r="G165" s="2" t="s">
        <v>32</v>
      </c>
      <c r="H165" s="2" t="s">
        <v>33</v>
      </c>
      <c r="I165" s="2" t="s">
        <v>39</v>
      </c>
      <c r="J165" s="2" t="s">
        <v>25</v>
      </c>
      <c r="K165" s="7">
        <v>2.49</v>
      </c>
      <c r="L165" s="2" t="s">
        <v>26</v>
      </c>
      <c r="M165" s="7">
        <v>2.49</v>
      </c>
      <c r="N165" s="2" t="s">
        <v>26</v>
      </c>
      <c r="O165" s="2" t="s">
        <v>35</v>
      </c>
      <c r="P165" s="2" t="s">
        <v>427</v>
      </c>
      <c r="Q165" s="2"/>
      <c r="R165" s="2" t="s">
        <v>37</v>
      </c>
    </row>
    <row r="166" ht="16" hidden="1" customHeight="1" spans="1:18">
      <c r="A166" s="2" t="s">
        <v>429</v>
      </c>
      <c r="B166" s="2" t="s">
        <v>430</v>
      </c>
      <c r="C166" s="2" t="s">
        <v>431</v>
      </c>
      <c r="D166" s="2" t="s">
        <v>432</v>
      </c>
      <c r="E166" s="2" t="s">
        <v>21</v>
      </c>
      <c r="F166" s="2"/>
      <c r="G166" s="2" t="s">
        <v>32</v>
      </c>
      <c r="H166" s="2" t="s">
        <v>33</v>
      </c>
      <c r="I166" s="2" t="s">
        <v>34</v>
      </c>
      <c r="J166" s="2" t="s">
        <v>25</v>
      </c>
      <c r="K166" s="7">
        <v>0.4</v>
      </c>
      <c r="L166" s="2" t="s">
        <v>26</v>
      </c>
      <c r="M166" s="7">
        <v>0.4</v>
      </c>
      <c r="N166" s="2" t="s">
        <v>26</v>
      </c>
      <c r="O166" s="2" t="s">
        <v>35</v>
      </c>
      <c r="P166" s="2" t="s">
        <v>433</v>
      </c>
      <c r="Q166" s="2"/>
      <c r="R166" s="2" t="s">
        <v>37</v>
      </c>
    </row>
    <row r="167" ht="16" hidden="1" customHeight="1" spans="1:18">
      <c r="A167" s="2" t="s">
        <v>434</v>
      </c>
      <c r="B167" s="2" t="s">
        <v>430</v>
      </c>
      <c r="C167" s="2" t="s">
        <v>431</v>
      </c>
      <c r="D167" s="2" t="s">
        <v>432</v>
      </c>
      <c r="E167" s="2" t="s">
        <v>21</v>
      </c>
      <c r="F167" s="2"/>
      <c r="G167" s="2" t="s">
        <v>32</v>
      </c>
      <c r="H167" s="2" t="s">
        <v>33</v>
      </c>
      <c r="I167" s="2" t="s">
        <v>39</v>
      </c>
      <c r="J167" s="2" t="s">
        <v>25</v>
      </c>
      <c r="K167" s="7">
        <v>2.49</v>
      </c>
      <c r="L167" s="2" t="s">
        <v>26</v>
      </c>
      <c r="M167" s="7">
        <v>2.49</v>
      </c>
      <c r="N167" s="2" t="s">
        <v>26</v>
      </c>
      <c r="O167" s="2" t="s">
        <v>35</v>
      </c>
      <c r="P167" s="2" t="s">
        <v>433</v>
      </c>
      <c r="Q167" s="2"/>
      <c r="R167" s="2" t="s">
        <v>37</v>
      </c>
    </row>
    <row r="168" ht="16" customHeight="1" spans="1:18">
      <c r="A168" s="2" t="s">
        <v>435</v>
      </c>
      <c r="B168" s="2" t="s">
        <v>436</v>
      </c>
      <c r="C168" s="2"/>
      <c r="D168" s="2" t="s">
        <v>20</v>
      </c>
      <c r="E168" s="2" t="s">
        <v>21</v>
      </c>
      <c r="F168" s="2"/>
      <c r="G168" s="2" t="s">
        <v>22</v>
      </c>
      <c r="H168" s="2" t="s">
        <v>23</v>
      </c>
      <c r="I168" s="2" t="s">
        <v>24</v>
      </c>
      <c r="J168" s="2" t="s">
        <v>25</v>
      </c>
      <c r="K168" s="7">
        <v>14.05</v>
      </c>
      <c r="L168" s="2" t="s">
        <v>26</v>
      </c>
      <c r="M168" s="7">
        <v>14.05</v>
      </c>
      <c r="N168" s="2" t="s">
        <v>26</v>
      </c>
      <c r="O168" s="2"/>
      <c r="P168" s="2" t="s">
        <v>437</v>
      </c>
      <c r="Q168" s="2"/>
      <c r="R168" s="2"/>
    </row>
    <row r="169" ht="16" hidden="1" customHeight="1" spans="1:18">
      <c r="A169" s="2" t="s">
        <v>438</v>
      </c>
      <c r="B169" s="2" t="s">
        <v>439</v>
      </c>
      <c r="C169" s="2" t="s">
        <v>440</v>
      </c>
      <c r="D169" s="2" t="s">
        <v>441</v>
      </c>
      <c r="E169" s="2" t="s">
        <v>21</v>
      </c>
      <c r="F169" s="2"/>
      <c r="G169" s="2" t="s">
        <v>32</v>
      </c>
      <c r="H169" s="2" t="s">
        <v>33</v>
      </c>
      <c r="I169" s="2" t="s">
        <v>34</v>
      </c>
      <c r="J169" s="2" t="s">
        <v>25</v>
      </c>
      <c r="K169" s="7">
        <v>0.4</v>
      </c>
      <c r="L169" s="2" t="s">
        <v>26</v>
      </c>
      <c r="M169" s="7">
        <v>0.4</v>
      </c>
      <c r="N169" s="2" t="s">
        <v>26</v>
      </c>
      <c r="O169" s="2" t="s">
        <v>35</v>
      </c>
      <c r="P169" s="2" t="s">
        <v>442</v>
      </c>
      <c r="Q169" s="2"/>
      <c r="R169" s="2" t="s">
        <v>37</v>
      </c>
    </row>
    <row r="170" ht="16" hidden="1" customHeight="1" spans="1:18">
      <c r="A170" s="2" t="s">
        <v>443</v>
      </c>
      <c r="B170" s="2" t="s">
        <v>439</v>
      </c>
      <c r="C170" s="2" t="s">
        <v>440</v>
      </c>
      <c r="D170" s="2" t="s">
        <v>441</v>
      </c>
      <c r="E170" s="2" t="s">
        <v>21</v>
      </c>
      <c r="F170" s="2"/>
      <c r="G170" s="2" t="s">
        <v>32</v>
      </c>
      <c r="H170" s="2" t="s">
        <v>33</v>
      </c>
      <c r="I170" s="2" t="s">
        <v>39</v>
      </c>
      <c r="J170" s="2" t="s">
        <v>25</v>
      </c>
      <c r="K170" s="7">
        <v>2.49</v>
      </c>
      <c r="L170" s="2" t="s">
        <v>26</v>
      </c>
      <c r="M170" s="7">
        <v>2.49</v>
      </c>
      <c r="N170" s="2" t="s">
        <v>26</v>
      </c>
      <c r="O170" s="2" t="s">
        <v>35</v>
      </c>
      <c r="P170" s="2" t="s">
        <v>442</v>
      </c>
      <c r="Q170" s="2"/>
      <c r="R170" s="2" t="s">
        <v>37</v>
      </c>
    </row>
    <row r="171" ht="16" hidden="1" customHeight="1" spans="1:18">
      <c r="A171" s="2" t="s">
        <v>444</v>
      </c>
      <c r="B171" s="2" t="s">
        <v>445</v>
      </c>
      <c r="C171" s="2" t="s">
        <v>446</v>
      </c>
      <c r="D171" s="2" t="s">
        <v>447</v>
      </c>
      <c r="E171" s="2" t="s">
        <v>21</v>
      </c>
      <c r="F171" s="2"/>
      <c r="G171" s="2" t="s">
        <v>32</v>
      </c>
      <c r="H171" s="2" t="s">
        <v>33</v>
      </c>
      <c r="I171" s="2" t="s">
        <v>85</v>
      </c>
      <c r="J171" s="2" t="s">
        <v>25</v>
      </c>
      <c r="K171" s="7">
        <v>0.8</v>
      </c>
      <c r="L171" s="2" t="s">
        <v>26</v>
      </c>
      <c r="M171" s="7">
        <v>0.8</v>
      </c>
      <c r="N171" s="2" t="s">
        <v>26</v>
      </c>
      <c r="O171" s="2" t="s">
        <v>56</v>
      </c>
      <c r="P171" s="2" t="s">
        <v>448</v>
      </c>
      <c r="Q171" s="2"/>
      <c r="R171" s="2" t="s">
        <v>37</v>
      </c>
    </row>
    <row r="172" ht="16" hidden="1" customHeight="1" spans="1:18">
      <c r="A172" s="2" t="s">
        <v>449</v>
      </c>
      <c r="B172" s="2" t="s">
        <v>445</v>
      </c>
      <c r="C172" s="2" t="s">
        <v>446</v>
      </c>
      <c r="D172" s="2" t="s">
        <v>447</v>
      </c>
      <c r="E172" s="2" t="s">
        <v>21</v>
      </c>
      <c r="F172" s="2"/>
      <c r="G172" s="2" t="s">
        <v>32</v>
      </c>
      <c r="H172" s="2" t="s">
        <v>33</v>
      </c>
      <c r="I172" s="2" t="s">
        <v>47</v>
      </c>
      <c r="J172" s="2" t="s">
        <v>25</v>
      </c>
      <c r="K172" s="7">
        <v>0.07</v>
      </c>
      <c r="L172" s="2" t="s">
        <v>26</v>
      </c>
      <c r="M172" s="7">
        <v>0.07</v>
      </c>
      <c r="N172" s="2" t="s">
        <v>26</v>
      </c>
      <c r="O172" s="2" t="s">
        <v>56</v>
      </c>
      <c r="P172" s="2" t="s">
        <v>448</v>
      </c>
      <c r="Q172" s="2"/>
      <c r="R172" s="2" t="s">
        <v>37</v>
      </c>
    </row>
    <row r="173" ht="16" hidden="1" customHeight="1" spans="1:18">
      <c r="A173" s="2" t="s">
        <v>450</v>
      </c>
      <c r="B173" s="2" t="s">
        <v>445</v>
      </c>
      <c r="C173" s="2" t="s">
        <v>446</v>
      </c>
      <c r="D173" s="2" t="s">
        <v>447</v>
      </c>
      <c r="E173" s="2" t="s">
        <v>21</v>
      </c>
      <c r="F173" s="2"/>
      <c r="G173" s="2" t="s">
        <v>32</v>
      </c>
      <c r="H173" s="2" t="s">
        <v>33</v>
      </c>
      <c r="I173" s="2" t="s">
        <v>34</v>
      </c>
      <c r="J173" s="2" t="s">
        <v>25</v>
      </c>
      <c r="K173" s="7">
        <v>0.4</v>
      </c>
      <c r="L173" s="2" t="s">
        <v>26</v>
      </c>
      <c r="M173" s="7">
        <v>0.4</v>
      </c>
      <c r="N173" s="2" t="s">
        <v>26</v>
      </c>
      <c r="O173" s="2" t="s">
        <v>56</v>
      </c>
      <c r="P173" s="2" t="s">
        <v>448</v>
      </c>
      <c r="Q173" s="2"/>
      <c r="R173" s="2" t="s">
        <v>37</v>
      </c>
    </row>
    <row r="174" ht="16" hidden="1" customHeight="1" spans="1:18">
      <c r="A174" s="2" t="s">
        <v>451</v>
      </c>
      <c r="B174" s="2" t="s">
        <v>445</v>
      </c>
      <c r="C174" s="2" t="s">
        <v>446</v>
      </c>
      <c r="D174" s="2" t="s">
        <v>447</v>
      </c>
      <c r="E174" s="2" t="s">
        <v>21</v>
      </c>
      <c r="F174" s="2"/>
      <c r="G174" s="2" t="s">
        <v>32</v>
      </c>
      <c r="H174" s="2" t="s">
        <v>33</v>
      </c>
      <c r="I174" s="2" t="s">
        <v>39</v>
      </c>
      <c r="J174" s="2" t="s">
        <v>25</v>
      </c>
      <c r="K174" s="7">
        <v>2.49</v>
      </c>
      <c r="L174" s="2" t="s">
        <v>26</v>
      </c>
      <c r="M174" s="7">
        <v>2.49</v>
      </c>
      <c r="N174" s="2" t="s">
        <v>26</v>
      </c>
      <c r="O174" s="2" t="s">
        <v>56</v>
      </c>
      <c r="P174" s="2" t="s">
        <v>448</v>
      </c>
      <c r="Q174" s="2"/>
      <c r="R174" s="2" t="s">
        <v>37</v>
      </c>
    </row>
    <row r="175" ht="16" hidden="1" customHeight="1" spans="1:18">
      <c r="A175" s="2" t="s">
        <v>452</v>
      </c>
      <c r="B175" s="2" t="s">
        <v>453</v>
      </c>
      <c r="C175" s="2" t="s">
        <v>454</v>
      </c>
      <c r="D175" s="2" t="s">
        <v>455</v>
      </c>
      <c r="E175" s="2" t="s">
        <v>21</v>
      </c>
      <c r="F175" s="2"/>
      <c r="G175" s="2" t="s">
        <v>32</v>
      </c>
      <c r="H175" s="2" t="s">
        <v>33</v>
      </c>
      <c r="I175" s="2" t="s">
        <v>34</v>
      </c>
      <c r="J175" s="2" t="s">
        <v>25</v>
      </c>
      <c r="K175" s="7">
        <v>0.4</v>
      </c>
      <c r="L175" s="2" t="s">
        <v>26</v>
      </c>
      <c r="M175" s="7">
        <v>0.4</v>
      </c>
      <c r="N175" s="2" t="s">
        <v>26</v>
      </c>
      <c r="O175" s="2" t="s">
        <v>192</v>
      </c>
      <c r="P175" s="2" t="s">
        <v>456</v>
      </c>
      <c r="Q175" s="2"/>
      <c r="R175" s="2" t="s">
        <v>37</v>
      </c>
    </row>
    <row r="176" ht="16" hidden="1" customHeight="1" spans="1:18">
      <c r="A176" s="2" t="s">
        <v>457</v>
      </c>
      <c r="B176" s="2" t="s">
        <v>453</v>
      </c>
      <c r="C176" s="2" t="s">
        <v>454</v>
      </c>
      <c r="D176" s="2" t="s">
        <v>455</v>
      </c>
      <c r="E176" s="2" t="s">
        <v>21</v>
      </c>
      <c r="F176" s="2"/>
      <c r="G176" s="2" t="s">
        <v>32</v>
      </c>
      <c r="H176" s="2" t="s">
        <v>33</v>
      </c>
      <c r="I176" s="2" t="s">
        <v>39</v>
      </c>
      <c r="J176" s="2" t="s">
        <v>25</v>
      </c>
      <c r="K176" s="7">
        <v>2.49</v>
      </c>
      <c r="L176" s="2" t="s">
        <v>26</v>
      </c>
      <c r="M176" s="7">
        <v>2.49</v>
      </c>
      <c r="N176" s="2" t="s">
        <v>26</v>
      </c>
      <c r="O176" s="2" t="s">
        <v>192</v>
      </c>
      <c r="P176" s="2" t="s">
        <v>456</v>
      </c>
      <c r="Q176" s="2"/>
      <c r="R176" s="2" t="s">
        <v>37</v>
      </c>
    </row>
    <row r="177" ht="16" customHeight="1" spans="1:18">
      <c r="A177" s="2" t="s">
        <v>458</v>
      </c>
      <c r="B177" s="2" t="s">
        <v>459</v>
      </c>
      <c r="C177" s="2"/>
      <c r="D177" s="2" t="s">
        <v>20</v>
      </c>
      <c r="E177" s="2" t="s">
        <v>21</v>
      </c>
      <c r="F177" s="2"/>
      <c r="G177" s="2" t="s">
        <v>22</v>
      </c>
      <c r="H177" s="2" t="s">
        <v>23</v>
      </c>
      <c r="I177" s="2" t="s">
        <v>24</v>
      </c>
      <c r="J177" s="2" t="s">
        <v>25</v>
      </c>
      <c r="K177" s="7">
        <v>14.057</v>
      </c>
      <c r="L177" s="2" t="s">
        <v>26</v>
      </c>
      <c r="M177" s="7">
        <v>14.057</v>
      </c>
      <c r="N177" s="2" t="s">
        <v>26</v>
      </c>
      <c r="O177" s="2"/>
      <c r="P177" s="2" t="s">
        <v>460</v>
      </c>
      <c r="Q177" s="2"/>
      <c r="R177" s="2"/>
    </row>
    <row r="178" ht="16" hidden="1" customHeight="1" spans="1:18">
      <c r="A178" s="2" t="s">
        <v>461</v>
      </c>
      <c r="B178" s="2" t="s">
        <v>462</v>
      </c>
      <c r="C178" s="2" t="s">
        <v>463</v>
      </c>
      <c r="D178" s="2" t="s">
        <v>464</v>
      </c>
      <c r="E178" s="2" t="s">
        <v>21</v>
      </c>
      <c r="F178" s="2"/>
      <c r="G178" s="2" t="s">
        <v>32</v>
      </c>
      <c r="H178" s="2" t="s">
        <v>33</v>
      </c>
      <c r="I178" s="2" t="s">
        <v>85</v>
      </c>
      <c r="J178" s="2" t="s">
        <v>25</v>
      </c>
      <c r="K178" s="7">
        <v>1.5</v>
      </c>
      <c r="L178" s="2" t="s">
        <v>26</v>
      </c>
      <c r="M178" s="7">
        <v>1.5</v>
      </c>
      <c r="N178" s="2" t="s">
        <v>26</v>
      </c>
      <c r="O178" s="2" t="s">
        <v>117</v>
      </c>
      <c r="P178" s="2" t="s">
        <v>465</v>
      </c>
      <c r="Q178" s="2"/>
      <c r="R178" s="2" t="s">
        <v>37</v>
      </c>
    </row>
    <row r="179" ht="16" hidden="1" customHeight="1" spans="1:18">
      <c r="A179" s="2" t="s">
        <v>466</v>
      </c>
      <c r="B179" s="2" t="s">
        <v>462</v>
      </c>
      <c r="C179" s="2" t="s">
        <v>463</v>
      </c>
      <c r="D179" s="2" t="s">
        <v>464</v>
      </c>
      <c r="E179" s="2" t="s">
        <v>21</v>
      </c>
      <c r="F179" s="2"/>
      <c r="G179" s="2" t="s">
        <v>32</v>
      </c>
      <c r="H179" s="2" t="s">
        <v>33</v>
      </c>
      <c r="I179" s="2" t="s">
        <v>89</v>
      </c>
      <c r="J179" s="2" t="s">
        <v>25</v>
      </c>
      <c r="K179" s="7">
        <v>0.3</v>
      </c>
      <c r="L179" s="2" t="s">
        <v>26</v>
      </c>
      <c r="M179" s="7">
        <v>0.3</v>
      </c>
      <c r="N179" s="2" t="s">
        <v>26</v>
      </c>
      <c r="O179" s="2" t="s">
        <v>117</v>
      </c>
      <c r="P179" s="2" t="s">
        <v>465</v>
      </c>
      <c r="Q179" s="2"/>
      <c r="R179" s="2" t="s">
        <v>37</v>
      </c>
    </row>
    <row r="180" ht="16" hidden="1" customHeight="1" spans="1:18">
      <c r="A180" s="2" t="s">
        <v>467</v>
      </c>
      <c r="B180" s="2" t="s">
        <v>462</v>
      </c>
      <c r="C180" s="2" t="s">
        <v>463</v>
      </c>
      <c r="D180" s="2" t="s">
        <v>464</v>
      </c>
      <c r="E180" s="2" t="s">
        <v>21</v>
      </c>
      <c r="F180" s="2"/>
      <c r="G180" s="2" t="s">
        <v>32</v>
      </c>
      <c r="H180" s="2" t="s">
        <v>33</v>
      </c>
      <c r="I180" s="2" t="s">
        <v>47</v>
      </c>
      <c r="J180" s="2" t="s">
        <v>25</v>
      </c>
      <c r="K180" s="7">
        <v>0.07</v>
      </c>
      <c r="L180" s="2" t="s">
        <v>26</v>
      </c>
      <c r="M180" s="7">
        <v>0.07</v>
      </c>
      <c r="N180" s="2" t="s">
        <v>26</v>
      </c>
      <c r="O180" s="2" t="s">
        <v>117</v>
      </c>
      <c r="P180" s="2" t="s">
        <v>465</v>
      </c>
      <c r="Q180" s="2"/>
      <c r="R180" s="2" t="s">
        <v>37</v>
      </c>
    </row>
    <row r="181" ht="16" hidden="1" customHeight="1" spans="1:18">
      <c r="A181" s="2" t="s">
        <v>468</v>
      </c>
      <c r="B181" s="2" t="s">
        <v>462</v>
      </c>
      <c r="C181" s="2" t="s">
        <v>463</v>
      </c>
      <c r="D181" s="2" t="s">
        <v>464</v>
      </c>
      <c r="E181" s="2" t="s">
        <v>21</v>
      </c>
      <c r="F181" s="2"/>
      <c r="G181" s="2" t="s">
        <v>32</v>
      </c>
      <c r="H181" s="2" t="s">
        <v>33</v>
      </c>
      <c r="I181" s="2" t="s">
        <v>34</v>
      </c>
      <c r="J181" s="2" t="s">
        <v>25</v>
      </c>
      <c r="K181" s="7">
        <v>0.4</v>
      </c>
      <c r="L181" s="2" t="s">
        <v>26</v>
      </c>
      <c r="M181" s="7">
        <v>0.4</v>
      </c>
      <c r="N181" s="2" t="s">
        <v>26</v>
      </c>
      <c r="O181" s="2" t="s">
        <v>117</v>
      </c>
      <c r="P181" s="2" t="s">
        <v>465</v>
      </c>
      <c r="Q181" s="2"/>
      <c r="R181" s="2" t="s">
        <v>37</v>
      </c>
    </row>
    <row r="182" ht="16" hidden="1" customHeight="1" spans="1:18">
      <c r="A182" s="2" t="s">
        <v>469</v>
      </c>
      <c r="B182" s="2" t="s">
        <v>462</v>
      </c>
      <c r="C182" s="2" t="s">
        <v>463</v>
      </c>
      <c r="D182" s="2" t="s">
        <v>464</v>
      </c>
      <c r="E182" s="2" t="s">
        <v>21</v>
      </c>
      <c r="F182" s="2"/>
      <c r="G182" s="2" t="s">
        <v>32</v>
      </c>
      <c r="H182" s="2" t="s">
        <v>33</v>
      </c>
      <c r="I182" s="2" t="s">
        <v>39</v>
      </c>
      <c r="J182" s="2" t="s">
        <v>25</v>
      </c>
      <c r="K182" s="7">
        <v>2.49</v>
      </c>
      <c r="L182" s="2" t="s">
        <v>26</v>
      </c>
      <c r="M182" s="7">
        <v>2.49</v>
      </c>
      <c r="N182" s="2" t="s">
        <v>26</v>
      </c>
      <c r="O182" s="2" t="s">
        <v>117</v>
      </c>
      <c r="P182" s="2" t="s">
        <v>465</v>
      </c>
      <c r="Q182" s="2"/>
      <c r="R182" s="2" t="s">
        <v>37</v>
      </c>
    </row>
    <row r="183" ht="16" hidden="1" customHeight="1" spans="1:18">
      <c r="A183" s="2" t="s">
        <v>470</v>
      </c>
      <c r="B183" s="2" t="s">
        <v>471</v>
      </c>
      <c r="C183" s="2" t="s">
        <v>472</v>
      </c>
      <c r="D183" s="2" t="s">
        <v>473</v>
      </c>
      <c r="E183" s="2" t="s">
        <v>21</v>
      </c>
      <c r="F183" s="2"/>
      <c r="G183" s="2" t="s">
        <v>32</v>
      </c>
      <c r="H183" s="2" t="s">
        <v>33</v>
      </c>
      <c r="I183" s="2" t="s">
        <v>34</v>
      </c>
      <c r="J183" s="2" t="s">
        <v>25</v>
      </c>
      <c r="K183" s="7">
        <v>0.4</v>
      </c>
      <c r="L183" s="2" t="s">
        <v>26</v>
      </c>
      <c r="M183" s="7">
        <v>0.4</v>
      </c>
      <c r="N183" s="2" t="s">
        <v>26</v>
      </c>
      <c r="O183" s="2" t="s">
        <v>35</v>
      </c>
      <c r="P183" s="2" t="s">
        <v>474</v>
      </c>
      <c r="Q183" s="2"/>
      <c r="R183" s="2" t="s">
        <v>37</v>
      </c>
    </row>
    <row r="184" ht="16" hidden="1" customHeight="1" spans="1:18">
      <c r="A184" s="2" t="s">
        <v>475</v>
      </c>
      <c r="B184" s="2" t="s">
        <v>471</v>
      </c>
      <c r="C184" s="2" t="s">
        <v>472</v>
      </c>
      <c r="D184" s="2" t="s">
        <v>473</v>
      </c>
      <c r="E184" s="2" t="s">
        <v>21</v>
      </c>
      <c r="F184" s="2"/>
      <c r="G184" s="2" t="s">
        <v>32</v>
      </c>
      <c r="H184" s="2" t="s">
        <v>33</v>
      </c>
      <c r="I184" s="2" t="s">
        <v>39</v>
      </c>
      <c r="J184" s="2" t="s">
        <v>25</v>
      </c>
      <c r="K184" s="7">
        <v>2.49</v>
      </c>
      <c r="L184" s="2" t="s">
        <v>26</v>
      </c>
      <c r="M184" s="7">
        <v>2.49</v>
      </c>
      <c r="N184" s="2" t="s">
        <v>26</v>
      </c>
      <c r="O184" s="2" t="s">
        <v>35</v>
      </c>
      <c r="P184" s="2" t="s">
        <v>474</v>
      </c>
      <c r="Q184" s="2"/>
      <c r="R184" s="2" t="s">
        <v>37</v>
      </c>
    </row>
    <row r="185" ht="16" hidden="1" customHeight="1" spans="1:18">
      <c r="A185" s="2" t="s">
        <v>476</v>
      </c>
      <c r="B185" s="2" t="s">
        <v>477</v>
      </c>
      <c r="C185" s="2" t="s">
        <v>478</v>
      </c>
      <c r="D185" s="2" t="s">
        <v>479</v>
      </c>
      <c r="E185" s="2" t="s">
        <v>21</v>
      </c>
      <c r="F185" s="2"/>
      <c r="G185" s="2" t="s">
        <v>32</v>
      </c>
      <c r="H185" s="2" t="s">
        <v>33</v>
      </c>
      <c r="I185" s="2" t="s">
        <v>34</v>
      </c>
      <c r="J185" s="2" t="s">
        <v>25</v>
      </c>
      <c r="K185" s="7">
        <v>0.4</v>
      </c>
      <c r="L185" s="2" t="s">
        <v>26</v>
      </c>
      <c r="M185" s="7">
        <v>0.4</v>
      </c>
      <c r="N185" s="2" t="s">
        <v>26</v>
      </c>
      <c r="O185" s="2" t="s">
        <v>35</v>
      </c>
      <c r="P185" s="2" t="s">
        <v>480</v>
      </c>
      <c r="Q185" s="2"/>
      <c r="R185" s="2" t="s">
        <v>37</v>
      </c>
    </row>
    <row r="186" ht="16" hidden="1" customHeight="1" spans="1:18">
      <c r="A186" s="2" t="s">
        <v>481</v>
      </c>
      <c r="B186" s="2" t="s">
        <v>477</v>
      </c>
      <c r="C186" s="2" t="s">
        <v>478</v>
      </c>
      <c r="D186" s="2" t="s">
        <v>479</v>
      </c>
      <c r="E186" s="2" t="s">
        <v>21</v>
      </c>
      <c r="F186" s="2"/>
      <c r="G186" s="2" t="s">
        <v>32</v>
      </c>
      <c r="H186" s="2" t="s">
        <v>33</v>
      </c>
      <c r="I186" s="2" t="s">
        <v>39</v>
      </c>
      <c r="J186" s="2" t="s">
        <v>25</v>
      </c>
      <c r="K186" s="7">
        <v>2.49</v>
      </c>
      <c r="L186" s="2" t="s">
        <v>26</v>
      </c>
      <c r="M186" s="7">
        <v>2.49</v>
      </c>
      <c r="N186" s="2" t="s">
        <v>26</v>
      </c>
      <c r="O186" s="2" t="s">
        <v>35</v>
      </c>
      <c r="P186" s="2" t="s">
        <v>480</v>
      </c>
      <c r="Q186" s="2"/>
      <c r="R186" s="2" t="s">
        <v>37</v>
      </c>
    </row>
    <row r="187" ht="16" hidden="1" customHeight="1" spans="1:18">
      <c r="A187" s="2" t="s">
        <v>482</v>
      </c>
      <c r="B187" s="2" t="s">
        <v>483</v>
      </c>
      <c r="C187" s="2" t="s">
        <v>484</v>
      </c>
      <c r="D187" s="2" t="s">
        <v>485</v>
      </c>
      <c r="E187" s="2" t="s">
        <v>21</v>
      </c>
      <c r="F187" s="2"/>
      <c r="G187" s="2" t="s">
        <v>32</v>
      </c>
      <c r="H187" s="2" t="s">
        <v>33</v>
      </c>
      <c r="I187" s="2" t="s">
        <v>34</v>
      </c>
      <c r="J187" s="2" t="s">
        <v>25</v>
      </c>
      <c r="K187" s="7">
        <v>0.4</v>
      </c>
      <c r="L187" s="2" t="s">
        <v>26</v>
      </c>
      <c r="M187" s="7">
        <v>0.4</v>
      </c>
      <c r="N187" s="2" t="s">
        <v>26</v>
      </c>
      <c r="O187" s="2" t="s">
        <v>35</v>
      </c>
      <c r="P187" s="2" t="s">
        <v>486</v>
      </c>
      <c r="Q187" s="2"/>
      <c r="R187" s="2" t="s">
        <v>37</v>
      </c>
    </row>
    <row r="188" ht="16" hidden="1" customHeight="1" spans="1:18">
      <c r="A188" s="2" t="s">
        <v>487</v>
      </c>
      <c r="B188" s="2" t="s">
        <v>483</v>
      </c>
      <c r="C188" s="2" t="s">
        <v>484</v>
      </c>
      <c r="D188" s="2" t="s">
        <v>485</v>
      </c>
      <c r="E188" s="2" t="s">
        <v>21</v>
      </c>
      <c r="F188" s="2"/>
      <c r="G188" s="2" t="s">
        <v>32</v>
      </c>
      <c r="H188" s="2" t="s">
        <v>33</v>
      </c>
      <c r="I188" s="2" t="s">
        <v>39</v>
      </c>
      <c r="J188" s="2" t="s">
        <v>25</v>
      </c>
      <c r="K188" s="7">
        <v>2.49</v>
      </c>
      <c r="L188" s="2" t="s">
        <v>26</v>
      </c>
      <c r="M188" s="7">
        <v>2.49</v>
      </c>
      <c r="N188" s="2" t="s">
        <v>26</v>
      </c>
      <c r="O188" s="2" t="s">
        <v>35</v>
      </c>
      <c r="P188" s="2" t="s">
        <v>486</v>
      </c>
      <c r="Q188" s="2"/>
      <c r="R188" s="2" t="s">
        <v>37</v>
      </c>
    </row>
    <row r="189" ht="16" hidden="1" customHeight="1" spans="1:18">
      <c r="A189" s="2" t="s">
        <v>488</v>
      </c>
      <c r="B189" s="2" t="s">
        <v>489</v>
      </c>
      <c r="C189" s="2" t="s">
        <v>490</v>
      </c>
      <c r="D189" s="2" t="s">
        <v>491</v>
      </c>
      <c r="E189" s="2" t="s">
        <v>21</v>
      </c>
      <c r="F189" s="2"/>
      <c r="G189" s="2" t="s">
        <v>32</v>
      </c>
      <c r="H189" s="2" t="s">
        <v>33</v>
      </c>
      <c r="I189" s="2" t="s">
        <v>34</v>
      </c>
      <c r="J189" s="2" t="s">
        <v>25</v>
      </c>
      <c r="K189" s="7">
        <v>0.4</v>
      </c>
      <c r="L189" s="2" t="s">
        <v>26</v>
      </c>
      <c r="M189" s="7">
        <v>0.4</v>
      </c>
      <c r="N189" s="2" t="s">
        <v>26</v>
      </c>
      <c r="O189" s="2" t="s">
        <v>35</v>
      </c>
      <c r="P189" s="2" t="s">
        <v>492</v>
      </c>
      <c r="Q189" s="2"/>
      <c r="R189" s="2" t="s">
        <v>37</v>
      </c>
    </row>
    <row r="190" ht="16" hidden="1" customHeight="1" spans="1:18">
      <c r="A190" s="2" t="s">
        <v>493</v>
      </c>
      <c r="B190" s="2" t="s">
        <v>489</v>
      </c>
      <c r="C190" s="2" t="s">
        <v>490</v>
      </c>
      <c r="D190" s="2" t="s">
        <v>491</v>
      </c>
      <c r="E190" s="2" t="s">
        <v>21</v>
      </c>
      <c r="F190" s="2"/>
      <c r="G190" s="2" t="s">
        <v>32</v>
      </c>
      <c r="H190" s="2" t="s">
        <v>33</v>
      </c>
      <c r="I190" s="2" t="s">
        <v>39</v>
      </c>
      <c r="J190" s="2" t="s">
        <v>25</v>
      </c>
      <c r="K190" s="7">
        <v>2.49</v>
      </c>
      <c r="L190" s="2" t="s">
        <v>26</v>
      </c>
      <c r="M190" s="7">
        <v>2.49</v>
      </c>
      <c r="N190" s="2" t="s">
        <v>26</v>
      </c>
      <c r="O190" s="2" t="s">
        <v>35</v>
      </c>
      <c r="P190" s="2" t="s">
        <v>492</v>
      </c>
      <c r="Q190" s="2"/>
      <c r="R190" s="2" t="s">
        <v>37</v>
      </c>
    </row>
    <row r="191" ht="16" hidden="1" customHeight="1" spans="1:18">
      <c r="A191" s="2" t="s">
        <v>494</v>
      </c>
      <c r="B191" s="2" t="s">
        <v>495</v>
      </c>
      <c r="C191" s="2" t="s">
        <v>496</v>
      </c>
      <c r="D191" s="2" t="s">
        <v>497</v>
      </c>
      <c r="E191" s="2" t="s">
        <v>21</v>
      </c>
      <c r="F191" s="2"/>
      <c r="G191" s="2" t="s">
        <v>32</v>
      </c>
      <c r="H191" s="2" t="s">
        <v>33</v>
      </c>
      <c r="I191" s="2" t="s">
        <v>47</v>
      </c>
      <c r="J191" s="2" t="s">
        <v>25</v>
      </c>
      <c r="K191" s="7">
        <v>0.07</v>
      </c>
      <c r="L191" s="2" t="s">
        <v>26</v>
      </c>
      <c r="M191" s="7">
        <v>0.07</v>
      </c>
      <c r="N191" s="2" t="s">
        <v>26</v>
      </c>
      <c r="O191" s="2" t="s">
        <v>48</v>
      </c>
      <c r="P191" s="2" t="s">
        <v>498</v>
      </c>
      <c r="Q191" s="2"/>
      <c r="R191" s="2" t="s">
        <v>37</v>
      </c>
    </row>
    <row r="192" ht="16" hidden="1" customHeight="1" spans="1:18">
      <c r="A192" s="2" t="s">
        <v>499</v>
      </c>
      <c r="B192" s="2" t="s">
        <v>495</v>
      </c>
      <c r="C192" s="2" t="s">
        <v>496</v>
      </c>
      <c r="D192" s="2" t="s">
        <v>497</v>
      </c>
      <c r="E192" s="2" t="s">
        <v>21</v>
      </c>
      <c r="F192" s="2"/>
      <c r="G192" s="2" t="s">
        <v>32</v>
      </c>
      <c r="H192" s="2" t="s">
        <v>33</v>
      </c>
      <c r="I192" s="2" t="s">
        <v>34</v>
      </c>
      <c r="J192" s="2" t="s">
        <v>25</v>
      </c>
      <c r="K192" s="7">
        <v>0.4</v>
      </c>
      <c r="L192" s="2" t="s">
        <v>26</v>
      </c>
      <c r="M192" s="7">
        <v>0.4</v>
      </c>
      <c r="N192" s="2" t="s">
        <v>26</v>
      </c>
      <c r="O192" s="2" t="s">
        <v>48</v>
      </c>
      <c r="P192" s="2" t="s">
        <v>498</v>
      </c>
      <c r="Q192" s="2"/>
      <c r="R192" s="2" t="s">
        <v>37</v>
      </c>
    </row>
    <row r="193" ht="16" hidden="1" customHeight="1" spans="1:18">
      <c r="A193" s="2" t="s">
        <v>500</v>
      </c>
      <c r="B193" s="2" t="s">
        <v>495</v>
      </c>
      <c r="C193" s="2" t="s">
        <v>496</v>
      </c>
      <c r="D193" s="2" t="s">
        <v>497</v>
      </c>
      <c r="E193" s="2" t="s">
        <v>21</v>
      </c>
      <c r="F193" s="2"/>
      <c r="G193" s="2" t="s">
        <v>32</v>
      </c>
      <c r="H193" s="2" t="s">
        <v>33</v>
      </c>
      <c r="I193" s="2" t="s">
        <v>39</v>
      </c>
      <c r="J193" s="2" t="s">
        <v>25</v>
      </c>
      <c r="K193" s="7">
        <v>2.49</v>
      </c>
      <c r="L193" s="2" t="s">
        <v>26</v>
      </c>
      <c r="M193" s="7">
        <v>2.49</v>
      </c>
      <c r="N193" s="2" t="s">
        <v>26</v>
      </c>
      <c r="O193" s="2" t="s">
        <v>48</v>
      </c>
      <c r="P193" s="2" t="s">
        <v>498</v>
      </c>
      <c r="Q193" s="2"/>
      <c r="R193" s="2" t="s">
        <v>37</v>
      </c>
    </row>
    <row r="194" ht="16" hidden="1" customHeight="1" spans="1:18">
      <c r="A194" s="2" t="s">
        <v>501</v>
      </c>
      <c r="B194" s="2" t="s">
        <v>502</v>
      </c>
      <c r="C194" s="2" t="s">
        <v>503</v>
      </c>
      <c r="D194" s="2" t="s">
        <v>504</v>
      </c>
      <c r="E194" s="2" t="s">
        <v>21</v>
      </c>
      <c r="F194" s="2"/>
      <c r="G194" s="2" t="s">
        <v>32</v>
      </c>
      <c r="H194" s="2" t="s">
        <v>33</v>
      </c>
      <c r="I194" s="2" t="s">
        <v>47</v>
      </c>
      <c r="J194" s="2" t="s">
        <v>25</v>
      </c>
      <c r="K194" s="7">
        <v>0.07</v>
      </c>
      <c r="L194" s="2" t="s">
        <v>26</v>
      </c>
      <c r="M194" s="7">
        <v>0.07</v>
      </c>
      <c r="N194" s="2" t="s">
        <v>26</v>
      </c>
      <c r="O194" s="2" t="s">
        <v>100</v>
      </c>
      <c r="P194" s="2" t="s">
        <v>505</v>
      </c>
      <c r="Q194" s="2"/>
      <c r="R194" s="2" t="s">
        <v>37</v>
      </c>
    </row>
    <row r="195" ht="16" hidden="1" customHeight="1" spans="1:18">
      <c r="A195" s="2" t="s">
        <v>506</v>
      </c>
      <c r="B195" s="2" t="s">
        <v>502</v>
      </c>
      <c r="C195" s="2" t="s">
        <v>503</v>
      </c>
      <c r="D195" s="2" t="s">
        <v>504</v>
      </c>
      <c r="E195" s="2" t="s">
        <v>21</v>
      </c>
      <c r="F195" s="2"/>
      <c r="G195" s="2" t="s">
        <v>32</v>
      </c>
      <c r="H195" s="2" t="s">
        <v>33</v>
      </c>
      <c r="I195" s="2" t="s">
        <v>34</v>
      </c>
      <c r="J195" s="2" t="s">
        <v>25</v>
      </c>
      <c r="K195" s="7">
        <v>0.4</v>
      </c>
      <c r="L195" s="2" t="s">
        <v>26</v>
      </c>
      <c r="M195" s="7">
        <v>0.4</v>
      </c>
      <c r="N195" s="2" t="s">
        <v>26</v>
      </c>
      <c r="O195" s="2" t="s">
        <v>100</v>
      </c>
      <c r="P195" s="2" t="s">
        <v>505</v>
      </c>
      <c r="Q195" s="2"/>
      <c r="R195" s="2" t="s">
        <v>37</v>
      </c>
    </row>
    <row r="196" ht="16" hidden="1" customHeight="1" spans="1:18">
      <c r="A196" s="2" t="s">
        <v>507</v>
      </c>
      <c r="B196" s="2" t="s">
        <v>502</v>
      </c>
      <c r="C196" s="2" t="s">
        <v>503</v>
      </c>
      <c r="D196" s="2" t="s">
        <v>504</v>
      </c>
      <c r="E196" s="2" t="s">
        <v>21</v>
      </c>
      <c r="F196" s="2"/>
      <c r="G196" s="2" t="s">
        <v>32</v>
      </c>
      <c r="H196" s="2" t="s">
        <v>33</v>
      </c>
      <c r="I196" s="2" t="s">
        <v>39</v>
      </c>
      <c r="J196" s="2" t="s">
        <v>25</v>
      </c>
      <c r="K196" s="7">
        <v>2.49</v>
      </c>
      <c r="L196" s="2" t="s">
        <v>26</v>
      </c>
      <c r="M196" s="7">
        <v>2.49</v>
      </c>
      <c r="N196" s="2" t="s">
        <v>26</v>
      </c>
      <c r="O196" s="2" t="s">
        <v>100</v>
      </c>
      <c r="P196" s="2" t="s">
        <v>505</v>
      </c>
      <c r="Q196" s="2"/>
      <c r="R196" s="2" t="s">
        <v>37</v>
      </c>
    </row>
    <row r="197" ht="16" hidden="1" customHeight="1" spans="1:18">
      <c r="A197" s="2" t="s">
        <v>508</v>
      </c>
      <c r="B197" s="2" t="s">
        <v>509</v>
      </c>
      <c r="C197" s="2" t="s">
        <v>510</v>
      </c>
      <c r="D197" s="2" t="s">
        <v>511</v>
      </c>
      <c r="E197" s="2" t="s">
        <v>21</v>
      </c>
      <c r="F197" s="2"/>
      <c r="G197" s="2" t="s">
        <v>32</v>
      </c>
      <c r="H197" s="2" t="s">
        <v>33</v>
      </c>
      <c r="I197" s="2" t="s">
        <v>85</v>
      </c>
      <c r="J197" s="2" t="s">
        <v>25</v>
      </c>
      <c r="K197" s="7">
        <v>1.5</v>
      </c>
      <c r="L197" s="2" t="s">
        <v>26</v>
      </c>
      <c r="M197" s="7">
        <v>1.5</v>
      </c>
      <c r="N197" s="2" t="s">
        <v>26</v>
      </c>
      <c r="O197" s="2" t="s">
        <v>56</v>
      </c>
      <c r="P197" s="2" t="s">
        <v>512</v>
      </c>
      <c r="Q197" s="2"/>
      <c r="R197" s="2" t="s">
        <v>37</v>
      </c>
    </row>
    <row r="198" ht="16" hidden="1" customHeight="1" spans="1:18">
      <c r="A198" s="2" t="s">
        <v>513</v>
      </c>
      <c r="B198" s="2" t="s">
        <v>509</v>
      </c>
      <c r="C198" s="2" t="s">
        <v>510</v>
      </c>
      <c r="D198" s="2" t="s">
        <v>511</v>
      </c>
      <c r="E198" s="2" t="s">
        <v>21</v>
      </c>
      <c r="F198" s="2"/>
      <c r="G198" s="2" t="s">
        <v>32</v>
      </c>
      <c r="H198" s="2" t="s">
        <v>33</v>
      </c>
      <c r="I198" s="2" t="s">
        <v>47</v>
      </c>
      <c r="J198" s="2" t="s">
        <v>25</v>
      </c>
      <c r="K198" s="7">
        <v>0.07</v>
      </c>
      <c r="L198" s="2" t="s">
        <v>26</v>
      </c>
      <c r="M198" s="7">
        <v>0.07</v>
      </c>
      <c r="N198" s="2" t="s">
        <v>26</v>
      </c>
      <c r="O198" s="2" t="s">
        <v>56</v>
      </c>
      <c r="P198" s="2" t="s">
        <v>512</v>
      </c>
      <c r="Q198" s="2"/>
      <c r="R198" s="2" t="s">
        <v>37</v>
      </c>
    </row>
    <row r="199" ht="16" hidden="1" customHeight="1" spans="1:18">
      <c r="A199" s="2" t="s">
        <v>514</v>
      </c>
      <c r="B199" s="2" t="s">
        <v>509</v>
      </c>
      <c r="C199" s="2" t="s">
        <v>510</v>
      </c>
      <c r="D199" s="2" t="s">
        <v>511</v>
      </c>
      <c r="E199" s="2" t="s">
        <v>21</v>
      </c>
      <c r="F199" s="2"/>
      <c r="G199" s="2" t="s">
        <v>32</v>
      </c>
      <c r="H199" s="2" t="s">
        <v>33</v>
      </c>
      <c r="I199" s="2" t="s">
        <v>34</v>
      </c>
      <c r="J199" s="2" t="s">
        <v>25</v>
      </c>
      <c r="K199" s="7">
        <v>0.4</v>
      </c>
      <c r="L199" s="2" t="s">
        <v>26</v>
      </c>
      <c r="M199" s="7">
        <v>0.4</v>
      </c>
      <c r="N199" s="2" t="s">
        <v>26</v>
      </c>
      <c r="O199" s="2" t="s">
        <v>56</v>
      </c>
      <c r="P199" s="2" t="s">
        <v>512</v>
      </c>
      <c r="Q199" s="2"/>
      <c r="R199" s="2" t="s">
        <v>37</v>
      </c>
    </row>
    <row r="200" ht="16" hidden="1" customHeight="1" spans="1:18">
      <c r="A200" s="2" t="s">
        <v>515</v>
      </c>
      <c r="B200" s="2" t="s">
        <v>509</v>
      </c>
      <c r="C200" s="2" t="s">
        <v>510</v>
      </c>
      <c r="D200" s="2" t="s">
        <v>511</v>
      </c>
      <c r="E200" s="2" t="s">
        <v>21</v>
      </c>
      <c r="F200" s="2"/>
      <c r="G200" s="2" t="s">
        <v>32</v>
      </c>
      <c r="H200" s="2" t="s">
        <v>33</v>
      </c>
      <c r="I200" s="2" t="s">
        <v>39</v>
      </c>
      <c r="J200" s="2" t="s">
        <v>25</v>
      </c>
      <c r="K200" s="7">
        <v>2.49</v>
      </c>
      <c r="L200" s="2" t="s">
        <v>26</v>
      </c>
      <c r="M200" s="7">
        <v>2.49</v>
      </c>
      <c r="N200" s="2" t="s">
        <v>26</v>
      </c>
      <c r="O200" s="2" t="s">
        <v>56</v>
      </c>
      <c r="P200" s="2" t="s">
        <v>512</v>
      </c>
      <c r="Q200" s="2"/>
      <c r="R200" s="2" t="s">
        <v>37</v>
      </c>
    </row>
    <row r="201" ht="16" hidden="1" customHeight="1" spans="1:18">
      <c r="A201" s="2" t="s">
        <v>516</v>
      </c>
      <c r="B201" s="2" t="s">
        <v>517</v>
      </c>
      <c r="C201" s="2" t="s">
        <v>518</v>
      </c>
      <c r="D201" s="2" t="s">
        <v>519</v>
      </c>
      <c r="E201" s="2" t="s">
        <v>21</v>
      </c>
      <c r="F201" s="2"/>
      <c r="G201" s="2" t="s">
        <v>32</v>
      </c>
      <c r="H201" s="2" t="s">
        <v>33</v>
      </c>
      <c r="I201" s="2" t="s">
        <v>85</v>
      </c>
      <c r="J201" s="2" t="s">
        <v>25</v>
      </c>
      <c r="K201" s="7">
        <v>1.5</v>
      </c>
      <c r="L201" s="2" t="s">
        <v>26</v>
      </c>
      <c r="M201" s="7">
        <v>1.5</v>
      </c>
      <c r="N201" s="2" t="s">
        <v>26</v>
      </c>
      <c r="O201" s="2" t="s">
        <v>56</v>
      </c>
      <c r="P201" s="2" t="s">
        <v>520</v>
      </c>
      <c r="Q201" s="2"/>
      <c r="R201" s="2" t="s">
        <v>37</v>
      </c>
    </row>
    <row r="202" ht="16" hidden="1" customHeight="1" spans="1:18">
      <c r="A202" s="2" t="s">
        <v>521</v>
      </c>
      <c r="B202" s="2" t="s">
        <v>517</v>
      </c>
      <c r="C202" s="2" t="s">
        <v>518</v>
      </c>
      <c r="D202" s="2" t="s">
        <v>519</v>
      </c>
      <c r="E202" s="2" t="s">
        <v>21</v>
      </c>
      <c r="F202" s="2"/>
      <c r="G202" s="2" t="s">
        <v>32</v>
      </c>
      <c r="H202" s="2" t="s">
        <v>33</v>
      </c>
      <c r="I202" s="2" t="s">
        <v>47</v>
      </c>
      <c r="J202" s="2" t="s">
        <v>25</v>
      </c>
      <c r="K202" s="7">
        <v>0.07</v>
      </c>
      <c r="L202" s="2" t="s">
        <v>26</v>
      </c>
      <c r="M202" s="7">
        <v>0.07</v>
      </c>
      <c r="N202" s="2" t="s">
        <v>26</v>
      </c>
      <c r="O202" s="2" t="s">
        <v>56</v>
      </c>
      <c r="P202" s="2" t="s">
        <v>520</v>
      </c>
      <c r="Q202" s="2"/>
      <c r="R202" s="2" t="s">
        <v>37</v>
      </c>
    </row>
    <row r="203" ht="16" hidden="1" customHeight="1" spans="1:18">
      <c r="A203" s="2" t="s">
        <v>522</v>
      </c>
      <c r="B203" s="2" t="s">
        <v>517</v>
      </c>
      <c r="C203" s="2" t="s">
        <v>518</v>
      </c>
      <c r="D203" s="2" t="s">
        <v>519</v>
      </c>
      <c r="E203" s="2" t="s">
        <v>21</v>
      </c>
      <c r="F203" s="2"/>
      <c r="G203" s="2" t="s">
        <v>32</v>
      </c>
      <c r="H203" s="2" t="s">
        <v>33</v>
      </c>
      <c r="I203" s="2" t="s">
        <v>34</v>
      </c>
      <c r="J203" s="2" t="s">
        <v>25</v>
      </c>
      <c r="K203" s="7">
        <v>0.4</v>
      </c>
      <c r="L203" s="2" t="s">
        <v>26</v>
      </c>
      <c r="M203" s="7">
        <v>0.4</v>
      </c>
      <c r="N203" s="2" t="s">
        <v>26</v>
      </c>
      <c r="O203" s="2" t="s">
        <v>56</v>
      </c>
      <c r="P203" s="2" t="s">
        <v>520</v>
      </c>
      <c r="Q203" s="2"/>
      <c r="R203" s="2" t="s">
        <v>37</v>
      </c>
    </row>
    <row r="204" ht="16" hidden="1" customHeight="1" spans="1:18">
      <c r="A204" s="2" t="s">
        <v>523</v>
      </c>
      <c r="B204" s="2" t="s">
        <v>517</v>
      </c>
      <c r="C204" s="2" t="s">
        <v>518</v>
      </c>
      <c r="D204" s="2" t="s">
        <v>519</v>
      </c>
      <c r="E204" s="2" t="s">
        <v>21</v>
      </c>
      <c r="F204" s="2"/>
      <c r="G204" s="2" t="s">
        <v>32</v>
      </c>
      <c r="H204" s="2" t="s">
        <v>33</v>
      </c>
      <c r="I204" s="2" t="s">
        <v>39</v>
      </c>
      <c r="J204" s="2" t="s">
        <v>25</v>
      </c>
      <c r="K204" s="7">
        <v>2.49</v>
      </c>
      <c r="L204" s="2" t="s">
        <v>26</v>
      </c>
      <c r="M204" s="7">
        <v>2.49</v>
      </c>
      <c r="N204" s="2" t="s">
        <v>26</v>
      </c>
      <c r="O204" s="2" t="s">
        <v>56</v>
      </c>
      <c r="P204" s="2" t="s">
        <v>520</v>
      </c>
      <c r="Q204" s="2"/>
      <c r="R204" s="2" t="s">
        <v>37</v>
      </c>
    </row>
    <row r="205" ht="16" hidden="1" customHeight="1" spans="1:18">
      <c r="A205" s="2" t="s">
        <v>524</v>
      </c>
      <c r="B205" s="2" t="s">
        <v>525</v>
      </c>
      <c r="C205" s="2" t="s">
        <v>526</v>
      </c>
      <c r="D205" s="2" t="s">
        <v>527</v>
      </c>
      <c r="E205" s="2" t="s">
        <v>21</v>
      </c>
      <c r="F205" s="2"/>
      <c r="G205" s="2" t="s">
        <v>32</v>
      </c>
      <c r="H205" s="2" t="s">
        <v>33</v>
      </c>
      <c r="I205" s="2" t="s">
        <v>85</v>
      </c>
      <c r="J205" s="2" t="s">
        <v>25</v>
      </c>
      <c r="K205" s="7">
        <v>1</v>
      </c>
      <c r="L205" s="2" t="s">
        <v>26</v>
      </c>
      <c r="M205" s="7">
        <v>1</v>
      </c>
      <c r="N205" s="2" t="s">
        <v>26</v>
      </c>
      <c r="O205" s="2" t="s">
        <v>295</v>
      </c>
      <c r="P205" s="2" t="s">
        <v>528</v>
      </c>
      <c r="Q205" s="2"/>
      <c r="R205" s="2" t="s">
        <v>37</v>
      </c>
    </row>
    <row r="206" ht="16" hidden="1" customHeight="1" spans="1:18">
      <c r="A206" s="2" t="s">
        <v>529</v>
      </c>
      <c r="B206" s="2" t="s">
        <v>525</v>
      </c>
      <c r="C206" s="2" t="s">
        <v>526</v>
      </c>
      <c r="D206" s="2" t="s">
        <v>527</v>
      </c>
      <c r="E206" s="2" t="s">
        <v>21</v>
      </c>
      <c r="F206" s="2"/>
      <c r="G206" s="2" t="s">
        <v>32</v>
      </c>
      <c r="H206" s="2" t="s">
        <v>33</v>
      </c>
      <c r="I206" s="2" t="s">
        <v>34</v>
      </c>
      <c r="J206" s="2" t="s">
        <v>25</v>
      </c>
      <c r="K206" s="7">
        <v>0.4</v>
      </c>
      <c r="L206" s="2" t="s">
        <v>26</v>
      </c>
      <c r="M206" s="7">
        <v>0.4</v>
      </c>
      <c r="N206" s="2" t="s">
        <v>26</v>
      </c>
      <c r="O206" s="2" t="s">
        <v>295</v>
      </c>
      <c r="P206" s="2" t="s">
        <v>528</v>
      </c>
      <c r="Q206" s="2"/>
      <c r="R206" s="2" t="s">
        <v>37</v>
      </c>
    </row>
    <row r="207" ht="16" hidden="1" customHeight="1" spans="1:18">
      <c r="A207" s="2" t="s">
        <v>530</v>
      </c>
      <c r="B207" s="2" t="s">
        <v>525</v>
      </c>
      <c r="C207" s="2" t="s">
        <v>526</v>
      </c>
      <c r="D207" s="2" t="s">
        <v>527</v>
      </c>
      <c r="E207" s="2" t="s">
        <v>21</v>
      </c>
      <c r="F207" s="2"/>
      <c r="G207" s="2" t="s">
        <v>32</v>
      </c>
      <c r="H207" s="2" t="s">
        <v>33</v>
      </c>
      <c r="I207" s="2" t="s">
        <v>39</v>
      </c>
      <c r="J207" s="2" t="s">
        <v>25</v>
      </c>
      <c r="K207" s="7">
        <v>2.49</v>
      </c>
      <c r="L207" s="2" t="s">
        <v>26</v>
      </c>
      <c r="M207" s="7">
        <v>2.49</v>
      </c>
      <c r="N207" s="2" t="s">
        <v>26</v>
      </c>
      <c r="O207" s="2" t="s">
        <v>295</v>
      </c>
      <c r="P207" s="2" t="s">
        <v>528</v>
      </c>
      <c r="Q207" s="2"/>
      <c r="R207" s="2" t="s">
        <v>37</v>
      </c>
    </row>
    <row r="208" ht="16" hidden="1" customHeight="1" spans="1:18">
      <c r="A208" s="2" t="s">
        <v>531</v>
      </c>
      <c r="B208" s="2" t="s">
        <v>532</v>
      </c>
      <c r="C208" s="2" t="s">
        <v>533</v>
      </c>
      <c r="D208" s="2" t="s">
        <v>534</v>
      </c>
      <c r="E208" s="2" t="s">
        <v>21</v>
      </c>
      <c r="F208" s="2"/>
      <c r="G208" s="2" t="s">
        <v>32</v>
      </c>
      <c r="H208" s="2" t="s">
        <v>33</v>
      </c>
      <c r="I208" s="2" t="s">
        <v>34</v>
      </c>
      <c r="J208" s="2" t="s">
        <v>25</v>
      </c>
      <c r="K208" s="7">
        <v>0.4</v>
      </c>
      <c r="L208" s="2" t="s">
        <v>26</v>
      </c>
      <c r="M208" s="7">
        <v>0.4</v>
      </c>
      <c r="N208" s="2" t="s">
        <v>26</v>
      </c>
      <c r="O208" s="2" t="s">
        <v>35</v>
      </c>
      <c r="P208" s="2" t="s">
        <v>535</v>
      </c>
      <c r="Q208" s="2"/>
      <c r="R208" s="2" t="s">
        <v>37</v>
      </c>
    </row>
    <row r="209" ht="16" hidden="1" customHeight="1" spans="1:18">
      <c r="A209" s="2" t="s">
        <v>536</v>
      </c>
      <c r="B209" s="2" t="s">
        <v>532</v>
      </c>
      <c r="C209" s="2" t="s">
        <v>533</v>
      </c>
      <c r="D209" s="2" t="s">
        <v>534</v>
      </c>
      <c r="E209" s="2" t="s">
        <v>21</v>
      </c>
      <c r="F209" s="2"/>
      <c r="G209" s="2" t="s">
        <v>32</v>
      </c>
      <c r="H209" s="2" t="s">
        <v>33</v>
      </c>
      <c r="I209" s="2" t="s">
        <v>39</v>
      </c>
      <c r="J209" s="2" t="s">
        <v>25</v>
      </c>
      <c r="K209" s="7">
        <v>2.49</v>
      </c>
      <c r="L209" s="2" t="s">
        <v>26</v>
      </c>
      <c r="M209" s="7">
        <v>2.49</v>
      </c>
      <c r="N209" s="2" t="s">
        <v>26</v>
      </c>
      <c r="O209" s="2" t="s">
        <v>35</v>
      </c>
      <c r="P209" s="2" t="s">
        <v>535</v>
      </c>
      <c r="Q209" s="2"/>
      <c r="R209" s="2" t="s">
        <v>37</v>
      </c>
    </row>
    <row r="210" ht="16" hidden="1" customHeight="1" spans="1:18">
      <c r="A210" s="2" t="s">
        <v>537</v>
      </c>
      <c r="B210" s="2" t="s">
        <v>538</v>
      </c>
      <c r="C210" s="2" t="s">
        <v>539</v>
      </c>
      <c r="D210" s="2" t="s">
        <v>540</v>
      </c>
      <c r="E210" s="2" t="s">
        <v>21</v>
      </c>
      <c r="F210" s="2"/>
      <c r="G210" s="2" t="s">
        <v>32</v>
      </c>
      <c r="H210" s="2" t="s">
        <v>33</v>
      </c>
      <c r="I210" s="2" t="s">
        <v>34</v>
      </c>
      <c r="J210" s="2" t="s">
        <v>25</v>
      </c>
      <c r="K210" s="7">
        <v>0.4</v>
      </c>
      <c r="L210" s="2" t="s">
        <v>26</v>
      </c>
      <c r="M210" s="7">
        <v>0.4</v>
      </c>
      <c r="N210" s="2" t="s">
        <v>26</v>
      </c>
      <c r="O210" s="2" t="s">
        <v>35</v>
      </c>
      <c r="P210" s="2" t="s">
        <v>541</v>
      </c>
      <c r="Q210" s="2"/>
      <c r="R210" s="2" t="s">
        <v>37</v>
      </c>
    </row>
    <row r="211" ht="16" hidden="1" customHeight="1" spans="1:18">
      <c r="A211" s="2" t="s">
        <v>542</v>
      </c>
      <c r="B211" s="2" t="s">
        <v>538</v>
      </c>
      <c r="C211" s="2" t="s">
        <v>539</v>
      </c>
      <c r="D211" s="2" t="s">
        <v>540</v>
      </c>
      <c r="E211" s="2" t="s">
        <v>21</v>
      </c>
      <c r="F211" s="2"/>
      <c r="G211" s="2" t="s">
        <v>32</v>
      </c>
      <c r="H211" s="2" t="s">
        <v>33</v>
      </c>
      <c r="I211" s="2" t="s">
        <v>39</v>
      </c>
      <c r="J211" s="2" t="s">
        <v>25</v>
      </c>
      <c r="K211" s="7">
        <v>2.49</v>
      </c>
      <c r="L211" s="2" t="s">
        <v>26</v>
      </c>
      <c r="M211" s="7">
        <v>2.49</v>
      </c>
      <c r="N211" s="2" t="s">
        <v>26</v>
      </c>
      <c r="O211" s="2" t="s">
        <v>35</v>
      </c>
      <c r="P211" s="2" t="s">
        <v>541</v>
      </c>
      <c r="Q211" s="2"/>
      <c r="R211" s="2" t="s">
        <v>37</v>
      </c>
    </row>
    <row r="212" ht="16" hidden="1" customHeight="1" spans="1:18">
      <c r="A212" s="2" t="s">
        <v>543</v>
      </c>
      <c r="B212" s="2" t="s">
        <v>544</v>
      </c>
      <c r="C212" s="2" t="s">
        <v>545</v>
      </c>
      <c r="D212" s="2" t="s">
        <v>546</v>
      </c>
      <c r="E212" s="2" t="s">
        <v>21</v>
      </c>
      <c r="F212" s="2"/>
      <c r="G212" s="2" t="s">
        <v>32</v>
      </c>
      <c r="H212" s="2" t="s">
        <v>33</v>
      </c>
      <c r="I212" s="2" t="s">
        <v>85</v>
      </c>
      <c r="J212" s="2" t="s">
        <v>25</v>
      </c>
      <c r="K212" s="7">
        <v>1</v>
      </c>
      <c r="L212" s="2" t="s">
        <v>26</v>
      </c>
      <c r="M212" s="7">
        <v>1</v>
      </c>
      <c r="N212" s="2" t="s">
        <v>26</v>
      </c>
      <c r="O212" s="2" t="s">
        <v>295</v>
      </c>
      <c r="P212" s="2" t="s">
        <v>547</v>
      </c>
      <c r="Q212" s="2"/>
      <c r="R212" s="2" t="s">
        <v>37</v>
      </c>
    </row>
    <row r="213" ht="16" hidden="1" customHeight="1" spans="1:18">
      <c r="A213" s="2" t="s">
        <v>548</v>
      </c>
      <c r="B213" s="2" t="s">
        <v>544</v>
      </c>
      <c r="C213" s="2" t="s">
        <v>545</v>
      </c>
      <c r="D213" s="2" t="s">
        <v>546</v>
      </c>
      <c r="E213" s="2" t="s">
        <v>21</v>
      </c>
      <c r="F213" s="2"/>
      <c r="G213" s="2" t="s">
        <v>32</v>
      </c>
      <c r="H213" s="2" t="s">
        <v>33</v>
      </c>
      <c r="I213" s="2" t="s">
        <v>34</v>
      </c>
      <c r="J213" s="2" t="s">
        <v>25</v>
      </c>
      <c r="K213" s="7">
        <v>0.4</v>
      </c>
      <c r="L213" s="2" t="s">
        <v>26</v>
      </c>
      <c r="M213" s="7">
        <v>0.4</v>
      </c>
      <c r="N213" s="2" t="s">
        <v>26</v>
      </c>
      <c r="O213" s="2" t="s">
        <v>295</v>
      </c>
      <c r="P213" s="2" t="s">
        <v>547</v>
      </c>
      <c r="Q213" s="2"/>
      <c r="R213" s="2" t="s">
        <v>37</v>
      </c>
    </row>
    <row r="214" ht="16" hidden="1" customHeight="1" spans="1:18">
      <c r="A214" s="2" t="s">
        <v>549</v>
      </c>
      <c r="B214" s="2" t="s">
        <v>544</v>
      </c>
      <c r="C214" s="2" t="s">
        <v>545</v>
      </c>
      <c r="D214" s="2" t="s">
        <v>546</v>
      </c>
      <c r="E214" s="2" t="s">
        <v>21</v>
      </c>
      <c r="F214" s="2"/>
      <c r="G214" s="2" t="s">
        <v>32</v>
      </c>
      <c r="H214" s="2" t="s">
        <v>33</v>
      </c>
      <c r="I214" s="2" t="s">
        <v>39</v>
      </c>
      <c r="J214" s="2" t="s">
        <v>25</v>
      </c>
      <c r="K214" s="7">
        <v>2.49</v>
      </c>
      <c r="L214" s="2" t="s">
        <v>26</v>
      </c>
      <c r="M214" s="7">
        <v>2.49</v>
      </c>
      <c r="N214" s="2" t="s">
        <v>26</v>
      </c>
      <c r="O214" s="2" t="s">
        <v>295</v>
      </c>
      <c r="P214" s="2" t="s">
        <v>547</v>
      </c>
      <c r="Q214" s="2"/>
      <c r="R214" s="2" t="s">
        <v>37</v>
      </c>
    </row>
    <row r="215" ht="16" customHeight="1" spans="1:18">
      <c r="A215" s="2" t="s">
        <v>550</v>
      </c>
      <c r="B215" s="2" t="s">
        <v>551</v>
      </c>
      <c r="C215" s="2"/>
      <c r="D215" s="2" t="s">
        <v>20</v>
      </c>
      <c r="E215" s="2" t="s">
        <v>21</v>
      </c>
      <c r="F215" s="2"/>
      <c r="G215" s="2" t="s">
        <v>22</v>
      </c>
      <c r="H215" s="2" t="s">
        <v>23</v>
      </c>
      <c r="I215" s="2" t="s">
        <v>24</v>
      </c>
      <c r="J215" s="2" t="s">
        <v>25</v>
      </c>
      <c r="K215" s="7">
        <v>14.091</v>
      </c>
      <c r="L215" s="2" t="s">
        <v>26</v>
      </c>
      <c r="M215" s="7">
        <v>14.091</v>
      </c>
      <c r="N215" s="2" t="s">
        <v>26</v>
      </c>
      <c r="O215" s="2"/>
      <c r="P215" s="2" t="s">
        <v>552</v>
      </c>
      <c r="Q215" s="2"/>
      <c r="R215" s="2"/>
    </row>
    <row r="216" ht="16" customHeight="1" spans="1:18">
      <c r="A216" s="2" t="s">
        <v>553</v>
      </c>
      <c r="B216" s="2" t="s">
        <v>554</v>
      </c>
      <c r="C216" s="2"/>
      <c r="D216" s="2" t="s">
        <v>20</v>
      </c>
      <c r="E216" s="2" t="s">
        <v>21</v>
      </c>
      <c r="F216" s="2"/>
      <c r="G216" s="2" t="s">
        <v>22</v>
      </c>
      <c r="H216" s="2" t="s">
        <v>23</v>
      </c>
      <c r="I216" s="2" t="s">
        <v>24</v>
      </c>
      <c r="J216" s="2" t="s">
        <v>25</v>
      </c>
      <c r="K216" s="7">
        <v>14.091</v>
      </c>
      <c r="L216" s="2" t="s">
        <v>26</v>
      </c>
      <c r="M216" s="7">
        <v>14.091</v>
      </c>
      <c r="N216" s="2" t="s">
        <v>26</v>
      </c>
      <c r="O216" s="2"/>
      <c r="P216" s="2" t="s">
        <v>555</v>
      </c>
      <c r="Q216" s="2"/>
      <c r="R216" s="2"/>
    </row>
    <row r="217" ht="16" customHeight="1" spans="1:18">
      <c r="A217" s="2" t="s">
        <v>556</v>
      </c>
      <c r="B217" s="2" t="s">
        <v>557</v>
      </c>
      <c r="C217" s="2"/>
      <c r="D217" s="2" t="s">
        <v>20</v>
      </c>
      <c r="E217" s="2" t="s">
        <v>21</v>
      </c>
      <c r="F217" s="2"/>
      <c r="G217" s="2" t="s">
        <v>22</v>
      </c>
      <c r="H217" s="2" t="s">
        <v>23</v>
      </c>
      <c r="I217" s="2" t="s">
        <v>24</v>
      </c>
      <c r="J217" s="2" t="s">
        <v>25</v>
      </c>
      <c r="K217" s="7">
        <v>14.091</v>
      </c>
      <c r="L217" s="2" t="s">
        <v>26</v>
      </c>
      <c r="M217" s="7">
        <v>14.091</v>
      </c>
      <c r="N217" s="2" t="s">
        <v>26</v>
      </c>
      <c r="O217" s="2"/>
      <c r="P217" s="2" t="s">
        <v>558</v>
      </c>
      <c r="Q217" s="2"/>
      <c r="R217" s="2"/>
    </row>
    <row r="218" ht="16" customHeight="1" spans="1:18">
      <c r="A218" s="2" t="s">
        <v>559</v>
      </c>
      <c r="B218" s="2" t="s">
        <v>560</v>
      </c>
      <c r="C218" s="2"/>
      <c r="D218" s="2" t="s">
        <v>20</v>
      </c>
      <c r="E218" s="2" t="s">
        <v>21</v>
      </c>
      <c r="F218" s="2"/>
      <c r="G218" s="2" t="s">
        <v>22</v>
      </c>
      <c r="H218" s="2" t="s">
        <v>23</v>
      </c>
      <c r="I218" s="2" t="s">
        <v>24</v>
      </c>
      <c r="J218" s="2" t="s">
        <v>25</v>
      </c>
      <c r="K218" s="7">
        <v>14.091</v>
      </c>
      <c r="L218" s="2" t="s">
        <v>26</v>
      </c>
      <c r="M218" s="7">
        <v>14.091</v>
      </c>
      <c r="N218" s="2" t="s">
        <v>26</v>
      </c>
      <c r="O218" s="2"/>
      <c r="P218" s="2" t="s">
        <v>561</v>
      </c>
      <c r="Q218" s="2"/>
      <c r="R218" s="2"/>
    </row>
    <row r="219" ht="16" hidden="1" customHeight="1" spans="1:18">
      <c r="A219" s="2" t="s">
        <v>562</v>
      </c>
      <c r="B219" s="2" t="s">
        <v>563</v>
      </c>
      <c r="C219" s="2" t="s">
        <v>564</v>
      </c>
      <c r="D219" s="2" t="s">
        <v>565</v>
      </c>
      <c r="E219" s="2" t="s">
        <v>21</v>
      </c>
      <c r="F219" s="2"/>
      <c r="G219" s="2" t="s">
        <v>32</v>
      </c>
      <c r="H219" s="2" t="s">
        <v>33</v>
      </c>
      <c r="I219" s="2" t="s">
        <v>85</v>
      </c>
      <c r="J219" s="2" t="s">
        <v>25</v>
      </c>
      <c r="K219" s="7">
        <v>1.5</v>
      </c>
      <c r="L219" s="2" t="s">
        <v>26</v>
      </c>
      <c r="M219" s="7">
        <v>1.5</v>
      </c>
      <c r="N219" s="2" t="s">
        <v>26</v>
      </c>
      <c r="O219" s="2" t="s">
        <v>56</v>
      </c>
      <c r="P219" s="2" t="s">
        <v>566</v>
      </c>
      <c r="Q219" s="2"/>
      <c r="R219" s="2" t="s">
        <v>37</v>
      </c>
    </row>
    <row r="220" ht="16" hidden="1" customHeight="1" spans="1:18">
      <c r="A220" s="2" t="s">
        <v>567</v>
      </c>
      <c r="B220" s="2" t="s">
        <v>563</v>
      </c>
      <c r="C220" s="2" t="s">
        <v>564</v>
      </c>
      <c r="D220" s="2" t="s">
        <v>565</v>
      </c>
      <c r="E220" s="2" t="s">
        <v>21</v>
      </c>
      <c r="F220" s="2"/>
      <c r="G220" s="2" t="s">
        <v>32</v>
      </c>
      <c r="H220" s="2" t="s">
        <v>33</v>
      </c>
      <c r="I220" s="2" t="s">
        <v>47</v>
      </c>
      <c r="J220" s="2" t="s">
        <v>25</v>
      </c>
      <c r="K220" s="7">
        <v>0.07</v>
      </c>
      <c r="L220" s="2" t="s">
        <v>26</v>
      </c>
      <c r="M220" s="7">
        <v>0.07</v>
      </c>
      <c r="N220" s="2" t="s">
        <v>26</v>
      </c>
      <c r="O220" s="2" t="s">
        <v>56</v>
      </c>
      <c r="P220" s="2" t="s">
        <v>566</v>
      </c>
      <c r="Q220" s="2"/>
      <c r="R220" s="2" t="s">
        <v>37</v>
      </c>
    </row>
    <row r="221" ht="16" hidden="1" customHeight="1" spans="1:18">
      <c r="A221" s="2" t="s">
        <v>568</v>
      </c>
      <c r="B221" s="2" t="s">
        <v>563</v>
      </c>
      <c r="C221" s="2" t="s">
        <v>564</v>
      </c>
      <c r="D221" s="2" t="s">
        <v>565</v>
      </c>
      <c r="E221" s="2" t="s">
        <v>21</v>
      </c>
      <c r="F221" s="2"/>
      <c r="G221" s="2" t="s">
        <v>32</v>
      </c>
      <c r="H221" s="2" t="s">
        <v>33</v>
      </c>
      <c r="I221" s="2" t="s">
        <v>34</v>
      </c>
      <c r="J221" s="2" t="s">
        <v>25</v>
      </c>
      <c r="K221" s="7">
        <v>0.4</v>
      </c>
      <c r="L221" s="2" t="s">
        <v>26</v>
      </c>
      <c r="M221" s="7">
        <v>0.4</v>
      </c>
      <c r="N221" s="2" t="s">
        <v>26</v>
      </c>
      <c r="O221" s="2" t="s">
        <v>56</v>
      </c>
      <c r="P221" s="2" t="s">
        <v>566</v>
      </c>
      <c r="Q221" s="2"/>
      <c r="R221" s="2" t="s">
        <v>37</v>
      </c>
    </row>
    <row r="222" ht="16" hidden="1" customHeight="1" spans="1:18">
      <c r="A222" s="2" t="s">
        <v>569</v>
      </c>
      <c r="B222" s="2" t="s">
        <v>563</v>
      </c>
      <c r="C222" s="2" t="s">
        <v>564</v>
      </c>
      <c r="D222" s="2" t="s">
        <v>565</v>
      </c>
      <c r="E222" s="2" t="s">
        <v>21</v>
      </c>
      <c r="F222" s="2"/>
      <c r="G222" s="2" t="s">
        <v>32</v>
      </c>
      <c r="H222" s="2" t="s">
        <v>33</v>
      </c>
      <c r="I222" s="2" t="s">
        <v>39</v>
      </c>
      <c r="J222" s="2" t="s">
        <v>25</v>
      </c>
      <c r="K222" s="7">
        <v>2.49</v>
      </c>
      <c r="L222" s="2" t="s">
        <v>26</v>
      </c>
      <c r="M222" s="7">
        <v>2.49</v>
      </c>
      <c r="N222" s="2" t="s">
        <v>26</v>
      </c>
      <c r="O222" s="2" t="s">
        <v>56</v>
      </c>
      <c r="P222" s="2" t="s">
        <v>566</v>
      </c>
      <c r="Q222" s="2"/>
      <c r="R222" s="2" t="s">
        <v>37</v>
      </c>
    </row>
    <row r="223" ht="16" hidden="1" customHeight="1" spans="1:18">
      <c r="A223" s="2" t="s">
        <v>570</v>
      </c>
      <c r="B223" s="2" t="s">
        <v>571</v>
      </c>
      <c r="C223" s="2" t="s">
        <v>572</v>
      </c>
      <c r="D223" s="2" t="s">
        <v>573</v>
      </c>
      <c r="E223" s="2" t="s">
        <v>21</v>
      </c>
      <c r="F223" s="2"/>
      <c r="G223" s="2" t="s">
        <v>32</v>
      </c>
      <c r="H223" s="2" t="s">
        <v>33</v>
      </c>
      <c r="I223" s="2" t="s">
        <v>85</v>
      </c>
      <c r="J223" s="2" t="s">
        <v>25</v>
      </c>
      <c r="K223" s="7">
        <v>1.5</v>
      </c>
      <c r="L223" s="2" t="s">
        <v>26</v>
      </c>
      <c r="M223" s="7">
        <v>1.5</v>
      </c>
      <c r="N223" s="2" t="s">
        <v>26</v>
      </c>
      <c r="O223" s="2" t="s">
        <v>56</v>
      </c>
      <c r="P223" s="2" t="s">
        <v>574</v>
      </c>
      <c r="Q223" s="2"/>
      <c r="R223" s="2" t="s">
        <v>37</v>
      </c>
    </row>
    <row r="224" ht="16" hidden="1" customHeight="1" spans="1:18">
      <c r="A224" s="2" t="s">
        <v>575</v>
      </c>
      <c r="B224" s="2" t="s">
        <v>571</v>
      </c>
      <c r="C224" s="2" t="s">
        <v>572</v>
      </c>
      <c r="D224" s="2" t="s">
        <v>573</v>
      </c>
      <c r="E224" s="2" t="s">
        <v>21</v>
      </c>
      <c r="F224" s="2"/>
      <c r="G224" s="2" t="s">
        <v>32</v>
      </c>
      <c r="H224" s="2" t="s">
        <v>33</v>
      </c>
      <c r="I224" s="2" t="s">
        <v>47</v>
      </c>
      <c r="J224" s="2" t="s">
        <v>25</v>
      </c>
      <c r="K224" s="7">
        <v>0.07</v>
      </c>
      <c r="L224" s="2" t="s">
        <v>26</v>
      </c>
      <c r="M224" s="7">
        <v>0.07</v>
      </c>
      <c r="N224" s="2" t="s">
        <v>26</v>
      </c>
      <c r="O224" s="2" t="s">
        <v>56</v>
      </c>
      <c r="P224" s="2" t="s">
        <v>574</v>
      </c>
      <c r="Q224" s="2"/>
      <c r="R224" s="2" t="s">
        <v>37</v>
      </c>
    </row>
    <row r="225" ht="16" hidden="1" customHeight="1" spans="1:18">
      <c r="A225" s="2" t="s">
        <v>576</v>
      </c>
      <c r="B225" s="2" t="s">
        <v>571</v>
      </c>
      <c r="C225" s="2" t="s">
        <v>572</v>
      </c>
      <c r="D225" s="2" t="s">
        <v>573</v>
      </c>
      <c r="E225" s="2" t="s">
        <v>21</v>
      </c>
      <c r="F225" s="2"/>
      <c r="G225" s="2" t="s">
        <v>32</v>
      </c>
      <c r="H225" s="2" t="s">
        <v>33</v>
      </c>
      <c r="I225" s="2" t="s">
        <v>34</v>
      </c>
      <c r="J225" s="2" t="s">
        <v>25</v>
      </c>
      <c r="K225" s="7">
        <v>0.4</v>
      </c>
      <c r="L225" s="2" t="s">
        <v>26</v>
      </c>
      <c r="M225" s="7">
        <v>0.4</v>
      </c>
      <c r="N225" s="2" t="s">
        <v>26</v>
      </c>
      <c r="O225" s="2" t="s">
        <v>56</v>
      </c>
      <c r="P225" s="2" t="s">
        <v>574</v>
      </c>
      <c r="Q225" s="2"/>
      <c r="R225" s="2" t="s">
        <v>37</v>
      </c>
    </row>
    <row r="226" ht="16" hidden="1" customHeight="1" spans="1:18">
      <c r="A226" s="2" t="s">
        <v>577</v>
      </c>
      <c r="B226" s="2" t="s">
        <v>571</v>
      </c>
      <c r="C226" s="2" t="s">
        <v>572</v>
      </c>
      <c r="D226" s="2" t="s">
        <v>573</v>
      </c>
      <c r="E226" s="2" t="s">
        <v>21</v>
      </c>
      <c r="F226" s="2"/>
      <c r="G226" s="2" t="s">
        <v>32</v>
      </c>
      <c r="H226" s="2" t="s">
        <v>33</v>
      </c>
      <c r="I226" s="2" t="s">
        <v>39</v>
      </c>
      <c r="J226" s="2" t="s">
        <v>25</v>
      </c>
      <c r="K226" s="7">
        <v>2.49</v>
      </c>
      <c r="L226" s="2" t="s">
        <v>26</v>
      </c>
      <c r="M226" s="7">
        <v>2.49</v>
      </c>
      <c r="N226" s="2" t="s">
        <v>26</v>
      </c>
      <c r="O226" s="2" t="s">
        <v>56</v>
      </c>
      <c r="P226" s="2" t="s">
        <v>574</v>
      </c>
      <c r="Q226" s="2"/>
      <c r="R226" s="2" t="s">
        <v>37</v>
      </c>
    </row>
    <row r="227" ht="16" customHeight="1" spans="1:18">
      <c r="A227" s="2" t="s">
        <v>578</v>
      </c>
      <c r="B227" s="2" t="s">
        <v>579</v>
      </c>
      <c r="C227" s="2"/>
      <c r="D227" s="2" t="s">
        <v>20</v>
      </c>
      <c r="E227" s="2" t="s">
        <v>21</v>
      </c>
      <c r="F227" s="2"/>
      <c r="G227" s="2" t="s">
        <v>22</v>
      </c>
      <c r="H227" s="2" t="s">
        <v>23</v>
      </c>
      <c r="I227" s="2" t="s">
        <v>24</v>
      </c>
      <c r="J227" s="2" t="s">
        <v>25</v>
      </c>
      <c r="K227" s="7">
        <v>14.097</v>
      </c>
      <c r="L227" s="2" t="s">
        <v>26</v>
      </c>
      <c r="M227" s="7">
        <v>14.097</v>
      </c>
      <c r="N227" s="2" t="s">
        <v>26</v>
      </c>
      <c r="O227" s="2"/>
      <c r="P227" s="2" t="s">
        <v>580</v>
      </c>
      <c r="Q227" s="2"/>
      <c r="R227" s="2"/>
    </row>
    <row r="228" ht="16" customHeight="1" spans="1:18">
      <c r="A228" s="2" t="s">
        <v>581</v>
      </c>
      <c r="B228" s="2" t="s">
        <v>582</v>
      </c>
      <c r="C228" s="2"/>
      <c r="D228" s="2" t="s">
        <v>20</v>
      </c>
      <c r="E228" s="2" t="s">
        <v>21</v>
      </c>
      <c r="F228" s="2"/>
      <c r="G228" s="2" t="s">
        <v>22</v>
      </c>
      <c r="H228" s="2" t="s">
        <v>23</v>
      </c>
      <c r="I228" s="2" t="s">
        <v>24</v>
      </c>
      <c r="J228" s="2" t="s">
        <v>25</v>
      </c>
      <c r="K228" s="7">
        <v>14.097</v>
      </c>
      <c r="L228" s="2" t="s">
        <v>26</v>
      </c>
      <c r="M228" s="7">
        <v>14.097</v>
      </c>
      <c r="N228" s="2" t="s">
        <v>26</v>
      </c>
      <c r="O228" s="2"/>
      <c r="P228" s="2" t="s">
        <v>583</v>
      </c>
      <c r="Q228" s="2"/>
      <c r="R228" s="2"/>
    </row>
    <row r="229" ht="16" hidden="1" customHeight="1" spans="1:18">
      <c r="A229" s="2" t="s">
        <v>584</v>
      </c>
      <c r="B229" s="2" t="s">
        <v>585</v>
      </c>
      <c r="C229" s="2" t="s">
        <v>586</v>
      </c>
      <c r="D229" s="2" t="s">
        <v>587</v>
      </c>
      <c r="E229" s="2" t="s">
        <v>21</v>
      </c>
      <c r="F229" s="2"/>
      <c r="G229" s="2" t="s">
        <v>32</v>
      </c>
      <c r="H229" s="2" t="s">
        <v>33</v>
      </c>
      <c r="I229" s="2" t="s">
        <v>85</v>
      </c>
      <c r="J229" s="2" t="s">
        <v>25</v>
      </c>
      <c r="K229" s="7">
        <v>0.8</v>
      </c>
      <c r="L229" s="2" t="s">
        <v>26</v>
      </c>
      <c r="M229" s="7">
        <v>0.8</v>
      </c>
      <c r="N229" s="2" t="s">
        <v>26</v>
      </c>
      <c r="O229" s="2" t="s">
        <v>588</v>
      </c>
      <c r="P229" s="2" t="s">
        <v>589</v>
      </c>
      <c r="Q229" s="2"/>
      <c r="R229" s="2" t="s">
        <v>37</v>
      </c>
    </row>
    <row r="230" ht="16" hidden="1" customHeight="1" spans="1:18">
      <c r="A230" s="2" t="s">
        <v>590</v>
      </c>
      <c r="B230" s="2" t="s">
        <v>585</v>
      </c>
      <c r="C230" s="2" t="s">
        <v>586</v>
      </c>
      <c r="D230" s="2" t="s">
        <v>587</v>
      </c>
      <c r="E230" s="2" t="s">
        <v>21</v>
      </c>
      <c r="F230" s="2"/>
      <c r="G230" s="2" t="s">
        <v>32</v>
      </c>
      <c r="H230" s="2" t="s">
        <v>33</v>
      </c>
      <c r="I230" s="2" t="s">
        <v>47</v>
      </c>
      <c r="J230" s="2" t="s">
        <v>25</v>
      </c>
      <c r="K230" s="7">
        <v>0.07</v>
      </c>
      <c r="L230" s="2" t="s">
        <v>26</v>
      </c>
      <c r="M230" s="7">
        <v>0.07</v>
      </c>
      <c r="N230" s="2" t="s">
        <v>26</v>
      </c>
      <c r="O230" s="2" t="s">
        <v>588</v>
      </c>
      <c r="P230" s="2" t="s">
        <v>589</v>
      </c>
      <c r="Q230" s="2"/>
      <c r="R230" s="2" t="s">
        <v>37</v>
      </c>
    </row>
    <row r="231" ht="16" hidden="1" customHeight="1" spans="1:18">
      <c r="A231" s="2" t="s">
        <v>591</v>
      </c>
      <c r="B231" s="2" t="s">
        <v>585</v>
      </c>
      <c r="C231" s="2" t="s">
        <v>586</v>
      </c>
      <c r="D231" s="2" t="s">
        <v>587</v>
      </c>
      <c r="E231" s="2" t="s">
        <v>21</v>
      </c>
      <c r="F231" s="2"/>
      <c r="G231" s="2" t="s">
        <v>32</v>
      </c>
      <c r="H231" s="2" t="s">
        <v>33</v>
      </c>
      <c r="I231" s="2" t="s">
        <v>34</v>
      </c>
      <c r="J231" s="2" t="s">
        <v>25</v>
      </c>
      <c r="K231" s="7">
        <v>0.4</v>
      </c>
      <c r="L231" s="2" t="s">
        <v>26</v>
      </c>
      <c r="M231" s="7">
        <v>0.4</v>
      </c>
      <c r="N231" s="2" t="s">
        <v>26</v>
      </c>
      <c r="O231" s="2" t="s">
        <v>588</v>
      </c>
      <c r="P231" s="2" t="s">
        <v>589</v>
      </c>
      <c r="Q231" s="2"/>
      <c r="R231" s="2" t="s">
        <v>37</v>
      </c>
    </row>
    <row r="232" ht="16" hidden="1" customHeight="1" spans="1:18">
      <c r="A232" s="2" t="s">
        <v>592</v>
      </c>
      <c r="B232" s="2" t="s">
        <v>585</v>
      </c>
      <c r="C232" s="2" t="s">
        <v>586</v>
      </c>
      <c r="D232" s="2" t="s">
        <v>587</v>
      </c>
      <c r="E232" s="2" t="s">
        <v>21</v>
      </c>
      <c r="F232" s="2"/>
      <c r="G232" s="2" t="s">
        <v>32</v>
      </c>
      <c r="H232" s="2" t="s">
        <v>33</v>
      </c>
      <c r="I232" s="2" t="s">
        <v>39</v>
      </c>
      <c r="J232" s="2" t="s">
        <v>25</v>
      </c>
      <c r="K232" s="7">
        <v>2.49</v>
      </c>
      <c r="L232" s="2" t="s">
        <v>26</v>
      </c>
      <c r="M232" s="7">
        <v>2.49</v>
      </c>
      <c r="N232" s="2" t="s">
        <v>26</v>
      </c>
      <c r="O232" s="2" t="s">
        <v>588</v>
      </c>
      <c r="P232" s="2" t="s">
        <v>589</v>
      </c>
      <c r="Q232" s="2"/>
      <c r="R232" s="2" t="s">
        <v>37</v>
      </c>
    </row>
    <row r="233" ht="16" customHeight="1" spans="1:18">
      <c r="A233" s="2" t="s">
        <v>593</v>
      </c>
      <c r="B233" s="2" t="s">
        <v>594</v>
      </c>
      <c r="C233" s="2"/>
      <c r="D233" s="2" t="s">
        <v>20</v>
      </c>
      <c r="E233" s="2" t="s">
        <v>21</v>
      </c>
      <c r="F233" s="2"/>
      <c r="G233" s="2" t="s">
        <v>22</v>
      </c>
      <c r="H233" s="2" t="s">
        <v>23</v>
      </c>
      <c r="I233" s="2" t="s">
        <v>24</v>
      </c>
      <c r="J233" s="2" t="s">
        <v>25</v>
      </c>
      <c r="K233" s="7">
        <v>14.097</v>
      </c>
      <c r="L233" s="2" t="s">
        <v>26</v>
      </c>
      <c r="M233" s="7">
        <v>14.097</v>
      </c>
      <c r="N233" s="2" t="s">
        <v>26</v>
      </c>
      <c r="O233" s="2"/>
      <c r="P233" s="2" t="s">
        <v>595</v>
      </c>
      <c r="Q233" s="2"/>
      <c r="R233" s="2"/>
    </row>
    <row r="234" ht="16" hidden="1" customHeight="1" spans="1:18">
      <c r="A234" s="2" t="s">
        <v>596</v>
      </c>
      <c r="B234" s="2" t="s">
        <v>597</v>
      </c>
      <c r="C234" s="2" t="s">
        <v>598</v>
      </c>
      <c r="D234" s="2" t="s">
        <v>599</v>
      </c>
      <c r="E234" s="2" t="s">
        <v>21</v>
      </c>
      <c r="F234" s="2"/>
      <c r="G234" s="2" t="s">
        <v>32</v>
      </c>
      <c r="H234" s="2" t="s">
        <v>33</v>
      </c>
      <c r="I234" s="2" t="s">
        <v>85</v>
      </c>
      <c r="J234" s="2" t="s">
        <v>25</v>
      </c>
      <c r="K234" s="7">
        <v>0.8</v>
      </c>
      <c r="L234" s="2" t="s">
        <v>26</v>
      </c>
      <c r="M234" s="7">
        <v>0.8</v>
      </c>
      <c r="N234" s="2" t="s">
        <v>26</v>
      </c>
      <c r="O234" s="2" t="s">
        <v>600</v>
      </c>
      <c r="P234" s="2" t="s">
        <v>601</v>
      </c>
      <c r="Q234" s="2"/>
      <c r="R234" s="2" t="s">
        <v>37</v>
      </c>
    </row>
    <row r="235" ht="16" hidden="1" customHeight="1" spans="1:18">
      <c r="A235" s="2" t="s">
        <v>602</v>
      </c>
      <c r="B235" s="2" t="s">
        <v>597</v>
      </c>
      <c r="C235" s="2" t="s">
        <v>598</v>
      </c>
      <c r="D235" s="2" t="s">
        <v>599</v>
      </c>
      <c r="E235" s="2" t="s">
        <v>21</v>
      </c>
      <c r="F235" s="2"/>
      <c r="G235" s="2" t="s">
        <v>32</v>
      </c>
      <c r="H235" s="2" t="s">
        <v>33</v>
      </c>
      <c r="I235" s="2" t="s">
        <v>34</v>
      </c>
      <c r="J235" s="2" t="s">
        <v>25</v>
      </c>
      <c r="K235" s="7">
        <v>0.4</v>
      </c>
      <c r="L235" s="2" t="s">
        <v>26</v>
      </c>
      <c r="M235" s="7">
        <v>0.4</v>
      </c>
      <c r="N235" s="2" t="s">
        <v>26</v>
      </c>
      <c r="O235" s="2" t="s">
        <v>600</v>
      </c>
      <c r="P235" s="2" t="s">
        <v>601</v>
      </c>
      <c r="Q235" s="2"/>
      <c r="R235" s="2" t="s">
        <v>37</v>
      </c>
    </row>
    <row r="236" ht="16" hidden="1" customHeight="1" spans="1:18">
      <c r="A236" s="2" t="s">
        <v>603</v>
      </c>
      <c r="B236" s="2" t="s">
        <v>597</v>
      </c>
      <c r="C236" s="2" t="s">
        <v>598</v>
      </c>
      <c r="D236" s="2" t="s">
        <v>599</v>
      </c>
      <c r="E236" s="2" t="s">
        <v>21</v>
      </c>
      <c r="F236" s="2"/>
      <c r="G236" s="2" t="s">
        <v>32</v>
      </c>
      <c r="H236" s="2" t="s">
        <v>33</v>
      </c>
      <c r="I236" s="2" t="s">
        <v>39</v>
      </c>
      <c r="J236" s="2" t="s">
        <v>25</v>
      </c>
      <c r="K236" s="7">
        <v>2.49</v>
      </c>
      <c r="L236" s="2" t="s">
        <v>26</v>
      </c>
      <c r="M236" s="7">
        <v>2.49</v>
      </c>
      <c r="N236" s="2" t="s">
        <v>26</v>
      </c>
      <c r="O236" s="2" t="s">
        <v>600</v>
      </c>
      <c r="P236" s="2" t="s">
        <v>601</v>
      </c>
      <c r="Q236" s="2"/>
      <c r="R236" s="2" t="s">
        <v>37</v>
      </c>
    </row>
    <row r="237" ht="16" hidden="1" customHeight="1" spans="1:18">
      <c r="A237" s="2" t="s">
        <v>604</v>
      </c>
      <c r="B237" s="2" t="s">
        <v>605</v>
      </c>
      <c r="C237" s="2" t="s">
        <v>606</v>
      </c>
      <c r="D237" s="2" t="s">
        <v>607</v>
      </c>
      <c r="E237" s="2" t="s">
        <v>21</v>
      </c>
      <c r="F237" s="2"/>
      <c r="G237" s="2" t="s">
        <v>32</v>
      </c>
      <c r="H237" s="2" t="s">
        <v>33</v>
      </c>
      <c r="I237" s="2" t="s">
        <v>85</v>
      </c>
      <c r="J237" s="2" t="s">
        <v>25</v>
      </c>
      <c r="K237" s="7">
        <v>0.8</v>
      </c>
      <c r="L237" s="2" t="s">
        <v>26</v>
      </c>
      <c r="M237" s="7">
        <v>0.8</v>
      </c>
      <c r="N237" s="2" t="s">
        <v>26</v>
      </c>
      <c r="O237" s="2" t="s">
        <v>56</v>
      </c>
      <c r="P237" s="2" t="s">
        <v>608</v>
      </c>
      <c r="Q237" s="2"/>
      <c r="R237" s="2" t="s">
        <v>37</v>
      </c>
    </row>
    <row r="238" ht="16" hidden="1" customHeight="1" spans="1:18">
      <c r="A238" s="2" t="s">
        <v>609</v>
      </c>
      <c r="B238" s="2" t="s">
        <v>605</v>
      </c>
      <c r="C238" s="2" t="s">
        <v>606</v>
      </c>
      <c r="D238" s="2" t="s">
        <v>607</v>
      </c>
      <c r="E238" s="2" t="s">
        <v>21</v>
      </c>
      <c r="F238" s="2"/>
      <c r="G238" s="2" t="s">
        <v>32</v>
      </c>
      <c r="H238" s="2" t="s">
        <v>33</v>
      </c>
      <c r="I238" s="2" t="s">
        <v>47</v>
      </c>
      <c r="J238" s="2" t="s">
        <v>25</v>
      </c>
      <c r="K238" s="7">
        <v>0.07</v>
      </c>
      <c r="L238" s="2" t="s">
        <v>26</v>
      </c>
      <c r="M238" s="7">
        <v>0.07</v>
      </c>
      <c r="N238" s="2" t="s">
        <v>26</v>
      </c>
      <c r="O238" s="2" t="s">
        <v>56</v>
      </c>
      <c r="P238" s="2" t="s">
        <v>608</v>
      </c>
      <c r="Q238" s="2"/>
      <c r="R238" s="2" t="s">
        <v>37</v>
      </c>
    </row>
    <row r="239" ht="16" hidden="1" customHeight="1" spans="1:18">
      <c r="A239" s="2" t="s">
        <v>610</v>
      </c>
      <c r="B239" s="2" t="s">
        <v>605</v>
      </c>
      <c r="C239" s="2" t="s">
        <v>606</v>
      </c>
      <c r="D239" s="2" t="s">
        <v>607</v>
      </c>
      <c r="E239" s="2" t="s">
        <v>21</v>
      </c>
      <c r="F239" s="2"/>
      <c r="G239" s="2" t="s">
        <v>32</v>
      </c>
      <c r="H239" s="2" t="s">
        <v>33</v>
      </c>
      <c r="I239" s="2" t="s">
        <v>34</v>
      </c>
      <c r="J239" s="2" t="s">
        <v>25</v>
      </c>
      <c r="K239" s="7">
        <v>0.4</v>
      </c>
      <c r="L239" s="2" t="s">
        <v>26</v>
      </c>
      <c r="M239" s="7">
        <v>0.4</v>
      </c>
      <c r="N239" s="2" t="s">
        <v>26</v>
      </c>
      <c r="O239" s="2" t="s">
        <v>56</v>
      </c>
      <c r="P239" s="2" t="s">
        <v>608</v>
      </c>
      <c r="Q239" s="2"/>
      <c r="R239" s="2" t="s">
        <v>37</v>
      </c>
    </row>
    <row r="240" ht="16" hidden="1" customHeight="1" spans="1:18">
      <c r="A240" s="2" t="s">
        <v>611</v>
      </c>
      <c r="B240" s="2" t="s">
        <v>605</v>
      </c>
      <c r="C240" s="2" t="s">
        <v>606</v>
      </c>
      <c r="D240" s="2" t="s">
        <v>607</v>
      </c>
      <c r="E240" s="2" t="s">
        <v>21</v>
      </c>
      <c r="F240" s="2"/>
      <c r="G240" s="2" t="s">
        <v>32</v>
      </c>
      <c r="H240" s="2" t="s">
        <v>33</v>
      </c>
      <c r="I240" s="2" t="s">
        <v>39</v>
      </c>
      <c r="J240" s="2" t="s">
        <v>25</v>
      </c>
      <c r="K240" s="7">
        <v>2.49</v>
      </c>
      <c r="L240" s="2" t="s">
        <v>26</v>
      </c>
      <c r="M240" s="7">
        <v>2.49</v>
      </c>
      <c r="N240" s="2" t="s">
        <v>26</v>
      </c>
      <c r="O240" s="2" t="s">
        <v>56</v>
      </c>
      <c r="P240" s="2" t="s">
        <v>608</v>
      </c>
      <c r="Q240" s="2"/>
      <c r="R240" s="2" t="s">
        <v>37</v>
      </c>
    </row>
    <row r="241" ht="16" customHeight="1" spans="1:18">
      <c r="A241" s="2" t="s">
        <v>612</v>
      </c>
      <c r="B241" s="2" t="s">
        <v>613</v>
      </c>
      <c r="C241" s="2"/>
      <c r="D241" s="2" t="s">
        <v>20</v>
      </c>
      <c r="E241" s="2" t="s">
        <v>21</v>
      </c>
      <c r="F241" s="2"/>
      <c r="G241" s="2" t="s">
        <v>22</v>
      </c>
      <c r="H241" s="2" t="s">
        <v>23</v>
      </c>
      <c r="I241" s="2" t="s">
        <v>24</v>
      </c>
      <c r="J241" s="2" t="s">
        <v>25</v>
      </c>
      <c r="K241" s="7">
        <v>14.103</v>
      </c>
      <c r="L241" s="2" t="s">
        <v>26</v>
      </c>
      <c r="M241" s="7">
        <v>14.103</v>
      </c>
      <c r="N241" s="2" t="s">
        <v>26</v>
      </c>
      <c r="O241" s="2"/>
      <c r="P241" s="2" t="s">
        <v>614</v>
      </c>
      <c r="Q241" s="2"/>
      <c r="R241" s="2"/>
    </row>
    <row r="242" ht="16" customHeight="1" spans="1:18">
      <c r="A242" s="2" t="s">
        <v>615</v>
      </c>
      <c r="B242" s="2" t="s">
        <v>616</v>
      </c>
      <c r="C242" s="2"/>
      <c r="D242" s="2" t="s">
        <v>20</v>
      </c>
      <c r="E242" s="2" t="s">
        <v>21</v>
      </c>
      <c r="F242" s="2"/>
      <c r="G242" s="2" t="s">
        <v>22</v>
      </c>
      <c r="H242" s="2" t="s">
        <v>23</v>
      </c>
      <c r="I242" s="2" t="s">
        <v>24</v>
      </c>
      <c r="J242" s="2" t="s">
        <v>25</v>
      </c>
      <c r="K242" s="7">
        <v>14.103</v>
      </c>
      <c r="L242" s="2" t="s">
        <v>26</v>
      </c>
      <c r="M242" s="7">
        <v>14.103</v>
      </c>
      <c r="N242" s="2" t="s">
        <v>26</v>
      </c>
      <c r="O242" s="2"/>
      <c r="P242" s="2" t="s">
        <v>617</v>
      </c>
      <c r="Q242" s="2"/>
      <c r="R242" s="2"/>
    </row>
    <row r="243" ht="16" customHeight="1" spans="1:18">
      <c r="A243" s="2" t="s">
        <v>618</v>
      </c>
      <c r="B243" s="2" t="s">
        <v>619</v>
      </c>
      <c r="C243" s="2"/>
      <c r="D243" s="2" t="s">
        <v>20</v>
      </c>
      <c r="E243" s="2" t="s">
        <v>21</v>
      </c>
      <c r="F243" s="2"/>
      <c r="G243" s="2" t="s">
        <v>22</v>
      </c>
      <c r="H243" s="2" t="s">
        <v>23</v>
      </c>
      <c r="I243" s="2" t="s">
        <v>24</v>
      </c>
      <c r="J243" s="2" t="s">
        <v>25</v>
      </c>
      <c r="K243" s="7">
        <v>14.103</v>
      </c>
      <c r="L243" s="2" t="s">
        <v>26</v>
      </c>
      <c r="M243" s="7">
        <v>14.103</v>
      </c>
      <c r="N243" s="2" t="s">
        <v>26</v>
      </c>
      <c r="O243" s="2"/>
      <c r="P243" s="2" t="s">
        <v>620</v>
      </c>
      <c r="Q243" s="2"/>
      <c r="R243" s="2"/>
    </row>
    <row r="244" ht="16" hidden="1" customHeight="1" spans="1:18">
      <c r="A244" s="2" t="s">
        <v>621</v>
      </c>
      <c r="B244" s="2" t="s">
        <v>622</v>
      </c>
      <c r="C244" s="2" t="s">
        <v>623</v>
      </c>
      <c r="D244" s="2" t="s">
        <v>624</v>
      </c>
      <c r="E244" s="2" t="s">
        <v>21</v>
      </c>
      <c r="F244" s="2"/>
      <c r="G244" s="2" t="s">
        <v>32</v>
      </c>
      <c r="H244" s="2" t="s">
        <v>33</v>
      </c>
      <c r="I244" s="2" t="s">
        <v>47</v>
      </c>
      <c r="J244" s="2" t="s">
        <v>25</v>
      </c>
      <c r="K244" s="7">
        <v>0.07</v>
      </c>
      <c r="L244" s="2" t="s">
        <v>26</v>
      </c>
      <c r="M244" s="7">
        <v>0.07</v>
      </c>
      <c r="N244" s="2" t="s">
        <v>26</v>
      </c>
      <c r="O244" s="2" t="s">
        <v>588</v>
      </c>
      <c r="P244" s="2" t="s">
        <v>625</v>
      </c>
      <c r="Q244" s="2"/>
      <c r="R244" s="2" t="s">
        <v>37</v>
      </c>
    </row>
    <row r="245" ht="16" hidden="1" customHeight="1" spans="1:18">
      <c r="A245" s="2" t="s">
        <v>626</v>
      </c>
      <c r="B245" s="2" t="s">
        <v>622</v>
      </c>
      <c r="C245" s="2" t="s">
        <v>623</v>
      </c>
      <c r="D245" s="2" t="s">
        <v>624</v>
      </c>
      <c r="E245" s="2" t="s">
        <v>21</v>
      </c>
      <c r="F245" s="2"/>
      <c r="G245" s="2" t="s">
        <v>32</v>
      </c>
      <c r="H245" s="2" t="s">
        <v>33</v>
      </c>
      <c r="I245" s="2" t="s">
        <v>34</v>
      </c>
      <c r="J245" s="2" t="s">
        <v>25</v>
      </c>
      <c r="K245" s="7">
        <v>0.4</v>
      </c>
      <c r="L245" s="2" t="s">
        <v>26</v>
      </c>
      <c r="M245" s="7">
        <v>0.4</v>
      </c>
      <c r="N245" s="2" t="s">
        <v>26</v>
      </c>
      <c r="O245" s="2" t="s">
        <v>588</v>
      </c>
      <c r="P245" s="2" t="s">
        <v>625</v>
      </c>
      <c r="Q245" s="2"/>
      <c r="R245" s="2" t="s">
        <v>37</v>
      </c>
    </row>
    <row r="246" ht="16" hidden="1" customHeight="1" spans="1:18">
      <c r="A246" s="2" t="s">
        <v>627</v>
      </c>
      <c r="B246" s="2" t="s">
        <v>622</v>
      </c>
      <c r="C246" s="2" t="s">
        <v>623</v>
      </c>
      <c r="D246" s="2" t="s">
        <v>624</v>
      </c>
      <c r="E246" s="2" t="s">
        <v>21</v>
      </c>
      <c r="F246" s="2"/>
      <c r="G246" s="2" t="s">
        <v>32</v>
      </c>
      <c r="H246" s="2" t="s">
        <v>33</v>
      </c>
      <c r="I246" s="2" t="s">
        <v>39</v>
      </c>
      <c r="J246" s="2" t="s">
        <v>25</v>
      </c>
      <c r="K246" s="7">
        <v>2.49</v>
      </c>
      <c r="L246" s="2" t="s">
        <v>26</v>
      </c>
      <c r="M246" s="7">
        <v>2.49</v>
      </c>
      <c r="N246" s="2" t="s">
        <v>26</v>
      </c>
      <c r="O246" s="2" t="s">
        <v>588</v>
      </c>
      <c r="P246" s="2" t="s">
        <v>625</v>
      </c>
      <c r="Q246" s="2"/>
      <c r="R246" s="2" t="s">
        <v>37</v>
      </c>
    </row>
    <row r="247" ht="16" hidden="1" customHeight="1" spans="1:18">
      <c r="A247" s="2" t="s">
        <v>628</v>
      </c>
      <c r="B247" s="2" t="s">
        <v>629</v>
      </c>
      <c r="C247" s="2" t="s">
        <v>630</v>
      </c>
      <c r="D247" s="2" t="s">
        <v>631</v>
      </c>
      <c r="E247" s="2" t="s">
        <v>21</v>
      </c>
      <c r="F247" s="2"/>
      <c r="G247" s="2" t="s">
        <v>32</v>
      </c>
      <c r="H247" s="2" t="s">
        <v>33</v>
      </c>
      <c r="I247" s="2" t="s">
        <v>34</v>
      </c>
      <c r="J247" s="2" t="s">
        <v>25</v>
      </c>
      <c r="K247" s="7">
        <v>0.4</v>
      </c>
      <c r="L247" s="2" t="s">
        <v>26</v>
      </c>
      <c r="M247" s="7">
        <v>0.4</v>
      </c>
      <c r="N247" s="2" t="s">
        <v>26</v>
      </c>
      <c r="O247" s="2" t="s">
        <v>35</v>
      </c>
      <c r="P247" s="2" t="s">
        <v>632</v>
      </c>
      <c r="Q247" s="2"/>
      <c r="R247" s="2" t="s">
        <v>37</v>
      </c>
    </row>
    <row r="248" ht="16" hidden="1" customHeight="1" spans="1:18">
      <c r="A248" s="2" t="s">
        <v>633</v>
      </c>
      <c r="B248" s="2" t="s">
        <v>629</v>
      </c>
      <c r="C248" s="2" t="s">
        <v>630</v>
      </c>
      <c r="D248" s="2" t="s">
        <v>631</v>
      </c>
      <c r="E248" s="2" t="s">
        <v>21</v>
      </c>
      <c r="F248" s="2"/>
      <c r="G248" s="2" t="s">
        <v>32</v>
      </c>
      <c r="H248" s="2" t="s">
        <v>33</v>
      </c>
      <c r="I248" s="2" t="s">
        <v>39</v>
      </c>
      <c r="J248" s="2" t="s">
        <v>25</v>
      </c>
      <c r="K248" s="7">
        <v>2.49</v>
      </c>
      <c r="L248" s="2" t="s">
        <v>26</v>
      </c>
      <c r="M248" s="7">
        <v>2.49</v>
      </c>
      <c r="N248" s="2" t="s">
        <v>26</v>
      </c>
      <c r="O248" s="2" t="s">
        <v>35</v>
      </c>
      <c r="P248" s="2" t="s">
        <v>632</v>
      </c>
      <c r="Q248" s="2"/>
      <c r="R248" s="2" t="s">
        <v>37</v>
      </c>
    </row>
    <row r="249" ht="16" customHeight="1" spans="1:18">
      <c r="A249" s="2" t="s">
        <v>634</v>
      </c>
      <c r="B249" s="2" t="s">
        <v>635</v>
      </c>
      <c r="C249" s="2"/>
      <c r="D249" s="2" t="s">
        <v>20</v>
      </c>
      <c r="E249" s="2" t="s">
        <v>21</v>
      </c>
      <c r="F249" s="2"/>
      <c r="G249" s="2" t="s">
        <v>22</v>
      </c>
      <c r="H249" s="2" t="s">
        <v>23</v>
      </c>
      <c r="I249" s="2" t="s">
        <v>24</v>
      </c>
      <c r="J249" s="2" t="s">
        <v>25</v>
      </c>
      <c r="K249" s="7">
        <v>14.105</v>
      </c>
      <c r="L249" s="2" t="s">
        <v>26</v>
      </c>
      <c r="M249" s="7">
        <v>14.105</v>
      </c>
      <c r="N249" s="2" t="s">
        <v>26</v>
      </c>
      <c r="O249" s="2"/>
      <c r="P249" s="2" t="s">
        <v>636</v>
      </c>
      <c r="Q249" s="2"/>
      <c r="R249" s="2"/>
    </row>
    <row r="250" ht="16" hidden="1" customHeight="1" spans="1:18">
      <c r="A250" s="2" t="s">
        <v>637</v>
      </c>
      <c r="B250" s="2" t="s">
        <v>638</v>
      </c>
      <c r="C250" s="2" t="s">
        <v>639</v>
      </c>
      <c r="D250" s="2" t="s">
        <v>640</v>
      </c>
      <c r="E250" s="2" t="s">
        <v>21</v>
      </c>
      <c r="F250" s="2"/>
      <c r="G250" s="2" t="s">
        <v>32</v>
      </c>
      <c r="H250" s="2" t="s">
        <v>33</v>
      </c>
      <c r="I250" s="2" t="s">
        <v>34</v>
      </c>
      <c r="J250" s="2" t="s">
        <v>25</v>
      </c>
      <c r="K250" s="7">
        <v>0.4</v>
      </c>
      <c r="L250" s="2" t="s">
        <v>26</v>
      </c>
      <c r="M250" s="7">
        <v>0.4</v>
      </c>
      <c r="N250" s="2" t="s">
        <v>26</v>
      </c>
      <c r="O250" s="2" t="s">
        <v>35</v>
      </c>
      <c r="P250" s="2" t="s">
        <v>641</v>
      </c>
      <c r="Q250" s="2"/>
      <c r="R250" s="2" t="s">
        <v>37</v>
      </c>
    </row>
    <row r="251" ht="16" hidden="1" customHeight="1" spans="1:18">
      <c r="A251" s="2" t="s">
        <v>642</v>
      </c>
      <c r="B251" s="2" t="s">
        <v>638</v>
      </c>
      <c r="C251" s="2" t="s">
        <v>639</v>
      </c>
      <c r="D251" s="2" t="s">
        <v>640</v>
      </c>
      <c r="E251" s="2" t="s">
        <v>21</v>
      </c>
      <c r="F251" s="2"/>
      <c r="G251" s="2" t="s">
        <v>32</v>
      </c>
      <c r="H251" s="2" t="s">
        <v>33</v>
      </c>
      <c r="I251" s="2" t="s">
        <v>39</v>
      </c>
      <c r="J251" s="2" t="s">
        <v>25</v>
      </c>
      <c r="K251" s="7">
        <v>2.49</v>
      </c>
      <c r="L251" s="2" t="s">
        <v>26</v>
      </c>
      <c r="M251" s="7">
        <v>2.49</v>
      </c>
      <c r="N251" s="2" t="s">
        <v>26</v>
      </c>
      <c r="O251" s="2" t="s">
        <v>35</v>
      </c>
      <c r="P251" s="2" t="s">
        <v>641</v>
      </c>
      <c r="Q251" s="2"/>
      <c r="R251" s="2" t="s">
        <v>37</v>
      </c>
    </row>
    <row r="252" ht="16" hidden="1" customHeight="1" spans="1:18">
      <c r="A252" s="2" t="s">
        <v>643</v>
      </c>
      <c r="B252" s="2" t="s">
        <v>644</v>
      </c>
      <c r="C252" s="2" t="s">
        <v>645</v>
      </c>
      <c r="D252" s="2" t="s">
        <v>646</v>
      </c>
      <c r="E252" s="2" t="s">
        <v>21</v>
      </c>
      <c r="F252" s="2"/>
      <c r="G252" s="2" t="s">
        <v>32</v>
      </c>
      <c r="H252" s="2" t="s">
        <v>33</v>
      </c>
      <c r="I252" s="2" t="s">
        <v>85</v>
      </c>
      <c r="J252" s="2" t="s">
        <v>25</v>
      </c>
      <c r="K252" s="7">
        <v>1.5</v>
      </c>
      <c r="L252" s="2" t="s">
        <v>26</v>
      </c>
      <c r="M252" s="7">
        <v>1.5</v>
      </c>
      <c r="N252" s="2" t="s">
        <v>26</v>
      </c>
      <c r="O252" s="2" t="s">
        <v>100</v>
      </c>
      <c r="P252" s="2" t="s">
        <v>647</v>
      </c>
      <c r="Q252" s="2"/>
      <c r="R252" s="2" t="s">
        <v>37</v>
      </c>
    </row>
    <row r="253" ht="16" hidden="1" customHeight="1" spans="1:18">
      <c r="A253" s="2" t="s">
        <v>648</v>
      </c>
      <c r="B253" s="2" t="s">
        <v>644</v>
      </c>
      <c r="C253" s="2" t="s">
        <v>645</v>
      </c>
      <c r="D253" s="2" t="s">
        <v>646</v>
      </c>
      <c r="E253" s="2" t="s">
        <v>21</v>
      </c>
      <c r="F253" s="2"/>
      <c r="G253" s="2" t="s">
        <v>32</v>
      </c>
      <c r="H253" s="2" t="s">
        <v>33</v>
      </c>
      <c r="I253" s="2" t="s">
        <v>47</v>
      </c>
      <c r="J253" s="2" t="s">
        <v>25</v>
      </c>
      <c r="K253" s="7">
        <v>0.07</v>
      </c>
      <c r="L253" s="2" t="s">
        <v>26</v>
      </c>
      <c r="M253" s="7">
        <v>0.07</v>
      </c>
      <c r="N253" s="2" t="s">
        <v>26</v>
      </c>
      <c r="O253" s="2" t="s">
        <v>100</v>
      </c>
      <c r="P253" s="2" t="s">
        <v>647</v>
      </c>
      <c r="Q253" s="2"/>
      <c r="R253" s="2" t="s">
        <v>37</v>
      </c>
    </row>
    <row r="254" ht="16" hidden="1" customHeight="1" spans="1:18">
      <c r="A254" s="2" t="s">
        <v>649</v>
      </c>
      <c r="B254" s="2" t="s">
        <v>644</v>
      </c>
      <c r="C254" s="2" t="s">
        <v>645</v>
      </c>
      <c r="D254" s="2" t="s">
        <v>646</v>
      </c>
      <c r="E254" s="2" t="s">
        <v>21</v>
      </c>
      <c r="F254" s="2"/>
      <c r="G254" s="2" t="s">
        <v>32</v>
      </c>
      <c r="H254" s="2" t="s">
        <v>33</v>
      </c>
      <c r="I254" s="2" t="s">
        <v>34</v>
      </c>
      <c r="J254" s="2" t="s">
        <v>25</v>
      </c>
      <c r="K254" s="7">
        <v>0.4</v>
      </c>
      <c r="L254" s="2" t="s">
        <v>26</v>
      </c>
      <c r="M254" s="7">
        <v>0.4</v>
      </c>
      <c r="N254" s="2" t="s">
        <v>26</v>
      </c>
      <c r="O254" s="2" t="s">
        <v>100</v>
      </c>
      <c r="P254" s="2" t="s">
        <v>647</v>
      </c>
      <c r="Q254" s="2"/>
      <c r="R254" s="2" t="s">
        <v>37</v>
      </c>
    </row>
    <row r="255" ht="16" hidden="1" customHeight="1" spans="1:18">
      <c r="A255" s="2" t="s">
        <v>650</v>
      </c>
      <c r="B255" s="2" t="s">
        <v>644</v>
      </c>
      <c r="C255" s="2" t="s">
        <v>645</v>
      </c>
      <c r="D255" s="2" t="s">
        <v>646</v>
      </c>
      <c r="E255" s="2" t="s">
        <v>21</v>
      </c>
      <c r="F255" s="2"/>
      <c r="G255" s="2" t="s">
        <v>32</v>
      </c>
      <c r="H255" s="2" t="s">
        <v>33</v>
      </c>
      <c r="I255" s="2" t="s">
        <v>39</v>
      </c>
      <c r="J255" s="2" t="s">
        <v>25</v>
      </c>
      <c r="K255" s="7">
        <v>2.49</v>
      </c>
      <c r="L255" s="2" t="s">
        <v>26</v>
      </c>
      <c r="M255" s="7">
        <v>2.49</v>
      </c>
      <c r="N255" s="2" t="s">
        <v>26</v>
      </c>
      <c r="O255" s="2" t="s">
        <v>100</v>
      </c>
      <c r="P255" s="2" t="s">
        <v>647</v>
      </c>
      <c r="Q255" s="2"/>
      <c r="R255" s="2" t="s">
        <v>37</v>
      </c>
    </row>
    <row r="256" ht="16" hidden="1" customHeight="1" spans="1:18">
      <c r="A256" s="2" t="s">
        <v>651</v>
      </c>
      <c r="B256" s="2" t="s">
        <v>652</v>
      </c>
      <c r="C256" s="2" t="s">
        <v>653</v>
      </c>
      <c r="D256" s="2" t="s">
        <v>654</v>
      </c>
      <c r="E256" s="2" t="s">
        <v>21</v>
      </c>
      <c r="F256" s="2"/>
      <c r="G256" s="2" t="s">
        <v>32</v>
      </c>
      <c r="H256" s="2" t="s">
        <v>33</v>
      </c>
      <c r="I256" s="2" t="s">
        <v>85</v>
      </c>
      <c r="J256" s="2" t="s">
        <v>25</v>
      </c>
      <c r="K256" s="7">
        <v>1</v>
      </c>
      <c r="L256" s="2" t="s">
        <v>26</v>
      </c>
      <c r="M256" s="7">
        <v>1</v>
      </c>
      <c r="N256" s="2" t="s">
        <v>26</v>
      </c>
      <c r="O256" s="2" t="s">
        <v>295</v>
      </c>
      <c r="P256" s="2" t="s">
        <v>655</v>
      </c>
      <c r="Q256" s="2"/>
      <c r="R256" s="2" t="s">
        <v>37</v>
      </c>
    </row>
    <row r="257" ht="16" hidden="1" customHeight="1" spans="1:18">
      <c r="A257" s="2" t="s">
        <v>656</v>
      </c>
      <c r="B257" s="2" t="s">
        <v>652</v>
      </c>
      <c r="C257" s="2" t="s">
        <v>653</v>
      </c>
      <c r="D257" s="2" t="s">
        <v>654</v>
      </c>
      <c r="E257" s="2" t="s">
        <v>21</v>
      </c>
      <c r="F257" s="2"/>
      <c r="G257" s="2" t="s">
        <v>32</v>
      </c>
      <c r="H257" s="2" t="s">
        <v>33</v>
      </c>
      <c r="I257" s="2" t="s">
        <v>34</v>
      </c>
      <c r="J257" s="2" t="s">
        <v>25</v>
      </c>
      <c r="K257" s="7">
        <v>0.4</v>
      </c>
      <c r="L257" s="2" t="s">
        <v>26</v>
      </c>
      <c r="M257" s="7">
        <v>0.4</v>
      </c>
      <c r="N257" s="2" t="s">
        <v>26</v>
      </c>
      <c r="O257" s="2" t="s">
        <v>295</v>
      </c>
      <c r="P257" s="2" t="s">
        <v>655</v>
      </c>
      <c r="Q257" s="2"/>
      <c r="R257" s="2" t="s">
        <v>37</v>
      </c>
    </row>
    <row r="258" ht="16" hidden="1" customHeight="1" spans="1:18">
      <c r="A258" s="2" t="s">
        <v>657</v>
      </c>
      <c r="B258" s="2" t="s">
        <v>652</v>
      </c>
      <c r="C258" s="2" t="s">
        <v>653</v>
      </c>
      <c r="D258" s="2" t="s">
        <v>654</v>
      </c>
      <c r="E258" s="2" t="s">
        <v>21</v>
      </c>
      <c r="F258" s="2"/>
      <c r="G258" s="2" t="s">
        <v>32</v>
      </c>
      <c r="H258" s="2" t="s">
        <v>33</v>
      </c>
      <c r="I258" s="2" t="s">
        <v>39</v>
      </c>
      <c r="J258" s="2" t="s">
        <v>25</v>
      </c>
      <c r="K258" s="7">
        <v>2.49</v>
      </c>
      <c r="L258" s="2" t="s">
        <v>26</v>
      </c>
      <c r="M258" s="7">
        <v>2.49</v>
      </c>
      <c r="N258" s="2" t="s">
        <v>26</v>
      </c>
      <c r="O258" s="2" t="s">
        <v>295</v>
      </c>
      <c r="P258" s="2" t="s">
        <v>655</v>
      </c>
      <c r="Q258" s="2"/>
      <c r="R258" s="2" t="s">
        <v>37</v>
      </c>
    </row>
    <row r="259" ht="16" customHeight="1" spans="1:18">
      <c r="A259" s="2" t="s">
        <v>658</v>
      </c>
      <c r="B259" s="2" t="s">
        <v>659</v>
      </c>
      <c r="C259" s="2"/>
      <c r="D259" s="2" t="s">
        <v>20</v>
      </c>
      <c r="E259" s="2" t="s">
        <v>21</v>
      </c>
      <c r="F259" s="2"/>
      <c r="G259" s="2" t="s">
        <v>22</v>
      </c>
      <c r="H259" s="2" t="s">
        <v>23</v>
      </c>
      <c r="I259" s="2" t="s">
        <v>24</v>
      </c>
      <c r="J259" s="2" t="s">
        <v>25</v>
      </c>
      <c r="K259" s="7">
        <v>14.112</v>
      </c>
      <c r="L259" s="2" t="s">
        <v>26</v>
      </c>
      <c r="M259" s="7">
        <v>14.112</v>
      </c>
      <c r="N259" s="2" t="s">
        <v>26</v>
      </c>
      <c r="O259" s="2"/>
      <c r="P259" s="2" t="s">
        <v>660</v>
      </c>
      <c r="Q259" s="2"/>
      <c r="R259" s="2"/>
    </row>
    <row r="260" ht="16" hidden="1" customHeight="1" spans="1:18">
      <c r="A260" s="2" t="s">
        <v>661</v>
      </c>
      <c r="B260" s="2" t="s">
        <v>662</v>
      </c>
      <c r="C260" s="2" t="s">
        <v>663</v>
      </c>
      <c r="D260" s="2" t="s">
        <v>664</v>
      </c>
      <c r="E260" s="2" t="s">
        <v>21</v>
      </c>
      <c r="F260" s="2"/>
      <c r="G260" s="2" t="s">
        <v>32</v>
      </c>
      <c r="H260" s="2" t="s">
        <v>33</v>
      </c>
      <c r="I260" s="2" t="s">
        <v>85</v>
      </c>
      <c r="J260" s="2" t="s">
        <v>25</v>
      </c>
      <c r="K260" s="7">
        <v>1.5</v>
      </c>
      <c r="L260" s="2" t="s">
        <v>26</v>
      </c>
      <c r="M260" s="7">
        <v>1.5</v>
      </c>
      <c r="N260" s="2" t="s">
        <v>26</v>
      </c>
      <c r="O260" s="2" t="s">
        <v>100</v>
      </c>
      <c r="P260" s="2" t="s">
        <v>665</v>
      </c>
      <c r="Q260" s="2"/>
      <c r="R260" s="2" t="s">
        <v>37</v>
      </c>
    </row>
    <row r="261" ht="16" hidden="1" customHeight="1" spans="1:18">
      <c r="A261" s="2" t="s">
        <v>666</v>
      </c>
      <c r="B261" s="2" t="s">
        <v>662</v>
      </c>
      <c r="C261" s="2" t="s">
        <v>663</v>
      </c>
      <c r="D261" s="2" t="s">
        <v>664</v>
      </c>
      <c r="E261" s="2" t="s">
        <v>21</v>
      </c>
      <c r="F261" s="2"/>
      <c r="G261" s="2" t="s">
        <v>32</v>
      </c>
      <c r="H261" s="2" t="s">
        <v>33</v>
      </c>
      <c r="I261" s="2" t="s">
        <v>47</v>
      </c>
      <c r="J261" s="2" t="s">
        <v>25</v>
      </c>
      <c r="K261" s="7">
        <v>0.07</v>
      </c>
      <c r="L261" s="2" t="s">
        <v>26</v>
      </c>
      <c r="M261" s="7">
        <v>0.07</v>
      </c>
      <c r="N261" s="2" t="s">
        <v>26</v>
      </c>
      <c r="O261" s="2" t="s">
        <v>100</v>
      </c>
      <c r="P261" s="2" t="s">
        <v>665</v>
      </c>
      <c r="Q261" s="2"/>
      <c r="R261" s="2" t="s">
        <v>37</v>
      </c>
    </row>
    <row r="262" ht="16" hidden="1" customHeight="1" spans="1:18">
      <c r="A262" s="2" t="s">
        <v>667</v>
      </c>
      <c r="B262" s="2" t="s">
        <v>662</v>
      </c>
      <c r="C262" s="2" t="s">
        <v>663</v>
      </c>
      <c r="D262" s="2" t="s">
        <v>664</v>
      </c>
      <c r="E262" s="2" t="s">
        <v>21</v>
      </c>
      <c r="F262" s="2"/>
      <c r="G262" s="2" t="s">
        <v>32</v>
      </c>
      <c r="H262" s="2" t="s">
        <v>33</v>
      </c>
      <c r="I262" s="2" t="s">
        <v>34</v>
      </c>
      <c r="J262" s="2" t="s">
        <v>25</v>
      </c>
      <c r="K262" s="7">
        <v>0.4</v>
      </c>
      <c r="L262" s="2" t="s">
        <v>26</v>
      </c>
      <c r="M262" s="7">
        <v>0.4</v>
      </c>
      <c r="N262" s="2" t="s">
        <v>26</v>
      </c>
      <c r="O262" s="2" t="s">
        <v>100</v>
      </c>
      <c r="P262" s="2" t="s">
        <v>665</v>
      </c>
      <c r="Q262" s="2"/>
      <c r="R262" s="2" t="s">
        <v>37</v>
      </c>
    </row>
    <row r="263" ht="16" hidden="1" customHeight="1" spans="1:18">
      <c r="A263" s="2" t="s">
        <v>668</v>
      </c>
      <c r="B263" s="2" t="s">
        <v>662</v>
      </c>
      <c r="C263" s="2" t="s">
        <v>663</v>
      </c>
      <c r="D263" s="2" t="s">
        <v>664</v>
      </c>
      <c r="E263" s="2" t="s">
        <v>21</v>
      </c>
      <c r="F263" s="2"/>
      <c r="G263" s="2" t="s">
        <v>32</v>
      </c>
      <c r="H263" s="2" t="s">
        <v>33</v>
      </c>
      <c r="I263" s="2" t="s">
        <v>39</v>
      </c>
      <c r="J263" s="2" t="s">
        <v>25</v>
      </c>
      <c r="K263" s="7">
        <v>2.49</v>
      </c>
      <c r="L263" s="2" t="s">
        <v>26</v>
      </c>
      <c r="M263" s="7">
        <v>2.49</v>
      </c>
      <c r="N263" s="2" t="s">
        <v>26</v>
      </c>
      <c r="O263" s="2" t="s">
        <v>100</v>
      </c>
      <c r="P263" s="2" t="s">
        <v>665</v>
      </c>
      <c r="Q263" s="2"/>
      <c r="R263" s="2" t="s">
        <v>37</v>
      </c>
    </row>
    <row r="264" ht="16" hidden="1" customHeight="1" spans="1:18">
      <c r="A264" s="2" t="s">
        <v>669</v>
      </c>
      <c r="B264" s="2" t="s">
        <v>670</v>
      </c>
      <c r="C264" s="2" t="s">
        <v>671</v>
      </c>
      <c r="D264" s="2" t="s">
        <v>672</v>
      </c>
      <c r="E264" s="2" t="s">
        <v>21</v>
      </c>
      <c r="F264" s="2"/>
      <c r="G264" s="2" t="s">
        <v>32</v>
      </c>
      <c r="H264" s="2" t="s">
        <v>33</v>
      </c>
      <c r="I264" s="2" t="s">
        <v>47</v>
      </c>
      <c r="J264" s="2" t="s">
        <v>25</v>
      </c>
      <c r="K264" s="7">
        <v>0.07</v>
      </c>
      <c r="L264" s="2" t="s">
        <v>26</v>
      </c>
      <c r="M264" s="7">
        <v>0.07</v>
      </c>
      <c r="N264" s="2" t="s">
        <v>26</v>
      </c>
      <c r="O264" s="2" t="s">
        <v>48</v>
      </c>
      <c r="P264" s="2" t="s">
        <v>673</v>
      </c>
      <c r="Q264" s="2"/>
      <c r="R264" s="2" t="s">
        <v>37</v>
      </c>
    </row>
    <row r="265" ht="16" hidden="1" customHeight="1" spans="1:18">
      <c r="A265" s="2" t="s">
        <v>674</v>
      </c>
      <c r="B265" s="2" t="s">
        <v>670</v>
      </c>
      <c r="C265" s="2" t="s">
        <v>671</v>
      </c>
      <c r="D265" s="2" t="s">
        <v>672</v>
      </c>
      <c r="E265" s="2" t="s">
        <v>21</v>
      </c>
      <c r="F265" s="2"/>
      <c r="G265" s="2" t="s">
        <v>32</v>
      </c>
      <c r="H265" s="2" t="s">
        <v>33</v>
      </c>
      <c r="I265" s="2" t="s">
        <v>34</v>
      </c>
      <c r="J265" s="2" t="s">
        <v>25</v>
      </c>
      <c r="K265" s="7">
        <v>0.4</v>
      </c>
      <c r="L265" s="2" t="s">
        <v>26</v>
      </c>
      <c r="M265" s="7">
        <v>0.4</v>
      </c>
      <c r="N265" s="2" t="s">
        <v>26</v>
      </c>
      <c r="O265" s="2" t="s">
        <v>48</v>
      </c>
      <c r="P265" s="2" t="s">
        <v>673</v>
      </c>
      <c r="Q265" s="2"/>
      <c r="R265" s="2" t="s">
        <v>37</v>
      </c>
    </row>
    <row r="266" ht="16" hidden="1" customHeight="1" spans="1:18">
      <c r="A266" s="2" t="s">
        <v>675</v>
      </c>
      <c r="B266" s="2" t="s">
        <v>670</v>
      </c>
      <c r="C266" s="2" t="s">
        <v>671</v>
      </c>
      <c r="D266" s="2" t="s">
        <v>672</v>
      </c>
      <c r="E266" s="2" t="s">
        <v>21</v>
      </c>
      <c r="F266" s="2"/>
      <c r="G266" s="2" t="s">
        <v>32</v>
      </c>
      <c r="H266" s="2" t="s">
        <v>33</v>
      </c>
      <c r="I266" s="2" t="s">
        <v>39</v>
      </c>
      <c r="J266" s="2" t="s">
        <v>25</v>
      </c>
      <c r="K266" s="7">
        <v>2.49</v>
      </c>
      <c r="L266" s="2" t="s">
        <v>26</v>
      </c>
      <c r="M266" s="7">
        <v>2.49</v>
      </c>
      <c r="N266" s="2" t="s">
        <v>26</v>
      </c>
      <c r="O266" s="2" t="s">
        <v>48</v>
      </c>
      <c r="P266" s="2" t="s">
        <v>673</v>
      </c>
      <c r="Q266" s="2"/>
      <c r="R266" s="2" t="s">
        <v>37</v>
      </c>
    </row>
    <row r="267" ht="16" hidden="1" customHeight="1" spans="1:18">
      <c r="A267" s="2" t="s">
        <v>676</v>
      </c>
      <c r="B267" s="2" t="s">
        <v>677</v>
      </c>
      <c r="C267" s="2" t="s">
        <v>678</v>
      </c>
      <c r="D267" s="2" t="s">
        <v>679</v>
      </c>
      <c r="E267" s="2" t="s">
        <v>21</v>
      </c>
      <c r="F267" s="2"/>
      <c r="G267" s="2" t="s">
        <v>32</v>
      </c>
      <c r="H267" s="2" t="s">
        <v>33</v>
      </c>
      <c r="I267" s="2" t="s">
        <v>85</v>
      </c>
      <c r="J267" s="2" t="s">
        <v>25</v>
      </c>
      <c r="K267" s="7">
        <v>1.5</v>
      </c>
      <c r="L267" s="2" t="s">
        <v>26</v>
      </c>
      <c r="M267" s="7">
        <v>1.5</v>
      </c>
      <c r="N267" s="2" t="s">
        <v>26</v>
      </c>
      <c r="O267" s="2" t="s">
        <v>680</v>
      </c>
      <c r="P267" s="2" t="s">
        <v>681</v>
      </c>
      <c r="Q267" s="2"/>
      <c r="R267" s="2" t="s">
        <v>37</v>
      </c>
    </row>
    <row r="268" ht="16" hidden="1" customHeight="1" spans="1:18">
      <c r="A268" s="2" t="s">
        <v>682</v>
      </c>
      <c r="B268" s="2" t="s">
        <v>677</v>
      </c>
      <c r="C268" s="2" t="s">
        <v>678</v>
      </c>
      <c r="D268" s="2" t="s">
        <v>679</v>
      </c>
      <c r="E268" s="2" t="s">
        <v>21</v>
      </c>
      <c r="F268" s="2"/>
      <c r="G268" s="2" t="s">
        <v>32</v>
      </c>
      <c r="H268" s="2" t="s">
        <v>33</v>
      </c>
      <c r="I268" s="2" t="s">
        <v>89</v>
      </c>
      <c r="J268" s="2" t="s">
        <v>25</v>
      </c>
      <c r="K268" s="7">
        <v>0.6</v>
      </c>
      <c r="L268" s="2" t="s">
        <v>26</v>
      </c>
      <c r="M268" s="7">
        <v>0.6</v>
      </c>
      <c r="N268" s="2" t="s">
        <v>26</v>
      </c>
      <c r="O268" s="2" t="s">
        <v>680</v>
      </c>
      <c r="P268" s="2" t="s">
        <v>681</v>
      </c>
      <c r="Q268" s="2"/>
      <c r="R268" s="2" t="s">
        <v>37</v>
      </c>
    </row>
    <row r="269" ht="16" hidden="1" customHeight="1" spans="1:18">
      <c r="A269" s="2" t="s">
        <v>683</v>
      </c>
      <c r="B269" s="2" t="s">
        <v>677</v>
      </c>
      <c r="C269" s="2" t="s">
        <v>678</v>
      </c>
      <c r="D269" s="2" t="s">
        <v>679</v>
      </c>
      <c r="E269" s="2" t="s">
        <v>21</v>
      </c>
      <c r="F269" s="2"/>
      <c r="G269" s="2" t="s">
        <v>32</v>
      </c>
      <c r="H269" s="2" t="s">
        <v>33</v>
      </c>
      <c r="I269" s="2" t="s">
        <v>47</v>
      </c>
      <c r="J269" s="2" t="s">
        <v>25</v>
      </c>
      <c r="K269" s="7">
        <v>0.14</v>
      </c>
      <c r="L269" s="2" t="s">
        <v>26</v>
      </c>
      <c r="M269" s="7">
        <v>0.14</v>
      </c>
      <c r="N269" s="2" t="s">
        <v>26</v>
      </c>
      <c r="O269" s="2" t="s">
        <v>680</v>
      </c>
      <c r="P269" s="2" t="s">
        <v>681</v>
      </c>
      <c r="Q269" s="2"/>
      <c r="R269" s="2" t="s">
        <v>37</v>
      </c>
    </row>
    <row r="270" ht="16" hidden="1" customHeight="1" spans="1:18">
      <c r="A270" s="2" t="s">
        <v>684</v>
      </c>
      <c r="B270" s="2" t="s">
        <v>677</v>
      </c>
      <c r="C270" s="2" t="s">
        <v>678</v>
      </c>
      <c r="D270" s="2" t="s">
        <v>679</v>
      </c>
      <c r="E270" s="2" t="s">
        <v>21</v>
      </c>
      <c r="F270" s="2"/>
      <c r="G270" s="2" t="s">
        <v>32</v>
      </c>
      <c r="H270" s="2" t="s">
        <v>33</v>
      </c>
      <c r="I270" s="2" t="s">
        <v>34</v>
      </c>
      <c r="J270" s="2" t="s">
        <v>25</v>
      </c>
      <c r="K270" s="7">
        <v>0.4</v>
      </c>
      <c r="L270" s="2" t="s">
        <v>26</v>
      </c>
      <c r="M270" s="7">
        <v>0.4</v>
      </c>
      <c r="N270" s="2" t="s">
        <v>26</v>
      </c>
      <c r="O270" s="2" t="s">
        <v>680</v>
      </c>
      <c r="P270" s="2" t="s">
        <v>681</v>
      </c>
      <c r="Q270" s="2"/>
      <c r="R270" s="2" t="s">
        <v>37</v>
      </c>
    </row>
    <row r="271" ht="16" hidden="1" customHeight="1" spans="1:18">
      <c r="A271" s="2" t="s">
        <v>685</v>
      </c>
      <c r="B271" s="2" t="s">
        <v>677</v>
      </c>
      <c r="C271" s="2" t="s">
        <v>678</v>
      </c>
      <c r="D271" s="2" t="s">
        <v>679</v>
      </c>
      <c r="E271" s="2" t="s">
        <v>21</v>
      </c>
      <c r="F271" s="2"/>
      <c r="G271" s="2" t="s">
        <v>32</v>
      </c>
      <c r="H271" s="2" t="s">
        <v>33</v>
      </c>
      <c r="I271" s="2" t="s">
        <v>39</v>
      </c>
      <c r="J271" s="2" t="s">
        <v>25</v>
      </c>
      <c r="K271" s="7">
        <v>2.86</v>
      </c>
      <c r="L271" s="2" t="s">
        <v>26</v>
      </c>
      <c r="M271" s="7">
        <v>2.86</v>
      </c>
      <c r="N271" s="2" t="s">
        <v>26</v>
      </c>
      <c r="O271" s="2" t="s">
        <v>680</v>
      </c>
      <c r="P271" s="2" t="s">
        <v>681</v>
      </c>
      <c r="Q271" s="2"/>
      <c r="R271" s="2" t="s">
        <v>37</v>
      </c>
    </row>
    <row r="272" ht="16" customHeight="1" spans="1:18">
      <c r="A272" s="2" t="s">
        <v>686</v>
      </c>
      <c r="B272" s="2" t="s">
        <v>687</v>
      </c>
      <c r="C272" s="2"/>
      <c r="D272" s="2" t="s">
        <v>20</v>
      </c>
      <c r="E272" s="2" t="s">
        <v>21</v>
      </c>
      <c r="F272" s="2"/>
      <c r="G272" s="2" t="s">
        <v>22</v>
      </c>
      <c r="H272" s="2" t="s">
        <v>23</v>
      </c>
      <c r="I272" s="2" t="s">
        <v>24</v>
      </c>
      <c r="J272" s="2" t="s">
        <v>25</v>
      </c>
      <c r="K272" s="7">
        <v>14.128</v>
      </c>
      <c r="L272" s="2" t="s">
        <v>26</v>
      </c>
      <c r="M272" s="7">
        <v>14.128</v>
      </c>
      <c r="N272" s="2" t="s">
        <v>26</v>
      </c>
      <c r="O272" s="2"/>
      <c r="P272" s="2" t="s">
        <v>688</v>
      </c>
      <c r="Q272" s="2"/>
      <c r="R272" s="2"/>
    </row>
    <row r="273" ht="16" hidden="1" customHeight="1" spans="1:18">
      <c r="A273" s="2" t="s">
        <v>689</v>
      </c>
      <c r="B273" s="2" t="s">
        <v>690</v>
      </c>
      <c r="C273" s="2" t="s">
        <v>691</v>
      </c>
      <c r="D273" s="2" t="s">
        <v>692</v>
      </c>
      <c r="E273" s="2" t="s">
        <v>21</v>
      </c>
      <c r="F273" s="2"/>
      <c r="G273" s="2" t="s">
        <v>32</v>
      </c>
      <c r="H273" s="2" t="s">
        <v>33</v>
      </c>
      <c r="I273" s="2" t="s">
        <v>85</v>
      </c>
      <c r="J273" s="2" t="s">
        <v>25</v>
      </c>
      <c r="K273" s="7">
        <v>1.5</v>
      </c>
      <c r="L273" s="2" t="s">
        <v>26</v>
      </c>
      <c r="M273" s="7">
        <v>1.5</v>
      </c>
      <c r="N273" s="2" t="s">
        <v>26</v>
      </c>
      <c r="O273" s="2" t="s">
        <v>100</v>
      </c>
      <c r="P273" s="2" t="s">
        <v>693</v>
      </c>
      <c r="Q273" s="2"/>
      <c r="R273" s="2" t="s">
        <v>37</v>
      </c>
    </row>
    <row r="274" ht="16" hidden="1" customHeight="1" spans="1:18">
      <c r="A274" s="2" t="s">
        <v>694</v>
      </c>
      <c r="B274" s="2" t="s">
        <v>690</v>
      </c>
      <c r="C274" s="2" t="s">
        <v>691</v>
      </c>
      <c r="D274" s="2" t="s">
        <v>692</v>
      </c>
      <c r="E274" s="2" t="s">
        <v>21</v>
      </c>
      <c r="F274" s="2"/>
      <c r="G274" s="2" t="s">
        <v>32</v>
      </c>
      <c r="H274" s="2" t="s">
        <v>33</v>
      </c>
      <c r="I274" s="2" t="s">
        <v>47</v>
      </c>
      <c r="J274" s="2" t="s">
        <v>25</v>
      </c>
      <c r="K274" s="7">
        <v>0.07</v>
      </c>
      <c r="L274" s="2" t="s">
        <v>26</v>
      </c>
      <c r="M274" s="7">
        <v>0.07</v>
      </c>
      <c r="N274" s="2" t="s">
        <v>26</v>
      </c>
      <c r="O274" s="2" t="s">
        <v>100</v>
      </c>
      <c r="P274" s="2" t="s">
        <v>693</v>
      </c>
      <c r="Q274" s="2"/>
      <c r="R274" s="2" t="s">
        <v>37</v>
      </c>
    </row>
    <row r="275" ht="16" hidden="1" customHeight="1" spans="1:18">
      <c r="A275" s="2" t="s">
        <v>695</v>
      </c>
      <c r="B275" s="2" t="s">
        <v>690</v>
      </c>
      <c r="C275" s="2" t="s">
        <v>691</v>
      </c>
      <c r="D275" s="2" t="s">
        <v>692</v>
      </c>
      <c r="E275" s="2" t="s">
        <v>21</v>
      </c>
      <c r="F275" s="2"/>
      <c r="G275" s="2" t="s">
        <v>32</v>
      </c>
      <c r="H275" s="2" t="s">
        <v>33</v>
      </c>
      <c r="I275" s="2" t="s">
        <v>34</v>
      </c>
      <c r="J275" s="2" t="s">
        <v>25</v>
      </c>
      <c r="K275" s="7">
        <v>0.4</v>
      </c>
      <c r="L275" s="2" t="s">
        <v>26</v>
      </c>
      <c r="M275" s="7">
        <v>0.4</v>
      </c>
      <c r="N275" s="2" t="s">
        <v>26</v>
      </c>
      <c r="O275" s="2" t="s">
        <v>100</v>
      </c>
      <c r="P275" s="2" t="s">
        <v>693</v>
      </c>
      <c r="Q275" s="2"/>
      <c r="R275" s="2" t="s">
        <v>37</v>
      </c>
    </row>
    <row r="276" ht="16" hidden="1" customHeight="1" spans="1:18">
      <c r="A276" s="2" t="s">
        <v>696</v>
      </c>
      <c r="B276" s="2" t="s">
        <v>690</v>
      </c>
      <c r="C276" s="2" t="s">
        <v>691</v>
      </c>
      <c r="D276" s="2" t="s">
        <v>692</v>
      </c>
      <c r="E276" s="2" t="s">
        <v>21</v>
      </c>
      <c r="F276" s="2"/>
      <c r="G276" s="2" t="s">
        <v>32</v>
      </c>
      <c r="H276" s="2" t="s">
        <v>33</v>
      </c>
      <c r="I276" s="2" t="s">
        <v>39</v>
      </c>
      <c r="J276" s="2" t="s">
        <v>25</v>
      </c>
      <c r="K276" s="7">
        <v>2.49</v>
      </c>
      <c r="L276" s="2" t="s">
        <v>26</v>
      </c>
      <c r="M276" s="7">
        <v>2.49</v>
      </c>
      <c r="N276" s="2" t="s">
        <v>26</v>
      </c>
      <c r="O276" s="2" t="s">
        <v>100</v>
      </c>
      <c r="P276" s="2" t="s">
        <v>693</v>
      </c>
      <c r="Q276" s="2"/>
      <c r="R276" s="2" t="s">
        <v>37</v>
      </c>
    </row>
    <row r="277" ht="16" hidden="1" customHeight="1" spans="1:18">
      <c r="A277" s="2" t="s">
        <v>697</v>
      </c>
      <c r="B277" s="2" t="s">
        <v>698</v>
      </c>
      <c r="C277" s="2" t="s">
        <v>699</v>
      </c>
      <c r="D277" s="2" t="s">
        <v>700</v>
      </c>
      <c r="E277" s="2" t="s">
        <v>21</v>
      </c>
      <c r="F277" s="2"/>
      <c r="G277" s="2" t="s">
        <v>32</v>
      </c>
      <c r="H277" s="2" t="s">
        <v>33</v>
      </c>
      <c r="I277" s="2" t="s">
        <v>85</v>
      </c>
      <c r="J277" s="2" t="s">
        <v>25</v>
      </c>
      <c r="K277" s="7">
        <v>1.5</v>
      </c>
      <c r="L277" s="2" t="s">
        <v>26</v>
      </c>
      <c r="M277" s="7">
        <v>1.5</v>
      </c>
      <c r="N277" s="2" t="s">
        <v>26</v>
      </c>
      <c r="O277" s="2" t="s">
        <v>100</v>
      </c>
      <c r="P277" s="2" t="s">
        <v>701</v>
      </c>
      <c r="Q277" s="2"/>
      <c r="R277" s="2" t="s">
        <v>37</v>
      </c>
    </row>
    <row r="278" ht="16" hidden="1" customHeight="1" spans="1:18">
      <c r="A278" s="2" t="s">
        <v>702</v>
      </c>
      <c r="B278" s="2" t="s">
        <v>698</v>
      </c>
      <c r="C278" s="2" t="s">
        <v>699</v>
      </c>
      <c r="D278" s="2" t="s">
        <v>700</v>
      </c>
      <c r="E278" s="2" t="s">
        <v>21</v>
      </c>
      <c r="F278" s="2"/>
      <c r="G278" s="2" t="s">
        <v>32</v>
      </c>
      <c r="H278" s="2" t="s">
        <v>33</v>
      </c>
      <c r="I278" s="2" t="s">
        <v>47</v>
      </c>
      <c r="J278" s="2" t="s">
        <v>25</v>
      </c>
      <c r="K278" s="7">
        <v>0.07</v>
      </c>
      <c r="L278" s="2" t="s">
        <v>26</v>
      </c>
      <c r="M278" s="7">
        <v>0.07</v>
      </c>
      <c r="N278" s="2" t="s">
        <v>26</v>
      </c>
      <c r="O278" s="2" t="s">
        <v>100</v>
      </c>
      <c r="P278" s="2" t="s">
        <v>701</v>
      </c>
      <c r="Q278" s="2"/>
      <c r="R278" s="2" t="s">
        <v>37</v>
      </c>
    </row>
    <row r="279" ht="16" hidden="1" customHeight="1" spans="1:18">
      <c r="A279" s="2" t="s">
        <v>703</v>
      </c>
      <c r="B279" s="2" t="s">
        <v>698</v>
      </c>
      <c r="C279" s="2" t="s">
        <v>699</v>
      </c>
      <c r="D279" s="2" t="s">
        <v>700</v>
      </c>
      <c r="E279" s="2" t="s">
        <v>21</v>
      </c>
      <c r="F279" s="2"/>
      <c r="G279" s="2" t="s">
        <v>32</v>
      </c>
      <c r="H279" s="2" t="s">
        <v>33</v>
      </c>
      <c r="I279" s="2" t="s">
        <v>34</v>
      </c>
      <c r="J279" s="2" t="s">
        <v>25</v>
      </c>
      <c r="K279" s="7">
        <v>0.4</v>
      </c>
      <c r="L279" s="2" t="s">
        <v>26</v>
      </c>
      <c r="M279" s="7">
        <v>0.4</v>
      </c>
      <c r="N279" s="2" t="s">
        <v>26</v>
      </c>
      <c r="O279" s="2" t="s">
        <v>100</v>
      </c>
      <c r="P279" s="2" t="s">
        <v>701</v>
      </c>
      <c r="Q279" s="2"/>
      <c r="R279" s="2" t="s">
        <v>37</v>
      </c>
    </row>
    <row r="280" ht="16" hidden="1" customHeight="1" spans="1:18">
      <c r="A280" s="2" t="s">
        <v>704</v>
      </c>
      <c r="B280" s="2" t="s">
        <v>698</v>
      </c>
      <c r="C280" s="2" t="s">
        <v>699</v>
      </c>
      <c r="D280" s="2" t="s">
        <v>700</v>
      </c>
      <c r="E280" s="2" t="s">
        <v>21</v>
      </c>
      <c r="F280" s="2"/>
      <c r="G280" s="2" t="s">
        <v>32</v>
      </c>
      <c r="H280" s="2" t="s">
        <v>33</v>
      </c>
      <c r="I280" s="2" t="s">
        <v>39</v>
      </c>
      <c r="J280" s="2" t="s">
        <v>25</v>
      </c>
      <c r="K280" s="7">
        <v>2.49</v>
      </c>
      <c r="L280" s="2" t="s">
        <v>26</v>
      </c>
      <c r="M280" s="7">
        <v>2.49</v>
      </c>
      <c r="N280" s="2" t="s">
        <v>26</v>
      </c>
      <c r="O280" s="2" t="s">
        <v>100</v>
      </c>
      <c r="P280" s="2" t="s">
        <v>701</v>
      </c>
      <c r="Q280" s="2"/>
      <c r="R280" s="2" t="s">
        <v>37</v>
      </c>
    </row>
    <row r="281" ht="16" hidden="1" customHeight="1" spans="1:18">
      <c r="A281" s="2" t="s">
        <v>705</v>
      </c>
      <c r="B281" s="2" t="s">
        <v>706</v>
      </c>
      <c r="C281" s="2" t="s">
        <v>707</v>
      </c>
      <c r="D281" s="2" t="s">
        <v>708</v>
      </c>
      <c r="E281" s="2" t="s">
        <v>21</v>
      </c>
      <c r="F281" s="2"/>
      <c r="G281" s="2" t="s">
        <v>32</v>
      </c>
      <c r="H281" s="2" t="s">
        <v>33</v>
      </c>
      <c r="I281" s="2" t="s">
        <v>34</v>
      </c>
      <c r="J281" s="2" t="s">
        <v>25</v>
      </c>
      <c r="K281" s="7">
        <v>0.4</v>
      </c>
      <c r="L281" s="2" t="s">
        <v>26</v>
      </c>
      <c r="M281" s="7">
        <v>0.4</v>
      </c>
      <c r="N281" s="2" t="s">
        <v>26</v>
      </c>
      <c r="O281" s="2" t="s">
        <v>192</v>
      </c>
      <c r="P281" s="2" t="s">
        <v>709</v>
      </c>
      <c r="Q281" s="2"/>
      <c r="R281" s="2" t="s">
        <v>37</v>
      </c>
    </row>
    <row r="282" ht="16" hidden="1" customHeight="1" spans="1:18">
      <c r="A282" s="2" t="s">
        <v>710</v>
      </c>
      <c r="B282" s="2" t="s">
        <v>706</v>
      </c>
      <c r="C282" s="2" t="s">
        <v>707</v>
      </c>
      <c r="D282" s="2" t="s">
        <v>708</v>
      </c>
      <c r="E282" s="2" t="s">
        <v>21</v>
      </c>
      <c r="F282" s="2"/>
      <c r="G282" s="2" t="s">
        <v>32</v>
      </c>
      <c r="H282" s="2" t="s">
        <v>33</v>
      </c>
      <c r="I282" s="2" t="s">
        <v>39</v>
      </c>
      <c r="J282" s="2" t="s">
        <v>25</v>
      </c>
      <c r="K282" s="7">
        <v>2.49</v>
      </c>
      <c r="L282" s="2" t="s">
        <v>26</v>
      </c>
      <c r="M282" s="7">
        <v>2.49</v>
      </c>
      <c r="N282" s="2" t="s">
        <v>26</v>
      </c>
      <c r="O282" s="2" t="s">
        <v>192</v>
      </c>
      <c r="P282" s="2" t="s">
        <v>709</v>
      </c>
      <c r="Q282" s="2"/>
      <c r="R282" s="2" t="s">
        <v>37</v>
      </c>
    </row>
    <row r="283" ht="16" hidden="1" customHeight="1" spans="1:18">
      <c r="A283" s="2" t="s">
        <v>711</v>
      </c>
      <c r="B283" s="2" t="s">
        <v>712</v>
      </c>
      <c r="C283" s="2" t="s">
        <v>713</v>
      </c>
      <c r="D283" s="2" t="s">
        <v>714</v>
      </c>
      <c r="E283" s="2" t="s">
        <v>21</v>
      </c>
      <c r="F283" s="2"/>
      <c r="G283" s="2" t="s">
        <v>32</v>
      </c>
      <c r="H283" s="2" t="s">
        <v>33</v>
      </c>
      <c r="I283" s="2" t="s">
        <v>34</v>
      </c>
      <c r="J283" s="2" t="s">
        <v>25</v>
      </c>
      <c r="K283" s="7">
        <v>0.4</v>
      </c>
      <c r="L283" s="2" t="s">
        <v>26</v>
      </c>
      <c r="M283" s="7">
        <v>0.4</v>
      </c>
      <c r="N283" s="2" t="s">
        <v>26</v>
      </c>
      <c r="O283" s="2" t="s">
        <v>192</v>
      </c>
      <c r="P283" s="2" t="s">
        <v>715</v>
      </c>
      <c r="Q283" s="2"/>
      <c r="R283" s="2" t="s">
        <v>37</v>
      </c>
    </row>
    <row r="284" ht="16" hidden="1" customHeight="1" spans="1:18">
      <c r="A284" s="2" t="s">
        <v>716</v>
      </c>
      <c r="B284" s="2" t="s">
        <v>712</v>
      </c>
      <c r="C284" s="2" t="s">
        <v>713</v>
      </c>
      <c r="D284" s="2" t="s">
        <v>714</v>
      </c>
      <c r="E284" s="2" t="s">
        <v>21</v>
      </c>
      <c r="F284" s="2"/>
      <c r="G284" s="2" t="s">
        <v>32</v>
      </c>
      <c r="H284" s="2" t="s">
        <v>33</v>
      </c>
      <c r="I284" s="2" t="s">
        <v>39</v>
      </c>
      <c r="J284" s="2" t="s">
        <v>25</v>
      </c>
      <c r="K284" s="7">
        <v>2.49</v>
      </c>
      <c r="L284" s="2" t="s">
        <v>26</v>
      </c>
      <c r="M284" s="7">
        <v>2.49</v>
      </c>
      <c r="N284" s="2" t="s">
        <v>26</v>
      </c>
      <c r="O284" s="2" t="s">
        <v>192</v>
      </c>
      <c r="P284" s="2" t="s">
        <v>715</v>
      </c>
      <c r="Q284" s="2"/>
      <c r="R284" s="2" t="s">
        <v>37</v>
      </c>
    </row>
    <row r="285" ht="16" customHeight="1" spans="1:18">
      <c r="A285" s="2" t="s">
        <v>717</v>
      </c>
      <c r="B285" s="2" t="s">
        <v>718</v>
      </c>
      <c r="C285" s="2"/>
      <c r="D285" s="2" t="s">
        <v>20</v>
      </c>
      <c r="E285" s="2" t="s">
        <v>21</v>
      </c>
      <c r="F285" s="2"/>
      <c r="G285" s="2" t="s">
        <v>22</v>
      </c>
      <c r="H285" s="2" t="s">
        <v>23</v>
      </c>
      <c r="I285" s="2" t="s">
        <v>24</v>
      </c>
      <c r="J285" s="2" t="s">
        <v>25</v>
      </c>
      <c r="K285" s="7">
        <v>14.14</v>
      </c>
      <c r="L285" s="2" t="s">
        <v>26</v>
      </c>
      <c r="M285" s="7">
        <v>14.14</v>
      </c>
      <c r="N285" s="2" t="s">
        <v>26</v>
      </c>
      <c r="O285" s="2"/>
      <c r="P285" s="2" t="s">
        <v>719</v>
      </c>
      <c r="Q285" s="2"/>
      <c r="R285" s="2"/>
    </row>
    <row r="286" ht="16" hidden="1" customHeight="1" spans="1:18">
      <c r="A286" s="2" t="s">
        <v>720</v>
      </c>
      <c r="B286" s="2" t="s">
        <v>721</v>
      </c>
      <c r="C286" s="2" t="s">
        <v>722</v>
      </c>
      <c r="D286" s="2" t="s">
        <v>723</v>
      </c>
      <c r="E286" s="2" t="s">
        <v>21</v>
      </c>
      <c r="F286" s="2"/>
      <c r="G286" s="2" t="s">
        <v>32</v>
      </c>
      <c r="H286" s="2" t="s">
        <v>724</v>
      </c>
      <c r="I286" s="2" t="s">
        <v>47</v>
      </c>
      <c r="J286" s="2" t="s">
        <v>25</v>
      </c>
      <c r="K286" s="7">
        <v>1.26</v>
      </c>
      <c r="L286" s="2" t="s">
        <v>26</v>
      </c>
      <c r="M286" s="7">
        <v>1.26</v>
      </c>
      <c r="N286" s="2" t="s">
        <v>26</v>
      </c>
      <c r="O286" s="2" t="s">
        <v>725</v>
      </c>
      <c r="P286" s="2" t="s">
        <v>726</v>
      </c>
      <c r="Q286" s="2"/>
      <c r="R286" s="2" t="s">
        <v>37</v>
      </c>
    </row>
    <row r="287" ht="16" hidden="1" customHeight="1" spans="1:18">
      <c r="A287" s="2" t="s">
        <v>727</v>
      </c>
      <c r="B287" s="2" t="s">
        <v>721</v>
      </c>
      <c r="C287" s="2" t="s">
        <v>722</v>
      </c>
      <c r="D287" s="2" t="s">
        <v>723</v>
      </c>
      <c r="E287" s="2" t="s">
        <v>21</v>
      </c>
      <c r="F287" s="2"/>
      <c r="G287" s="2" t="s">
        <v>32</v>
      </c>
      <c r="H287" s="2" t="s">
        <v>724</v>
      </c>
      <c r="I287" s="2" t="s">
        <v>34</v>
      </c>
      <c r="J287" s="2" t="s">
        <v>25</v>
      </c>
      <c r="K287" s="7">
        <v>0.4</v>
      </c>
      <c r="L287" s="2" t="s">
        <v>26</v>
      </c>
      <c r="M287" s="7">
        <v>0.4</v>
      </c>
      <c r="N287" s="2" t="s">
        <v>26</v>
      </c>
      <c r="O287" s="2" t="s">
        <v>725</v>
      </c>
      <c r="P287" s="2" t="s">
        <v>726</v>
      </c>
      <c r="Q287" s="2"/>
      <c r="R287" s="2" t="s">
        <v>37</v>
      </c>
    </row>
    <row r="288" ht="16" hidden="1" customHeight="1" spans="1:18">
      <c r="A288" s="2" t="s">
        <v>728</v>
      </c>
      <c r="B288" s="2" t="s">
        <v>721</v>
      </c>
      <c r="C288" s="2" t="s">
        <v>722</v>
      </c>
      <c r="D288" s="2" t="s">
        <v>723</v>
      </c>
      <c r="E288" s="2" t="s">
        <v>21</v>
      </c>
      <c r="F288" s="2"/>
      <c r="G288" s="2" t="s">
        <v>32</v>
      </c>
      <c r="H288" s="2" t="s">
        <v>724</v>
      </c>
      <c r="I288" s="2" t="s">
        <v>39</v>
      </c>
      <c r="J288" s="2" t="s">
        <v>25</v>
      </c>
      <c r="K288" s="7">
        <v>5.55</v>
      </c>
      <c r="L288" s="2" t="s">
        <v>26</v>
      </c>
      <c r="M288" s="7">
        <v>5.55</v>
      </c>
      <c r="N288" s="2" t="s">
        <v>26</v>
      </c>
      <c r="O288" s="2" t="s">
        <v>725</v>
      </c>
      <c r="P288" s="2" t="s">
        <v>726</v>
      </c>
      <c r="Q288" s="2"/>
      <c r="R288" s="2" t="s">
        <v>37</v>
      </c>
    </row>
    <row r="289" ht="16" hidden="1" customHeight="1" spans="1:18">
      <c r="A289" s="2" t="s">
        <v>729</v>
      </c>
      <c r="B289" s="2" t="s">
        <v>730</v>
      </c>
      <c r="C289" s="2" t="s">
        <v>731</v>
      </c>
      <c r="D289" s="2" t="s">
        <v>732</v>
      </c>
      <c r="E289" s="2" t="s">
        <v>21</v>
      </c>
      <c r="F289" s="2"/>
      <c r="G289" s="2" t="s">
        <v>32</v>
      </c>
      <c r="H289" s="2" t="s">
        <v>33</v>
      </c>
      <c r="I289" s="2" t="s">
        <v>85</v>
      </c>
      <c r="J289" s="2" t="s">
        <v>25</v>
      </c>
      <c r="K289" s="7">
        <v>0.8</v>
      </c>
      <c r="L289" s="2" t="s">
        <v>26</v>
      </c>
      <c r="M289" s="7">
        <v>0.8</v>
      </c>
      <c r="N289" s="2" t="s">
        <v>26</v>
      </c>
      <c r="O289" s="2" t="s">
        <v>56</v>
      </c>
      <c r="P289" s="2" t="s">
        <v>733</v>
      </c>
      <c r="Q289" s="2"/>
      <c r="R289" s="2" t="s">
        <v>37</v>
      </c>
    </row>
    <row r="290" ht="16" hidden="1" customHeight="1" spans="1:18">
      <c r="A290" s="2" t="s">
        <v>734</v>
      </c>
      <c r="B290" s="2" t="s">
        <v>730</v>
      </c>
      <c r="C290" s="2" t="s">
        <v>731</v>
      </c>
      <c r="D290" s="2" t="s">
        <v>732</v>
      </c>
      <c r="E290" s="2" t="s">
        <v>21</v>
      </c>
      <c r="F290" s="2"/>
      <c r="G290" s="2" t="s">
        <v>32</v>
      </c>
      <c r="H290" s="2" t="s">
        <v>33</v>
      </c>
      <c r="I290" s="2" t="s">
        <v>47</v>
      </c>
      <c r="J290" s="2" t="s">
        <v>25</v>
      </c>
      <c r="K290" s="7">
        <v>0.07</v>
      </c>
      <c r="L290" s="2" t="s">
        <v>26</v>
      </c>
      <c r="M290" s="7">
        <v>0.07</v>
      </c>
      <c r="N290" s="2" t="s">
        <v>26</v>
      </c>
      <c r="O290" s="2" t="s">
        <v>56</v>
      </c>
      <c r="P290" s="2" t="s">
        <v>733</v>
      </c>
      <c r="Q290" s="2"/>
      <c r="R290" s="2" t="s">
        <v>37</v>
      </c>
    </row>
    <row r="291" ht="16" hidden="1" customHeight="1" spans="1:18">
      <c r="A291" s="2" t="s">
        <v>735</v>
      </c>
      <c r="B291" s="2" t="s">
        <v>730</v>
      </c>
      <c r="C291" s="2" t="s">
        <v>731</v>
      </c>
      <c r="D291" s="2" t="s">
        <v>732</v>
      </c>
      <c r="E291" s="2" t="s">
        <v>21</v>
      </c>
      <c r="F291" s="2"/>
      <c r="G291" s="2" t="s">
        <v>32</v>
      </c>
      <c r="H291" s="2" t="s">
        <v>33</v>
      </c>
      <c r="I291" s="2" t="s">
        <v>34</v>
      </c>
      <c r="J291" s="2" t="s">
        <v>25</v>
      </c>
      <c r="K291" s="7">
        <v>0.4</v>
      </c>
      <c r="L291" s="2" t="s">
        <v>26</v>
      </c>
      <c r="M291" s="7">
        <v>0.4</v>
      </c>
      <c r="N291" s="2" t="s">
        <v>26</v>
      </c>
      <c r="O291" s="2" t="s">
        <v>56</v>
      </c>
      <c r="P291" s="2" t="s">
        <v>733</v>
      </c>
      <c r="Q291" s="2"/>
      <c r="R291" s="2" t="s">
        <v>37</v>
      </c>
    </row>
    <row r="292" ht="16" hidden="1" customHeight="1" spans="1:18">
      <c r="A292" s="2" t="s">
        <v>736</v>
      </c>
      <c r="B292" s="2" t="s">
        <v>730</v>
      </c>
      <c r="C292" s="2" t="s">
        <v>731</v>
      </c>
      <c r="D292" s="2" t="s">
        <v>732</v>
      </c>
      <c r="E292" s="2" t="s">
        <v>21</v>
      </c>
      <c r="F292" s="2"/>
      <c r="G292" s="2" t="s">
        <v>32</v>
      </c>
      <c r="H292" s="2" t="s">
        <v>33</v>
      </c>
      <c r="I292" s="2" t="s">
        <v>39</v>
      </c>
      <c r="J292" s="2" t="s">
        <v>25</v>
      </c>
      <c r="K292" s="7">
        <v>2.49</v>
      </c>
      <c r="L292" s="2" t="s">
        <v>26</v>
      </c>
      <c r="M292" s="7">
        <v>2.49</v>
      </c>
      <c r="N292" s="2" t="s">
        <v>26</v>
      </c>
      <c r="O292" s="2" t="s">
        <v>56</v>
      </c>
      <c r="P292" s="2" t="s">
        <v>733</v>
      </c>
      <c r="Q292" s="2"/>
      <c r="R292" s="2" t="s">
        <v>37</v>
      </c>
    </row>
    <row r="293" ht="16" hidden="1" customHeight="1" spans="1:18">
      <c r="A293" s="2" t="s">
        <v>737</v>
      </c>
      <c r="B293" s="2" t="s">
        <v>738</v>
      </c>
      <c r="C293" s="2" t="s">
        <v>739</v>
      </c>
      <c r="D293" s="2" t="s">
        <v>740</v>
      </c>
      <c r="E293" s="2" t="s">
        <v>21</v>
      </c>
      <c r="F293" s="2"/>
      <c r="G293" s="2" t="s">
        <v>32</v>
      </c>
      <c r="H293" s="2" t="s">
        <v>33</v>
      </c>
      <c r="I293" s="2" t="s">
        <v>85</v>
      </c>
      <c r="J293" s="2" t="s">
        <v>25</v>
      </c>
      <c r="K293" s="7">
        <v>0.8</v>
      </c>
      <c r="L293" s="2" t="s">
        <v>26</v>
      </c>
      <c r="M293" s="7">
        <v>0.8</v>
      </c>
      <c r="N293" s="2" t="s">
        <v>26</v>
      </c>
      <c r="O293" s="2" t="s">
        <v>56</v>
      </c>
      <c r="P293" s="2" t="s">
        <v>741</v>
      </c>
      <c r="Q293" s="2"/>
      <c r="R293" s="2" t="s">
        <v>37</v>
      </c>
    </row>
    <row r="294" ht="16" hidden="1" customHeight="1" spans="1:18">
      <c r="A294" s="2" t="s">
        <v>742</v>
      </c>
      <c r="B294" s="2" t="s">
        <v>738</v>
      </c>
      <c r="C294" s="2" t="s">
        <v>739</v>
      </c>
      <c r="D294" s="2" t="s">
        <v>740</v>
      </c>
      <c r="E294" s="2" t="s">
        <v>21</v>
      </c>
      <c r="F294" s="2"/>
      <c r="G294" s="2" t="s">
        <v>32</v>
      </c>
      <c r="H294" s="2" t="s">
        <v>33</v>
      </c>
      <c r="I294" s="2" t="s">
        <v>47</v>
      </c>
      <c r="J294" s="2" t="s">
        <v>25</v>
      </c>
      <c r="K294" s="7">
        <v>0.07</v>
      </c>
      <c r="L294" s="2" t="s">
        <v>26</v>
      </c>
      <c r="M294" s="7">
        <v>0.07</v>
      </c>
      <c r="N294" s="2" t="s">
        <v>26</v>
      </c>
      <c r="O294" s="2" t="s">
        <v>56</v>
      </c>
      <c r="P294" s="2" t="s">
        <v>741</v>
      </c>
      <c r="Q294" s="2"/>
      <c r="R294" s="2" t="s">
        <v>37</v>
      </c>
    </row>
    <row r="295" ht="16" hidden="1" customHeight="1" spans="1:18">
      <c r="A295" s="2" t="s">
        <v>743</v>
      </c>
      <c r="B295" s="2" t="s">
        <v>738</v>
      </c>
      <c r="C295" s="2" t="s">
        <v>739</v>
      </c>
      <c r="D295" s="2" t="s">
        <v>740</v>
      </c>
      <c r="E295" s="2" t="s">
        <v>21</v>
      </c>
      <c r="F295" s="2"/>
      <c r="G295" s="2" t="s">
        <v>32</v>
      </c>
      <c r="H295" s="2" t="s">
        <v>33</v>
      </c>
      <c r="I295" s="2" t="s">
        <v>34</v>
      </c>
      <c r="J295" s="2" t="s">
        <v>25</v>
      </c>
      <c r="K295" s="7">
        <v>0.4</v>
      </c>
      <c r="L295" s="2" t="s">
        <v>26</v>
      </c>
      <c r="M295" s="7">
        <v>0.4</v>
      </c>
      <c r="N295" s="2" t="s">
        <v>26</v>
      </c>
      <c r="O295" s="2" t="s">
        <v>56</v>
      </c>
      <c r="P295" s="2" t="s">
        <v>741</v>
      </c>
      <c r="Q295" s="2"/>
      <c r="R295" s="2" t="s">
        <v>37</v>
      </c>
    </row>
    <row r="296" ht="16" hidden="1" customHeight="1" spans="1:18">
      <c r="A296" s="2" t="s">
        <v>744</v>
      </c>
      <c r="B296" s="2" t="s">
        <v>738</v>
      </c>
      <c r="C296" s="2" t="s">
        <v>739</v>
      </c>
      <c r="D296" s="2" t="s">
        <v>740</v>
      </c>
      <c r="E296" s="2" t="s">
        <v>21</v>
      </c>
      <c r="F296" s="2"/>
      <c r="G296" s="2" t="s">
        <v>32</v>
      </c>
      <c r="H296" s="2" t="s">
        <v>33</v>
      </c>
      <c r="I296" s="2" t="s">
        <v>39</v>
      </c>
      <c r="J296" s="2" t="s">
        <v>25</v>
      </c>
      <c r="K296" s="7">
        <v>2.49</v>
      </c>
      <c r="L296" s="2" t="s">
        <v>26</v>
      </c>
      <c r="M296" s="7">
        <v>2.49</v>
      </c>
      <c r="N296" s="2" t="s">
        <v>26</v>
      </c>
      <c r="O296" s="2" t="s">
        <v>56</v>
      </c>
      <c r="P296" s="2" t="s">
        <v>741</v>
      </c>
      <c r="Q296" s="2"/>
      <c r="R296" s="2" t="s">
        <v>37</v>
      </c>
    </row>
    <row r="297" ht="16" hidden="1" customHeight="1" spans="1:18">
      <c r="A297" s="2" t="s">
        <v>745</v>
      </c>
      <c r="B297" s="2" t="s">
        <v>746</v>
      </c>
      <c r="C297" s="2" t="s">
        <v>747</v>
      </c>
      <c r="D297" s="2" t="s">
        <v>748</v>
      </c>
      <c r="E297" s="2" t="s">
        <v>21</v>
      </c>
      <c r="F297" s="2"/>
      <c r="G297" s="2" t="s">
        <v>32</v>
      </c>
      <c r="H297" s="2" t="s">
        <v>33</v>
      </c>
      <c r="I297" s="2" t="s">
        <v>85</v>
      </c>
      <c r="J297" s="2" t="s">
        <v>25</v>
      </c>
      <c r="K297" s="7">
        <v>0.8</v>
      </c>
      <c r="L297" s="2" t="s">
        <v>26</v>
      </c>
      <c r="M297" s="7">
        <v>0.8</v>
      </c>
      <c r="N297" s="2" t="s">
        <v>26</v>
      </c>
      <c r="O297" s="2" t="s">
        <v>56</v>
      </c>
      <c r="P297" s="2" t="s">
        <v>749</v>
      </c>
      <c r="Q297" s="2"/>
      <c r="R297" s="2" t="s">
        <v>37</v>
      </c>
    </row>
    <row r="298" ht="16" hidden="1" customHeight="1" spans="1:18">
      <c r="A298" s="2" t="s">
        <v>750</v>
      </c>
      <c r="B298" s="2" t="s">
        <v>746</v>
      </c>
      <c r="C298" s="2" t="s">
        <v>747</v>
      </c>
      <c r="D298" s="2" t="s">
        <v>748</v>
      </c>
      <c r="E298" s="2" t="s">
        <v>21</v>
      </c>
      <c r="F298" s="2"/>
      <c r="G298" s="2" t="s">
        <v>32</v>
      </c>
      <c r="H298" s="2" t="s">
        <v>33</v>
      </c>
      <c r="I298" s="2" t="s">
        <v>47</v>
      </c>
      <c r="J298" s="2" t="s">
        <v>25</v>
      </c>
      <c r="K298" s="7">
        <v>0.07</v>
      </c>
      <c r="L298" s="2" t="s">
        <v>26</v>
      </c>
      <c r="M298" s="7">
        <v>0.07</v>
      </c>
      <c r="N298" s="2" t="s">
        <v>26</v>
      </c>
      <c r="O298" s="2" t="s">
        <v>56</v>
      </c>
      <c r="P298" s="2" t="s">
        <v>749</v>
      </c>
      <c r="Q298" s="2"/>
      <c r="R298" s="2" t="s">
        <v>37</v>
      </c>
    </row>
    <row r="299" ht="16" hidden="1" customHeight="1" spans="1:18">
      <c r="A299" s="2" t="s">
        <v>751</v>
      </c>
      <c r="B299" s="2" t="s">
        <v>746</v>
      </c>
      <c r="C299" s="2" t="s">
        <v>747</v>
      </c>
      <c r="D299" s="2" t="s">
        <v>748</v>
      </c>
      <c r="E299" s="2" t="s">
        <v>21</v>
      </c>
      <c r="F299" s="2"/>
      <c r="G299" s="2" t="s">
        <v>32</v>
      </c>
      <c r="H299" s="2" t="s">
        <v>33</v>
      </c>
      <c r="I299" s="2" t="s">
        <v>34</v>
      </c>
      <c r="J299" s="2" t="s">
        <v>25</v>
      </c>
      <c r="K299" s="7">
        <v>0.4</v>
      </c>
      <c r="L299" s="2" t="s">
        <v>26</v>
      </c>
      <c r="M299" s="7">
        <v>0.4</v>
      </c>
      <c r="N299" s="2" t="s">
        <v>26</v>
      </c>
      <c r="O299" s="2" t="s">
        <v>56</v>
      </c>
      <c r="P299" s="2" t="s">
        <v>749</v>
      </c>
      <c r="Q299" s="2"/>
      <c r="R299" s="2" t="s">
        <v>37</v>
      </c>
    </row>
    <row r="300" ht="16" hidden="1" customHeight="1" spans="1:18">
      <c r="A300" s="2" t="s">
        <v>752</v>
      </c>
      <c r="B300" s="2" t="s">
        <v>746</v>
      </c>
      <c r="C300" s="2" t="s">
        <v>747</v>
      </c>
      <c r="D300" s="2" t="s">
        <v>748</v>
      </c>
      <c r="E300" s="2" t="s">
        <v>21</v>
      </c>
      <c r="F300" s="2"/>
      <c r="G300" s="2" t="s">
        <v>32</v>
      </c>
      <c r="H300" s="2" t="s">
        <v>33</v>
      </c>
      <c r="I300" s="2" t="s">
        <v>39</v>
      </c>
      <c r="J300" s="2" t="s">
        <v>25</v>
      </c>
      <c r="K300" s="7">
        <v>2.49</v>
      </c>
      <c r="L300" s="2" t="s">
        <v>26</v>
      </c>
      <c r="M300" s="7">
        <v>2.49</v>
      </c>
      <c r="N300" s="2" t="s">
        <v>26</v>
      </c>
      <c r="O300" s="2" t="s">
        <v>56</v>
      </c>
      <c r="P300" s="2" t="s">
        <v>749</v>
      </c>
      <c r="Q300" s="2"/>
      <c r="R300" s="2" t="s">
        <v>37</v>
      </c>
    </row>
    <row r="301" ht="16" hidden="1" customHeight="1" spans="1:18">
      <c r="A301" s="2" t="s">
        <v>753</v>
      </c>
      <c r="B301" s="2" t="s">
        <v>754</v>
      </c>
      <c r="C301" s="2" t="s">
        <v>755</v>
      </c>
      <c r="D301" s="2" t="s">
        <v>756</v>
      </c>
      <c r="E301" s="2" t="s">
        <v>21</v>
      </c>
      <c r="F301" s="2"/>
      <c r="G301" s="2" t="s">
        <v>32</v>
      </c>
      <c r="H301" s="2" t="s">
        <v>33</v>
      </c>
      <c r="I301" s="2" t="s">
        <v>47</v>
      </c>
      <c r="J301" s="2" t="s">
        <v>25</v>
      </c>
      <c r="K301" s="7">
        <v>0.07</v>
      </c>
      <c r="L301" s="2" t="s">
        <v>26</v>
      </c>
      <c r="M301" s="7">
        <v>0.07</v>
      </c>
      <c r="N301" s="2" t="s">
        <v>26</v>
      </c>
      <c r="O301" s="2" t="s">
        <v>757</v>
      </c>
      <c r="P301" s="2" t="s">
        <v>758</v>
      </c>
      <c r="Q301" s="2"/>
      <c r="R301" s="2" t="s">
        <v>37</v>
      </c>
    </row>
    <row r="302" ht="16" hidden="1" customHeight="1" spans="1:18">
      <c r="A302" s="2" t="s">
        <v>759</v>
      </c>
      <c r="B302" s="2" t="s">
        <v>754</v>
      </c>
      <c r="C302" s="2" t="s">
        <v>755</v>
      </c>
      <c r="D302" s="2" t="s">
        <v>756</v>
      </c>
      <c r="E302" s="2" t="s">
        <v>21</v>
      </c>
      <c r="F302" s="2"/>
      <c r="G302" s="2" t="s">
        <v>32</v>
      </c>
      <c r="H302" s="2" t="s">
        <v>33</v>
      </c>
      <c r="I302" s="2" t="s">
        <v>34</v>
      </c>
      <c r="J302" s="2" t="s">
        <v>25</v>
      </c>
      <c r="K302" s="7">
        <v>0.4</v>
      </c>
      <c r="L302" s="2" t="s">
        <v>26</v>
      </c>
      <c r="M302" s="7">
        <v>0.4</v>
      </c>
      <c r="N302" s="2" t="s">
        <v>26</v>
      </c>
      <c r="O302" s="2" t="s">
        <v>757</v>
      </c>
      <c r="P302" s="2" t="s">
        <v>758</v>
      </c>
      <c r="Q302" s="2"/>
      <c r="R302" s="2" t="s">
        <v>37</v>
      </c>
    </row>
    <row r="303" ht="16" hidden="1" customHeight="1" spans="1:18">
      <c r="A303" s="2" t="s">
        <v>760</v>
      </c>
      <c r="B303" s="2" t="s">
        <v>754</v>
      </c>
      <c r="C303" s="2" t="s">
        <v>755</v>
      </c>
      <c r="D303" s="2" t="s">
        <v>756</v>
      </c>
      <c r="E303" s="2" t="s">
        <v>21</v>
      </c>
      <c r="F303" s="2"/>
      <c r="G303" s="2" t="s">
        <v>32</v>
      </c>
      <c r="H303" s="2" t="s">
        <v>33</v>
      </c>
      <c r="I303" s="2" t="s">
        <v>39</v>
      </c>
      <c r="J303" s="2" t="s">
        <v>25</v>
      </c>
      <c r="K303" s="7">
        <v>2.49</v>
      </c>
      <c r="L303" s="2" t="s">
        <v>26</v>
      </c>
      <c r="M303" s="7">
        <v>2.49</v>
      </c>
      <c r="N303" s="2" t="s">
        <v>26</v>
      </c>
      <c r="O303" s="2" t="s">
        <v>757</v>
      </c>
      <c r="P303" s="2" t="s">
        <v>758</v>
      </c>
      <c r="Q303" s="2"/>
      <c r="R303" s="2" t="s">
        <v>37</v>
      </c>
    </row>
    <row r="304" ht="16" hidden="1" customHeight="1" spans="1:18">
      <c r="A304" s="2" t="s">
        <v>761</v>
      </c>
      <c r="B304" s="2" t="s">
        <v>762</v>
      </c>
      <c r="C304" s="2" t="s">
        <v>763</v>
      </c>
      <c r="D304" s="2" t="s">
        <v>764</v>
      </c>
      <c r="E304" s="2" t="s">
        <v>21</v>
      </c>
      <c r="F304" s="2"/>
      <c r="G304" s="2" t="s">
        <v>32</v>
      </c>
      <c r="H304" s="2" t="s">
        <v>33</v>
      </c>
      <c r="I304" s="2" t="s">
        <v>34</v>
      </c>
      <c r="J304" s="2" t="s">
        <v>25</v>
      </c>
      <c r="K304" s="7">
        <v>0.4</v>
      </c>
      <c r="L304" s="2" t="s">
        <v>26</v>
      </c>
      <c r="M304" s="7">
        <v>0.4</v>
      </c>
      <c r="N304" s="2" t="s">
        <v>26</v>
      </c>
      <c r="O304" s="2" t="s">
        <v>192</v>
      </c>
      <c r="P304" s="2" t="s">
        <v>765</v>
      </c>
      <c r="Q304" s="2"/>
      <c r="R304" s="2" t="s">
        <v>37</v>
      </c>
    </row>
    <row r="305" ht="16" hidden="1" customHeight="1" spans="1:18">
      <c r="A305" s="2" t="s">
        <v>766</v>
      </c>
      <c r="B305" s="2" t="s">
        <v>762</v>
      </c>
      <c r="C305" s="2" t="s">
        <v>763</v>
      </c>
      <c r="D305" s="2" t="s">
        <v>764</v>
      </c>
      <c r="E305" s="2" t="s">
        <v>21</v>
      </c>
      <c r="F305" s="2"/>
      <c r="G305" s="2" t="s">
        <v>32</v>
      </c>
      <c r="H305" s="2" t="s">
        <v>33</v>
      </c>
      <c r="I305" s="2" t="s">
        <v>39</v>
      </c>
      <c r="J305" s="2" t="s">
        <v>25</v>
      </c>
      <c r="K305" s="7">
        <v>2.49</v>
      </c>
      <c r="L305" s="2" t="s">
        <v>26</v>
      </c>
      <c r="M305" s="7">
        <v>2.49</v>
      </c>
      <c r="N305" s="2" t="s">
        <v>26</v>
      </c>
      <c r="O305" s="2" t="s">
        <v>192</v>
      </c>
      <c r="P305" s="2" t="s">
        <v>765</v>
      </c>
      <c r="Q305" s="2"/>
      <c r="R305" s="2" t="s">
        <v>37</v>
      </c>
    </row>
    <row r="306" ht="16" customHeight="1" spans="1:18">
      <c r="A306" s="2" t="s">
        <v>767</v>
      </c>
      <c r="B306" s="2" t="s">
        <v>768</v>
      </c>
      <c r="C306" s="2"/>
      <c r="D306" s="2" t="s">
        <v>20</v>
      </c>
      <c r="E306" s="2" t="s">
        <v>21</v>
      </c>
      <c r="F306" s="2"/>
      <c r="G306" s="2" t="s">
        <v>22</v>
      </c>
      <c r="H306" s="2" t="s">
        <v>23</v>
      </c>
      <c r="I306" s="2" t="s">
        <v>24</v>
      </c>
      <c r="J306" s="2" t="s">
        <v>25</v>
      </c>
      <c r="K306" s="7">
        <v>14.216</v>
      </c>
      <c r="L306" s="2" t="s">
        <v>26</v>
      </c>
      <c r="M306" s="7">
        <v>14.216</v>
      </c>
      <c r="N306" s="2" t="s">
        <v>26</v>
      </c>
      <c r="O306" s="2"/>
      <c r="P306" s="2" t="s">
        <v>769</v>
      </c>
      <c r="Q306" s="2"/>
      <c r="R306" s="2"/>
    </row>
    <row r="307" ht="16" customHeight="1" spans="1:18">
      <c r="A307" s="2" t="s">
        <v>770</v>
      </c>
      <c r="B307" s="2" t="s">
        <v>771</v>
      </c>
      <c r="C307" s="2"/>
      <c r="D307" s="2" t="s">
        <v>20</v>
      </c>
      <c r="E307" s="2" t="s">
        <v>21</v>
      </c>
      <c r="F307" s="2"/>
      <c r="G307" s="2" t="s">
        <v>22</v>
      </c>
      <c r="H307" s="2" t="s">
        <v>23</v>
      </c>
      <c r="I307" s="2" t="s">
        <v>24</v>
      </c>
      <c r="J307" s="2" t="s">
        <v>25</v>
      </c>
      <c r="K307" s="7">
        <v>14.216</v>
      </c>
      <c r="L307" s="2" t="s">
        <v>26</v>
      </c>
      <c r="M307" s="7">
        <v>14.216</v>
      </c>
      <c r="N307" s="2" t="s">
        <v>26</v>
      </c>
      <c r="O307" s="2"/>
      <c r="P307" s="2" t="s">
        <v>772</v>
      </c>
      <c r="Q307" s="2"/>
      <c r="R307" s="2"/>
    </row>
    <row r="308" ht="16" customHeight="1" spans="1:18">
      <c r="A308" s="2" t="s">
        <v>773</v>
      </c>
      <c r="B308" s="2" t="s">
        <v>774</v>
      </c>
      <c r="C308" s="2"/>
      <c r="D308" s="2" t="s">
        <v>20</v>
      </c>
      <c r="E308" s="2" t="s">
        <v>21</v>
      </c>
      <c r="F308" s="2"/>
      <c r="G308" s="2" t="s">
        <v>22</v>
      </c>
      <c r="H308" s="2" t="s">
        <v>23</v>
      </c>
      <c r="I308" s="2" t="s">
        <v>24</v>
      </c>
      <c r="J308" s="2" t="s">
        <v>25</v>
      </c>
      <c r="K308" s="7">
        <v>14.216</v>
      </c>
      <c r="L308" s="2" t="s">
        <v>26</v>
      </c>
      <c r="M308" s="7">
        <v>14.216</v>
      </c>
      <c r="N308" s="2" t="s">
        <v>26</v>
      </c>
      <c r="O308" s="2"/>
      <c r="P308" s="2" t="s">
        <v>775</v>
      </c>
      <c r="Q308" s="2"/>
      <c r="R308" s="2"/>
    </row>
    <row r="309" ht="16" hidden="1" customHeight="1" spans="1:18">
      <c r="A309" s="2" t="s">
        <v>776</v>
      </c>
      <c r="B309" s="2" t="s">
        <v>777</v>
      </c>
      <c r="C309" s="2" t="s">
        <v>778</v>
      </c>
      <c r="D309" s="2" t="s">
        <v>779</v>
      </c>
      <c r="E309" s="2" t="s">
        <v>21</v>
      </c>
      <c r="F309" s="2"/>
      <c r="G309" s="2" t="s">
        <v>32</v>
      </c>
      <c r="H309" s="2" t="s">
        <v>33</v>
      </c>
      <c r="I309" s="2" t="s">
        <v>47</v>
      </c>
      <c r="J309" s="2" t="s">
        <v>25</v>
      </c>
      <c r="K309" s="7">
        <v>0.07</v>
      </c>
      <c r="L309" s="2" t="s">
        <v>26</v>
      </c>
      <c r="M309" s="7">
        <v>0.07</v>
      </c>
      <c r="N309" s="2" t="s">
        <v>26</v>
      </c>
      <c r="O309" s="2" t="s">
        <v>757</v>
      </c>
      <c r="P309" s="2" t="s">
        <v>780</v>
      </c>
      <c r="Q309" s="2"/>
      <c r="R309" s="2" t="s">
        <v>37</v>
      </c>
    </row>
    <row r="310" ht="16" hidden="1" customHeight="1" spans="1:18">
      <c r="A310" s="2" t="s">
        <v>781</v>
      </c>
      <c r="B310" s="2" t="s">
        <v>777</v>
      </c>
      <c r="C310" s="2" t="s">
        <v>778</v>
      </c>
      <c r="D310" s="2" t="s">
        <v>779</v>
      </c>
      <c r="E310" s="2" t="s">
        <v>21</v>
      </c>
      <c r="F310" s="2"/>
      <c r="G310" s="2" t="s">
        <v>32</v>
      </c>
      <c r="H310" s="2" t="s">
        <v>33</v>
      </c>
      <c r="I310" s="2" t="s">
        <v>34</v>
      </c>
      <c r="J310" s="2" t="s">
        <v>25</v>
      </c>
      <c r="K310" s="7">
        <v>0.4</v>
      </c>
      <c r="L310" s="2" t="s">
        <v>26</v>
      </c>
      <c r="M310" s="7">
        <v>0.4</v>
      </c>
      <c r="N310" s="2" t="s">
        <v>26</v>
      </c>
      <c r="O310" s="2" t="s">
        <v>757</v>
      </c>
      <c r="P310" s="2" t="s">
        <v>780</v>
      </c>
      <c r="Q310" s="2"/>
      <c r="R310" s="2" t="s">
        <v>37</v>
      </c>
    </row>
    <row r="311" ht="16" hidden="1" customHeight="1" spans="1:18">
      <c r="A311" s="2" t="s">
        <v>782</v>
      </c>
      <c r="B311" s="2" t="s">
        <v>777</v>
      </c>
      <c r="C311" s="2" t="s">
        <v>778</v>
      </c>
      <c r="D311" s="2" t="s">
        <v>779</v>
      </c>
      <c r="E311" s="2" t="s">
        <v>21</v>
      </c>
      <c r="F311" s="2"/>
      <c r="G311" s="2" t="s">
        <v>32</v>
      </c>
      <c r="H311" s="2" t="s">
        <v>33</v>
      </c>
      <c r="I311" s="2" t="s">
        <v>39</v>
      </c>
      <c r="J311" s="2" t="s">
        <v>25</v>
      </c>
      <c r="K311" s="7">
        <v>2.49</v>
      </c>
      <c r="L311" s="2" t="s">
        <v>26</v>
      </c>
      <c r="M311" s="7">
        <v>2.49</v>
      </c>
      <c r="N311" s="2" t="s">
        <v>26</v>
      </c>
      <c r="O311" s="2" t="s">
        <v>757</v>
      </c>
      <c r="P311" s="2" t="s">
        <v>780</v>
      </c>
      <c r="Q311" s="2"/>
      <c r="R311" s="2" t="s">
        <v>37</v>
      </c>
    </row>
    <row r="312" ht="16" hidden="1" customHeight="1" spans="1:18">
      <c r="A312" s="2" t="s">
        <v>783</v>
      </c>
      <c r="B312" s="2" t="s">
        <v>784</v>
      </c>
      <c r="C312" s="2" t="s">
        <v>785</v>
      </c>
      <c r="D312" s="2" t="s">
        <v>786</v>
      </c>
      <c r="E312" s="2" t="s">
        <v>21</v>
      </c>
      <c r="F312" s="2"/>
      <c r="G312" s="2" t="s">
        <v>32</v>
      </c>
      <c r="H312" s="2" t="s">
        <v>33</v>
      </c>
      <c r="I312" s="2" t="s">
        <v>85</v>
      </c>
      <c r="J312" s="2" t="s">
        <v>25</v>
      </c>
      <c r="K312" s="7">
        <v>0.8</v>
      </c>
      <c r="L312" s="2" t="s">
        <v>26</v>
      </c>
      <c r="M312" s="7">
        <v>0.8</v>
      </c>
      <c r="N312" s="2" t="s">
        <v>26</v>
      </c>
      <c r="O312" s="2" t="s">
        <v>166</v>
      </c>
      <c r="P312" s="2" t="s">
        <v>787</v>
      </c>
      <c r="Q312" s="2"/>
      <c r="R312" s="2" t="s">
        <v>37</v>
      </c>
    </row>
    <row r="313" ht="16" hidden="1" customHeight="1" spans="1:18">
      <c r="A313" s="2" t="s">
        <v>788</v>
      </c>
      <c r="B313" s="2" t="s">
        <v>784</v>
      </c>
      <c r="C313" s="2" t="s">
        <v>785</v>
      </c>
      <c r="D313" s="2" t="s">
        <v>786</v>
      </c>
      <c r="E313" s="2" t="s">
        <v>21</v>
      </c>
      <c r="F313" s="2"/>
      <c r="G313" s="2" t="s">
        <v>32</v>
      </c>
      <c r="H313" s="2" t="s">
        <v>33</v>
      </c>
      <c r="I313" s="2" t="s">
        <v>47</v>
      </c>
      <c r="J313" s="2" t="s">
        <v>25</v>
      </c>
      <c r="K313" s="7">
        <v>0.07</v>
      </c>
      <c r="L313" s="2" t="s">
        <v>26</v>
      </c>
      <c r="M313" s="7">
        <v>0.07</v>
      </c>
      <c r="N313" s="2" t="s">
        <v>26</v>
      </c>
      <c r="O313" s="2" t="s">
        <v>166</v>
      </c>
      <c r="P313" s="2" t="s">
        <v>787</v>
      </c>
      <c r="Q313" s="2"/>
      <c r="R313" s="2" t="s">
        <v>37</v>
      </c>
    </row>
    <row r="314" ht="16" hidden="1" customHeight="1" spans="1:18">
      <c r="A314" s="2" t="s">
        <v>789</v>
      </c>
      <c r="B314" s="2" t="s">
        <v>784</v>
      </c>
      <c r="C314" s="2" t="s">
        <v>785</v>
      </c>
      <c r="D314" s="2" t="s">
        <v>786</v>
      </c>
      <c r="E314" s="2" t="s">
        <v>21</v>
      </c>
      <c r="F314" s="2"/>
      <c r="G314" s="2" t="s">
        <v>32</v>
      </c>
      <c r="H314" s="2" t="s">
        <v>33</v>
      </c>
      <c r="I314" s="2" t="s">
        <v>34</v>
      </c>
      <c r="J314" s="2" t="s">
        <v>25</v>
      </c>
      <c r="K314" s="7">
        <v>0.4</v>
      </c>
      <c r="L314" s="2" t="s">
        <v>26</v>
      </c>
      <c r="M314" s="7">
        <v>0.4</v>
      </c>
      <c r="N314" s="2" t="s">
        <v>26</v>
      </c>
      <c r="O314" s="2" t="s">
        <v>166</v>
      </c>
      <c r="P314" s="2" t="s">
        <v>787</v>
      </c>
      <c r="Q314" s="2"/>
      <c r="R314" s="2" t="s">
        <v>37</v>
      </c>
    </row>
    <row r="315" ht="16" hidden="1" customHeight="1" spans="1:18">
      <c r="A315" s="2" t="s">
        <v>790</v>
      </c>
      <c r="B315" s="2" t="s">
        <v>784</v>
      </c>
      <c r="C315" s="2" t="s">
        <v>785</v>
      </c>
      <c r="D315" s="2" t="s">
        <v>786</v>
      </c>
      <c r="E315" s="2" t="s">
        <v>21</v>
      </c>
      <c r="F315" s="2"/>
      <c r="G315" s="2" t="s">
        <v>32</v>
      </c>
      <c r="H315" s="2" t="s">
        <v>33</v>
      </c>
      <c r="I315" s="2" t="s">
        <v>39</v>
      </c>
      <c r="J315" s="2" t="s">
        <v>25</v>
      </c>
      <c r="K315" s="7">
        <v>2.49</v>
      </c>
      <c r="L315" s="2" t="s">
        <v>26</v>
      </c>
      <c r="M315" s="7">
        <v>2.49</v>
      </c>
      <c r="N315" s="2" t="s">
        <v>26</v>
      </c>
      <c r="O315" s="2" t="s">
        <v>166</v>
      </c>
      <c r="P315" s="2" t="s">
        <v>787</v>
      </c>
      <c r="Q315" s="2"/>
      <c r="R315" s="2" t="s">
        <v>37</v>
      </c>
    </row>
    <row r="316" ht="16" hidden="1" customHeight="1" spans="1:18">
      <c r="A316" s="2" t="s">
        <v>791</v>
      </c>
      <c r="B316" s="2" t="s">
        <v>792</v>
      </c>
      <c r="C316" s="2" t="s">
        <v>793</v>
      </c>
      <c r="D316" s="2" t="s">
        <v>794</v>
      </c>
      <c r="E316" s="2" t="s">
        <v>21</v>
      </c>
      <c r="F316" s="2"/>
      <c r="G316" s="2" t="s">
        <v>32</v>
      </c>
      <c r="H316" s="2" t="s">
        <v>33</v>
      </c>
      <c r="I316" s="2" t="s">
        <v>34</v>
      </c>
      <c r="J316" s="2" t="s">
        <v>25</v>
      </c>
      <c r="K316" s="7">
        <v>0.4</v>
      </c>
      <c r="L316" s="2" t="s">
        <v>26</v>
      </c>
      <c r="M316" s="7">
        <v>0.4</v>
      </c>
      <c r="N316" s="2" t="s">
        <v>26</v>
      </c>
      <c r="O316" s="2" t="s">
        <v>35</v>
      </c>
      <c r="P316" s="2" t="s">
        <v>795</v>
      </c>
      <c r="Q316" s="2"/>
      <c r="R316" s="2" t="s">
        <v>37</v>
      </c>
    </row>
    <row r="317" ht="16" hidden="1" customHeight="1" spans="1:18">
      <c r="A317" s="2" t="s">
        <v>796</v>
      </c>
      <c r="B317" s="2" t="s">
        <v>792</v>
      </c>
      <c r="C317" s="2" t="s">
        <v>793</v>
      </c>
      <c r="D317" s="2" t="s">
        <v>794</v>
      </c>
      <c r="E317" s="2" t="s">
        <v>21</v>
      </c>
      <c r="F317" s="2"/>
      <c r="G317" s="2" t="s">
        <v>32</v>
      </c>
      <c r="H317" s="2" t="s">
        <v>33</v>
      </c>
      <c r="I317" s="2" t="s">
        <v>39</v>
      </c>
      <c r="J317" s="2" t="s">
        <v>25</v>
      </c>
      <c r="K317" s="7">
        <v>2.49</v>
      </c>
      <c r="L317" s="2" t="s">
        <v>26</v>
      </c>
      <c r="M317" s="7">
        <v>2.49</v>
      </c>
      <c r="N317" s="2" t="s">
        <v>26</v>
      </c>
      <c r="O317" s="2" t="s">
        <v>35</v>
      </c>
      <c r="P317" s="2" t="s">
        <v>795</v>
      </c>
      <c r="Q317" s="2"/>
      <c r="R317" s="2" t="s">
        <v>37</v>
      </c>
    </row>
    <row r="318" ht="16" hidden="1" customHeight="1" spans="1:18">
      <c r="A318" s="2" t="s">
        <v>797</v>
      </c>
      <c r="B318" s="2" t="s">
        <v>798</v>
      </c>
      <c r="C318" s="2" t="s">
        <v>799</v>
      </c>
      <c r="D318" s="2" t="s">
        <v>800</v>
      </c>
      <c r="E318" s="2" t="s">
        <v>21</v>
      </c>
      <c r="F318" s="2"/>
      <c r="G318" s="2" t="s">
        <v>32</v>
      </c>
      <c r="H318" s="2" t="s">
        <v>33</v>
      </c>
      <c r="I318" s="2" t="s">
        <v>85</v>
      </c>
      <c r="J318" s="2" t="s">
        <v>25</v>
      </c>
      <c r="K318" s="7">
        <v>0.8</v>
      </c>
      <c r="L318" s="2" t="s">
        <v>26</v>
      </c>
      <c r="M318" s="7">
        <v>0.8</v>
      </c>
      <c r="N318" s="2" t="s">
        <v>26</v>
      </c>
      <c r="O318" s="2" t="s">
        <v>600</v>
      </c>
      <c r="P318" s="2" t="s">
        <v>801</v>
      </c>
      <c r="Q318" s="2"/>
      <c r="R318" s="2" t="s">
        <v>37</v>
      </c>
    </row>
    <row r="319" ht="16" hidden="1" customHeight="1" spans="1:18">
      <c r="A319" s="2" t="s">
        <v>802</v>
      </c>
      <c r="B319" s="2" t="s">
        <v>798</v>
      </c>
      <c r="C319" s="2" t="s">
        <v>799</v>
      </c>
      <c r="D319" s="2" t="s">
        <v>800</v>
      </c>
      <c r="E319" s="2" t="s">
        <v>21</v>
      </c>
      <c r="F319" s="2"/>
      <c r="G319" s="2" t="s">
        <v>32</v>
      </c>
      <c r="H319" s="2" t="s">
        <v>33</v>
      </c>
      <c r="I319" s="2" t="s">
        <v>34</v>
      </c>
      <c r="J319" s="2" t="s">
        <v>25</v>
      </c>
      <c r="K319" s="7">
        <v>0.4</v>
      </c>
      <c r="L319" s="2" t="s">
        <v>26</v>
      </c>
      <c r="M319" s="7">
        <v>0.4</v>
      </c>
      <c r="N319" s="2" t="s">
        <v>26</v>
      </c>
      <c r="O319" s="2" t="s">
        <v>600</v>
      </c>
      <c r="P319" s="2" t="s">
        <v>801</v>
      </c>
      <c r="Q319" s="2"/>
      <c r="R319" s="2" t="s">
        <v>37</v>
      </c>
    </row>
    <row r="320" ht="16" hidden="1" customHeight="1" spans="1:18">
      <c r="A320" s="2" t="s">
        <v>803</v>
      </c>
      <c r="B320" s="2" t="s">
        <v>798</v>
      </c>
      <c r="C320" s="2" t="s">
        <v>799</v>
      </c>
      <c r="D320" s="2" t="s">
        <v>800</v>
      </c>
      <c r="E320" s="2" t="s">
        <v>21</v>
      </c>
      <c r="F320" s="2"/>
      <c r="G320" s="2" t="s">
        <v>32</v>
      </c>
      <c r="H320" s="2" t="s">
        <v>33</v>
      </c>
      <c r="I320" s="2" t="s">
        <v>39</v>
      </c>
      <c r="J320" s="2" t="s">
        <v>25</v>
      </c>
      <c r="K320" s="7">
        <v>2.49</v>
      </c>
      <c r="L320" s="2" t="s">
        <v>26</v>
      </c>
      <c r="M320" s="7">
        <v>2.49</v>
      </c>
      <c r="N320" s="2" t="s">
        <v>26</v>
      </c>
      <c r="O320" s="2" t="s">
        <v>600</v>
      </c>
      <c r="P320" s="2" t="s">
        <v>801</v>
      </c>
      <c r="Q320" s="2"/>
      <c r="R320" s="2" t="s">
        <v>37</v>
      </c>
    </row>
    <row r="321" ht="16" hidden="1" customHeight="1" spans="1:18">
      <c r="A321" s="2" t="s">
        <v>804</v>
      </c>
      <c r="B321" s="2" t="s">
        <v>805</v>
      </c>
      <c r="C321" s="2" t="s">
        <v>806</v>
      </c>
      <c r="D321" s="2" t="s">
        <v>807</v>
      </c>
      <c r="E321" s="2" t="s">
        <v>21</v>
      </c>
      <c r="F321" s="2"/>
      <c r="G321" s="2" t="s">
        <v>32</v>
      </c>
      <c r="H321" s="2" t="s">
        <v>33</v>
      </c>
      <c r="I321" s="2" t="s">
        <v>47</v>
      </c>
      <c r="J321" s="2" t="s">
        <v>25</v>
      </c>
      <c r="K321" s="7">
        <v>0.07</v>
      </c>
      <c r="L321" s="2" t="s">
        <v>26</v>
      </c>
      <c r="M321" s="7">
        <v>0.07</v>
      </c>
      <c r="N321" s="2" t="s">
        <v>26</v>
      </c>
      <c r="O321" s="2" t="s">
        <v>316</v>
      </c>
      <c r="P321" s="2" t="s">
        <v>808</v>
      </c>
      <c r="Q321" s="2"/>
      <c r="R321" s="2" t="s">
        <v>37</v>
      </c>
    </row>
    <row r="322" ht="16" hidden="1" customHeight="1" spans="1:18">
      <c r="A322" s="2" t="s">
        <v>809</v>
      </c>
      <c r="B322" s="2" t="s">
        <v>805</v>
      </c>
      <c r="C322" s="2" t="s">
        <v>806</v>
      </c>
      <c r="D322" s="2" t="s">
        <v>807</v>
      </c>
      <c r="E322" s="2" t="s">
        <v>21</v>
      </c>
      <c r="F322" s="2"/>
      <c r="G322" s="2" t="s">
        <v>32</v>
      </c>
      <c r="H322" s="2" t="s">
        <v>33</v>
      </c>
      <c r="I322" s="2" t="s">
        <v>34</v>
      </c>
      <c r="J322" s="2" t="s">
        <v>25</v>
      </c>
      <c r="K322" s="7">
        <v>0.4</v>
      </c>
      <c r="L322" s="2" t="s">
        <v>26</v>
      </c>
      <c r="M322" s="7">
        <v>0.4</v>
      </c>
      <c r="N322" s="2" t="s">
        <v>26</v>
      </c>
      <c r="O322" s="2" t="s">
        <v>316</v>
      </c>
      <c r="P322" s="2" t="s">
        <v>808</v>
      </c>
      <c r="Q322" s="2"/>
      <c r="R322" s="2" t="s">
        <v>37</v>
      </c>
    </row>
    <row r="323" ht="16" hidden="1" customHeight="1" spans="1:18">
      <c r="A323" s="2" t="s">
        <v>810</v>
      </c>
      <c r="B323" s="2" t="s">
        <v>805</v>
      </c>
      <c r="C323" s="2" t="s">
        <v>806</v>
      </c>
      <c r="D323" s="2" t="s">
        <v>807</v>
      </c>
      <c r="E323" s="2" t="s">
        <v>21</v>
      </c>
      <c r="F323" s="2"/>
      <c r="G323" s="2" t="s">
        <v>32</v>
      </c>
      <c r="H323" s="2" t="s">
        <v>33</v>
      </c>
      <c r="I323" s="2" t="s">
        <v>39</v>
      </c>
      <c r="J323" s="2" t="s">
        <v>25</v>
      </c>
      <c r="K323" s="7">
        <v>2.49</v>
      </c>
      <c r="L323" s="2" t="s">
        <v>26</v>
      </c>
      <c r="M323" s="7">
        <v>2.49</v>
      </c>
      <c r="N323" s="2" t="s">
        <v>26</v>
      </c>
      <c r="O323" s="2" t="s">
        <v>316</v>
      </c>
      <c r="P323" s="2" t="s">
        <v>808</v>
      </c>
      <c r="Q323" s="2"/>
      <c r="R323" s="2" t="s">
        <v>37</v>
      </c>
    </row>
    <row r="324" ht="16" hidden="1" customHeight="1" spans="1:18">
      <c r="A324" s="2" t="s">
        <v>811</v>
      </c>
      <c r="B324" s="2" t="s">
        <v>812</v>
      </c>
      <c r="C324" s="2" t="s">
        <v>813</v>
      </c>
      <c r="D324" s="2" t="s">
        <v>814</v>
      </c>
      <c r="E324" s="2" t="s">
        <v>21</v>
      </c>
      <c r="F324" s="2"/>
      <c r="G324" s="2" t="s">
        <v>32</v>
      </c>
      <c r="H324" s="2" t="s">
        <v>33</v>
      </c>
      <c r="I324" s="2" t="s">
        <v>85</v>
      </c>
      <c r="J324" s="2" t="s">
        <v>25</v>
      </c>
      <c r="K324" s="7">
        <v>0.8</v>
      </c>
      <c r="L324" s="2" t="s">
        <v>26</v>
      </c>
      <c r="M324" s="7">
        <v>0.8</v>
      </c>
      <c r="N324" s="2" t="s">
        <v>26</v>
      </c>
      <c r="O324" s="2" t="s">
        <v>815</v>
      </c>
      <c r="P324" s="2" t="s">
        <v>816</v>
      </c>
      <c r="Q324" s="2"/>
      <c r="R324" s="2" t="s">
        <v>37</v>
      </c>
    </row>
    <row r="325" ht="16" hidden="1" customHeight="1" spans="1:18">
      <c r="A325" s="2" t="s">
        <v>817</v>
      </c>
      <c r="B325" s="2" t="s">
        <v>812</v>
      </c>
      <c r="C325" s="2" t="s">
        <v>813</v>
      </c>
      <c r="D325" s="2" t="s">
        <v>814</v>
      </c>
      <c r="E325" s="2" t="s">
        <v>21</v>
      </c>
      <c r="F325" s="2"/>
      <c r="G325" s="2" t="s">
        <v>32</v>
      </c>
      <c r="H325" s="2" t="s">
        <v>33</v>
      </c>
      <c r="I325" s="2" t="s">
        <v>89</v>
      </c>
      <c r="J325" s="2" t="s">
        <v>25</v>
      </c>
      <c r="K325" s="7">
        <v>0.3</v>
      </c>
      <c r="L325" s="2" t="s">
        <v>26</v>
      </c>
      <c r="M325" s="7">
        <v>0.3</v>
      </c>
      <c r="N325" s="2" t="s">
        <v>26</v>
      </c>
      <c r="O325" s="2" t="s">
        <v>815</v>
      </c>
      <c r="P325" s="2" t="s">
        <v>816</v>
      </c>
      <c r="Q325" s="2"/>
      <c r="R325" s="2" t="s">
        <v>37</v>
      </c>
    </row>
    <row r="326" ht="16" hidden="1" customHeight="1" spans="1:18">
      <c r="A326" s="2" t="s">
        <v>818</v>
      </c>
      <c r="B326" s="2" t="s">
        <v>812</v>
      </c>
      <c r="C326" s="2" t="s">
        <v>813</v>
      </c>
      <c r="D326" s="2" t="s">
        <v>814</v>
      </c>
      <c r="E326" s="2" t="s">
        <v>21</v>
      </c>
      <c r="F326" s="2"/>
      <c r="G326" s="2" t="s">
        <v>32</v>
      </c>
      <c r="H326" s="2" t="s">
        <v>33</v>
      </c>
      <c r="I326" s="2" t="s">
        <v>47</v>
      </c>
      <c r="J326" s="2" t="s">
        <v>25</v>
      </c>
      <c r="K326" s="7">
        <v>0.07</v>
      </c>
      <c r="L326" s="2" t="s">
        <v>26</v>
      </c>
      <c r="M326" s="7">
        <v>0.07</v>
      </c>
      <c r="N326" s="2" t="s">
        <v>26</v>
      </c>
      <c r="O326" s="2" t="s">
        <v>815</v>
      </c>
      <c r="P326" s="2" t="s">
        <v>816</v>
      </c>
      <c r="Q326" s="2"/>
      <c r="R326" s="2" t="s">
        <v>37</v>
      </c>
    </row>
    <row r="327" ht="16" hidden="1" customHeight="1" spans="1:18">
      <c r="A327" s="2" t="s">
        <v>819</v>
      </c>
      <c r="B327" s="2" t="s">
        <v>812</v>
      </c>
      <c r="C327" s="2" t="s">
        <v>813</v>
      </c>
      <c r="D327" s="2" t="s">
        <v>814</v>
      </c>
      <c r="E327" s="2" t="s">
        <v>21</v>
      </c>
      <c r="F327" s="2"/>
      <c r="G327" s="2" t="s">
        <v>32</v>
      </c>
      <c r="H327" s="2" t="s">
        <v>33</v>
      </c>
      <c r="I327" s="2" t="s">
        <v>34</v>
      </c>
      <c r="J327" s="2" t="s">
        <v>25</v>
      </c>
      <c r="K327" s="7">
        <v>0.4</v>
      </c>
      <c r="L327" s="2" t="s">
        <v>26</v>
      </c>
      <c r="M327" s="7">
        <v>0.4</v>
      </c>
      <c r="N327" s="2" t="s">
        <v>26</v>
      </c>
      <c r="O327" s="2" t="s">
        <v>815</v>
      </c>
      <c r="P327" s="2" t="s">
        <v>816</v>
      </c>
      <c r="Q327" s="2"/>
      <c r="R327" s="2" t="s">
        <v>37</v>
      </c>
    </row>
    <row r="328" ht="16" hidden="1" customHeight="1" spans="1:18">
      <c r="A328" s="2" t="s">
        <v>820</v>
      </c>
      <c r="B328" s="2" t="s">
        <v>812</v>
      </c>
      <c r="C328" s="2" t="s">
        <v>813</v>
      </c>
      <c r="D328" s="2" t="s">
        <v>814</v>
      </c>
      <c r="E328" s="2" t="s">
        <v>21</v>
      </c>
      <c r="F328" s="2"/>
      <c r="G328" s="2" t="s">
        <v>32</v>
      </c>
      <c r="H328" s="2" t="s">
        <v>33</v>
      </c>
      <c r="I328" s="2" t="s">
        <v>39</v>
      </c>
      <c r="J328" s="2" t="s">
        <v>25</v>
      </c>
      <c r="K328" s="7">
        <v>2.49</v>
      </c>
      <c r="L328" s="2" t="s">
        <v>26</v>
      </c>
      <c r="M328" s="7">
        <v>2.49</v>
      </c>
      <c r="N328" s="2" t="s">
        <v>26</v>
      </c>
      <c r="O328" s="2" t="s">
        <v>815</v>
      </c>
      <c r="P328" s="2" t="s">
        <v>816</v>
      </c>
      <c r="Q328" s="2"/>
      <c r="R328" s="2" t="s">
        <v>37</v>
      </c>
    </row>
    <row r="329" ht="16" customHeight="1" spans="1:18">
      <c r="A329" s="2" t="s">
        <v>821</v>
      </c>
      <c r="B329" s="2" t="s">
        <v>822</v>
      </c>
      <c r="C329" s="2"/>
      <c r="D329" s="2" t="s">
        <v>20</v>
      </c>
      <c r="E329" s="2" t="s">
        <v>21</v>
      </c>
      <c r="F329" s="2"/>
      <c r="G329" s="2" t="s">
        <v>22</v>
      </c>
      <c r="H329" s="2" t="s">
        <v>23</v>
      </c>
      <c r="I329" s="2" t="s">
        <v>24</v>
      </c>
      <c r="J329" s="2" t="s">
        <v>25</v>
      </c>
      <c r="K329" s="7">
        <v>14.235</v>
      </c>
      <c r="L329" s="2" t="s">
        <v>26</v>
      </c>
      <c r="M329" s="7">
        <v>14.235</v>
      </c>
      <c r="N329" s="2" t="s">
        <v>26</v>
      </c>
      <c r="O329" s="2"/>
      <c r="P329" s="2" t="s">
        <v>823</v>
      </c>
      <c r="Q329" s="2"/>
      <c r="R329" s="2"/>
    </row>
    <row r="330" ht="16" hidden="1" customHeight="1" spans="1:18">
      <c r="A330" s="2" t="s">
        <v>824</v>
      </c>
      <c r="B330" s="2" t="s">
        <v>825</v>
      </c>
      <c r="C330" s="2" t="s">
        <v>826</v>
      </c>
      <c r="D330" s="2" t="s">
        <v>827</v>
      </c>
      <c r="E330" s="2" t="s">
        <v>21</v>
      </c>
      <c r="F330" s="2"/>
      <c r="G330" s="2" t="s">
        <v>32</v>
      </c>
      <c r="H330" s="2" t="s">
        <v>33</v>
      </c>
      <c r="I330" s="2" t="s">
        <v>85</v>
      </c>
      <c r="J330" s="2" t="s">
        <v>25</v>
      </c>
      <c r="K330" s="7">
        <v>1</v>
      </c>
      <c r="L330" s="2" t="s">
        <v>26</v>
      </c>
      <c r="M330" s="7">
        <v>1</v>
      </c>
      <c r="N330" s="2" t="s">
        <v>26</v>
      </c>
      <c r="O330" s="2" t="s">
        <v>828</v>
      </c>
      <c r="P330" s="2" t="s">
        <v>829</v>
      </c>
      <c r="Q330" s="2"/>
      <c r="R330" s="2" t="s">
        <v>37</v>
      </c>
    </row>
    <row r="331" ht="16" hidden="1" customHeight="1" spans="1:18">
      <c r="A331" s="2" t="s">
        <v>830</v>
      </c>
      <c r="B331" s="2" t="s">
        <v>825</v>
      </c>
      <c r="C331" s="2" t="s">
        <v>826</v>
      </c>
      <c r="D331" s="2" t="s">
        <v>827</v>
      </c>
      <c r="E331" s="2" t="s">
        <v>21</v>
      </c>
      <c r="F331" s="2"/>
      <c r="G331" s="2" t="s">
        <v>32</v>
      </c>
      <c r="H331" s="2" t="s">
        <v>33</v>
      </c>
      <c r="I331" s="2" t="s">
        <v>34</v>
      </c>
      <c r="J331" s="2" t="s">
        <v>25</v>
      </c>
      <c r="K331" s="7">
        <v>0.4</v>
      </c>
      <c r="L331" s="2" t="s">
        <v>26</v>
      </c>
      <c r="M331" s="7">
        <v>0.4</v>
      </c>
      <c r="N331" s="2" t="s">
        <v>26</v>
      </c>
      <c r="O331" s="2" t="s">
        <v>828</v>
      </c>
      <c r="P331" s="2" t="s">
        <v>829</v>
      </c>
      <c r="Q331" s="2"/>
      <c r="R331" s="2" t="s">
        <v>37</v>
      </c>
    </row>
    <row r="332" ht="16" hidden="1" customHeight="1" spans="1:18">
      <c r="A332" s="2" t="s">
        <v>831</v>
      </c>
      <c r="B332" s="2" t="s">
        <v>825</v>
      </c>
      <c r="C332" s="2" t="s">
        <v>826</v>
      </c>
      <c r="D332" s="2" t="s">
        <v>827</v>
      </c>
      <c r="E332" s="2" t="s">
        <v>21</v>
      </c>
      <c r="F332" s="2"/>
      <c r="G332" s="2" t="s">
        <v>32</v>
      </c>
      <c r="H332" s="2" t="s">
        <v>33</v>
      </c>
      <c r="I332" s="2" t="s">
        <v>39</v>
      </c>
      <c r="J332" s="2" t="s">
        <v>25</v>
      </c>
      <c r="K332" s="7">
        <v>2.49</v>
      </c>
      <c r="L332" s="2" t="s">
        <v>26</v>
      </c>
      <c r="M332" s="7">
        <v>2.49</v>
      </c>
      <c r="N332" s="2" t="s">
        <v>26</v>
      </c>
      <c r="O332" s="2" t="s">
        <v>828</v>
      </c>
      <c r="P332" s="2" t="s">
        <v>829</v>
      </c>
      <c r="Q332" s="2"/>
      <c r="R332" s="2" t="s">
        <v>37</v>
      </c>
    </row>
    <row r="333" ht="16" hidden="1" customHeight="1" spans="1:18">
      <c r="A333" s="2" t="s">
        <v>832</v>
      </c>
      <c r="B333" s="2" t="s">
        <v>833</v>
      </c>
      <c r="C333" s="2" t="s">
        <v>834</v>
      </c>
      <c r="D333" s="2" t="s">
        <v>835</v>
      </c>
      <c r="E333" s="2" t="s">
        <v>21</v>
      </c>
      <c r="F333" s="2"/>
      <c r="G333" s="2" t="s">
        <v>32</v>
      </c>
      <c r="H333" s="2" t="s">
        <v>33</v>
      </c>
      <c r="I333" s="2" t="s">
        <v>85</v>
      </c>
      <c r="J333" s="2" t="s">
        <v>25</v>
      </c>
      <c r="K333" s="7">
        <v>1.5</v>
      </c>
      <c r="L333" s="2" t="s">
        <v>26</v>
      </c>
      <c r="M333" s="7">
        <v>1.5</v>
      </c>
      <c r="N333" s="2" t="s">
        <v>26</v>
      </c>
      <c r="O333" s="2" t="s">
        <v>100</v>
      </c>
      <c r="P333" s="2" t="s">
        <v>836</v>
      </c>
      <c r="Q333" s="2"/>
      <c r="R333" s="2" t="s">
        <v>37</v>
      </c>
    </row>
    <row r="334" ht="16" hidden="1" customHeight="1" spans="1:18">
      <c r="A334" s="2" t="s">
        <v>837</v>
      </c>
      <c r="B334" s="2" t="s">
        <v>833</v>
      </c>
      <c r="C334" s="2" t="s">
        <v>834</v>
      </c>
      <c r="D334" s="2" t="s">
        <v>835</v>
      </c>
      <c r="E334" s="2" t="s">
        <v>21</v>
      </c>
      <c r="F334" s="2"/>
      <c r="G334" s="2" t="s">
        <v>32</v>
      </c>
      <c r="H334" s="2" t="s">
        <v>33</v>
      </c>
      <c r="I334" s="2" t="s">
        <v>47</v>
      </c>
      <c r="J334" s="2" t="s">
        <v>25</v>
      </c>
      <c r="K334" s="7">
        <v>0.07</v>
      </c>
      <c r="L334" s="2" t="s">
        <v>26</v>
      </c>
      <c r="M334" s="7">
        <v>0.07</v>
      </c>
      <c r="N334" s="2" t="s">
        <v>26</v>
      </c>
      <c r="O334" s="2" t="s">
        <v>100</v>
      </c>
      <c r="P334" s="2" t="s">
        <v>836</v>
      </c>
      <c r="Q334" s="2"/>
      <c r="R334" s="2" t="s">
        <v>37</v>
      </c>
    </row>
    <row r="335" ht="16" hidden="1" customHeight="1" spans="1:18">
      <c r="A335" s="2" t="s">
        <v>838</v>
      </c>
      <c r="B335" s="2" t="s">
        <v>833</v>
      </c>
      <c r="C335" s="2" t="s">
        <v>834</v>
      </c>
      <c r="D335" s="2" t="s">
        <v>835</v>
      </c>
      <c r="E335" s="2" t="s">
        <v>21</v>
      </c>
      <c r="F335" s="2"/>
      <c r="G335" s="2" t="s">
        <v>32</v>
      </c>
      <c r="H335" s="2" t="s">
        <v>33</v>
      </c>
      <c r="I335" s="2" t="s">
        <v>34</v>
      </c>
      <c r="J335" s="2" t="s">
        <v>25</v>
      </c>
      <c r="K335" s="7">
        <v>0.4</v>
      </c>
      <c r="L335" s="2" t="s">
        <v>26</v>
      </c>
      <c r="M335" s="7">
        <v>0.4</v>
      </c>
      <c r="N335" s="2" t="s">
        <v>26</v>
      </c>
      <c r="O335" s="2" t="s">
        <v>100</v>
      </c>
      <c r="P335" s="2" t="s">
        <v>836</v>
      </c>
      <c r="Q335" s="2"/>
      <c r="R335" s="2" t="s">
        <v>37</v>
      </c>
    </row>
    <row r="336" ht="16" hidden="1" customHeight="1" spans="1:18">
      <c r="A336" s="2" t="s">
        <v>839</v>
      </c>
      <c r="B336" s="2" t="s">
        <v>833</v>
      </c>
      <c r="C336" s="2" t="s">
        <v>834</v>
      </c>
      <c r="D336" s="2" t="s">
        <v>835</v>
      </c>
      <c r="E336" s="2" t="s">
        <v>21</v>
      </c>
      <c r="F336" s="2"/>
      <c r="G336" s="2" t="s">
        <v>32</v>
      </c>
      <c r="H336" s="2" t="s">
        <v>33</v>
      </c>
      <c r="I336" s="2" t="s">
        <v>39</v>
      </c>
      <c r="J336" s="2" t="s">
        <v>25</v>
      </c>
      <c r="K336" s="7">
        <v>2.49</v>
      </c>
      <c r="L336" s="2" t="s">
        <v>26</v>
      </c>
      <c r="M336" s="7">
        <v>2.49</v>
      </c>
      <c r="N336" s="2" t="s">
        <v>26</v>
      </c>
      <c r="O336" s="2" t="s">
        <v>100</v>
      </c>
      <c r="P336" s="2" t="s">
        <v>836</v>
      </c>
      <c r="Q336" s="2"/>
      <c r="R336" s="2" t="s">
        <v>37</v>
      </c>
    </row>
    <row r="338" spans="11:13">
      <c r="K338">
        <f>SUM(K2:K336)</f>
        <v>767.347</v>
      </c>
      <c r="M338">
        <f>SUM(M2:M336)</f>
        <v>767.347</v>
      </c>
    </row>
  </sheetData>
  <autoFilter xmlns:etc="http://www.wps.cn/officeDocument/2017/etCustomData" ref="A1:R336" etc:filterBottomFollowUsedRange="0">
    <filterColumn colId="6">
      <customFilters>
        <customFilter operator="equal" val="仓租"/>
      </customFilters>
    </filterColumn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8"/>
  <sheetViews>
    <sheetView topLeftCell="I1" workbookViewId="0">
      <selection activeCell="R2" sqref="R2"/>
    </sheetView>
  </sheetViews>
  <sheetFormatPr defaultColWidth="10.2857142857143" defaultRowHeight="12.75"/>
  <cols>
    <col min="1" max="1" width="7.42857142857143" customWidth="1"/>
    <col min="2" max="2" width="21.1428571428571" customWidth="1"/>
    <col min="3" max="3" width="29.7142857142857" customWidth="1"/>
    <col min="4" max="4" width="21.1428571428571" customWidth="1"/>
    <col min="5" max="6" width="18.7142857142857" customWidth="1"/>
    <col min="7" max="7" width="21.1428571428571" customWidth="1"/>
    <col min="8" max="8" width="18.4285714285714" customWidth="1"/>
    <col min="9" max="9" width="27.8571428571429" customWidth="1"/>
    <col min="10" max="10" width="24.1428571428571" customWidth="1"/>
    <col min="11" max="11" width="25.8571428571429" customWidth="1"/>
    <col min="12" max="12" width="17.4285714285714" customWidth="1"/>
    <col min="13" max="13" width="18.2857142857143" customWidth="1"/>
    <col min="14" max="14" width="14.2857142857143" customWidth="1"/>
    <col min="15" max="15" width="21.1428571428571" customWidth="1"/>
    <col min="16" max="16" width="18.7142857142857" customWidth="1"/>
    <col min="17" max="17" width="14.2857142857143" customWidth="1"/>
    <col min="18" max="18" width="25.2857142857143" customWidth="1"/>
    <col min="19" max="19" width="21.5714285714286" customWidth="1"/>
    <col min="20" max="20" width="22.5714285714286" hidden="1" customWidth="1"/>
    <col min="21" max="21" width="22.5714285714286" customWidth="1"/>
    <col min="22" max="1027" width="11.5047619047619"/>
  </cols>
  <sheetData>
    <row r="1" ht="16" customHeight="1" spans="1:21">
      <c r="A1" s="1" t="s">
        <v>0</v>
      </c>
      <c r="B1" s="1" t="s">
        <v>1</v>
      </c>
      <c r="C1" s="1" t="s">
        <v>2</v>
      </c>
      <c r="D1" s="5" t="s">
        <v>3</v>
      </c>
      <c r="E1" s="6" t="s">
        <v>12</v>
      </c>
      <c r="F1" s="5" t="s">
        <v>840</v>
      </c>
      <c r="G1" s="5" t="s">
        <v>841</v>
      </c>
      <c r="H1" s="6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</v>
      </c>
      <c r="O1" s="5" t="s">
        <v>842</v>
      </c>
      <c r="P1" s="1" t="s">
        <v>13</v>
      </c>
      <c r="Q1" s="1" t="s">
        <v>14</v>
      </c>
      <c r="R1" s="5" t="s">
        <v>843</v>
      </c>
      <c r="S1" s="1" t="s">
        <v>15</v>
      </c>
      <c r="T1" s="1" t="s">
        <v>16</v>
      </c>
      <c r="U1" s="1" t="s">
        <v>17</v>
      </c>
    </row>
    <row r="2" ht="16" customHeight="1" spans="1:21">
      <c r="A2" s="2" t="s">
        <v>28</v>
      </c>
      <c r="B2" s="2" t="s">
        <v>29</v>
      </c>
      <c r="C2" s="2" t="s">
        <v>30</v>
      </c>
      <c r="D2" s="2" t="s">
        <v>31</v>
      </c>
      <c r="E2" s="7">
        <v>0.4</v>
      </c>
      <c r="F2" s="7" cm="1">
        <f t="array" ref="F2:F98">SUMIF(D:D,G2:G98,E:E)</f>
        <v>2.89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25</v>
      </c>
      <c r="L2" s="7">
        <v>0.4</v>
      </c>
      <c r="M2" s="2" t="s">
        <v>26</v>
      </c>
      <c r="N2" s="2" t="s">
        <v>35</v>
      </c>
      <c r="O2" s="2" t="s">
        <v>31</v>
      </c>
      <c r="P2" s="2" t="s">
        <v>26</v>
      </c>
      <c r="Q2" s="2" t="s">
        <v>35</v>
      </c>
      <c r="R2" s="2" t="s">
        <v>35</v>
      </c>
      <c r="S2" s="2" t="s">
        <v>36</v>
      </c>
      <c r="T2" s="2"/>
      <c r="U2" s="2" t="s">
        <v>37</v>
      </c>
    </row>
    <row r="3" ht="16" customHeight="1" spans="1:21">
      <c r="A3" s="2" t="s">
        <v>38</v>
      </c>
      <c r="B3" s="2" t="s">
        <v>29</v>
      </c>
      <c r="C3" s="2" t="s">
        <v>30</v>
      </c>
      <c r="D3" s="2" t="s">
        <v>31</v>
      </c>
      <c r="E3" s="7">
        <v>2.49</v>
      </c>
      <c r="F3" s="7">
        <v>2.96</v>
      </c>
      <c r="G3" s="2" t="s">
        <v>46</v>
      </c>
      <c r="H3" s="2" t="s">
        <v>32</v>
      </c>
      <c r="I3" s="2" t="s">
        <v>33</v>
      </c>
      <c r="J3" s="2" t="s">
        <v>39</v>
      </c>
      <c r="K3" s="2" t="s">
        <v>25</v>
      </c>
      <c r="L3" s="7">
        <v>2.49</v>
      </c>
      <c r="M3" s="2" t="s">
        <v>26</v>
      </c>
      <c r="N3" s="2" t="s">
        <v>35</v>
      </c>
      <c r="O3" s="2" t="s">
        <v>31</v>
      </c>
      <c r="P3" s="2" t="s">
        <v>26</v>
      </c>
      <c r="Q3" s="2" t="s">
        <v>35</v>
      </c>
      <c r="R3" s="2" t="s">
        <v>48</v>
      </c>
      <c r="S3" s="2" t="s">
        <v>36</v>
      </c>
      <c r="T3" s="2"/>
      <c r="U3" s="2" t="s">
        <v>37</v>
      </c>
    </row>
    <row r="4" ht="16" customHeight="1" spans="1:21">
      <c r="A4" s="2" t="s">
        <v>43</v>
      </c>
      <c r="B4" s="2" t="s">
        <v>44</v>
      </c>
      <c r="C4" s="2" t="s">
        <v>45</v>
      </c>
      <c r="D4" s="2" t="s">
        <v>46</v>
      </c>
      <c r="E4" s="7">
        <v>0.07</v>
      </c>
      <c r="F4" s="7">
        <v>2.96</v>
      </c>
      <c r="G4" s="2" t="s">
        <v>55</v>
      </c>
      <c r="H4" s="2" t="s">
        <v>32</v>
      </c>
      <c r="I4" s="2" t="s">
        <v>33</v>
      </c>
      <c r="J4" s="2" t="s">
        <v>47</v>
      </c>
      <c r="K4" s="2" t="s">
        <v>25</v>
      </c>
      <c r="L4" s="7">
        <v>0.07</v>
      </c>
      <c r="M4" s="2" t="s">
        <v>26</v>
      </c>
      <c r="N4" s="2" t="s">
        <v>48</v>
      </c>
      <c r="O4" s="2" t="s">
        <v>46</v>
      </c>
      <c r="P4" s="2" t="s">
        <v>26</v>
      </c>
      <c r="Q4" s="2" t="s">
        <v>48</v>
      </c>
      <c r="R4" s="2" t="s">
        <v>56</v>
      </c>
      <c r="S4" s="2" t="s">
        <v>49</v>
      </c>
      <c r="T4" s="2"/>
      <c r="U4" s="2" t="s">
        <v>37</v>
      </c>
    </row>
    <row r="5" ht="16" customHeight="1" spans="1:21">
      <c r="A5" s="2" t="s">
        <v>50</v>
      </c>
      <c r="B5" s="2" t="s">
        <v>44</v>
      </c>
      <c r="C5" s="2" t="s">
        <v>45</v>
      </c>
      <c r="D5" s="2" t="s">
        <v>46</v>
      </c>
      <c r="E5" s="7">
        <v>0.4</v>
      </c>
      <c r="F5" s="7">
        <v>2.96</v>
      </c>
      <c r="G5" s="2" t="s">
        <v>63</v>
      </c>
      <c r="H5" s="2" t="s">
        <v>32</v>
      </c>
      <c r="I5" s="2" t="s">
        <v>33</v>
      </c>
      <c r="J5" s="2" t="s">
        <v>34</v>
      </c>
      <c r="K5" s="2" t="s">
        <v>25</v>
      </c>
      <c r="L5" s="7">
        <v>0.4</v>
      </c>
      <c r="M5" s="2" t="s">
        <v>26</v>
      </c>
      <c r="N5" s="2" t="s">
        <v>48</v>
      </c>
      <c r="O5" s="2" t="s">
        <v>46</v>
      </c>
      <c r="P5" s="2" t="s">
        <v>26</v>
      </c>
      <c r="Q5" s="2" t="s">
        <v>48</v>
      </c>
      <c r="R5" s="2" t="s">
        <v>56</v>
      </c>
      <c r="S5" s="2" t="s">
        <v>49</v>
      </c>
      <c r="T5" s="2"/>
      <c r="U5" s="2" t="s">
        <v>37</v>
      </c>
    </row>
    <row r="6" ht="16" customHeight="1" spans="1:21">
      <c r="A6" s="2" t="s">
        <v>51</v>
      </c>
      <c r="B6" s="2" t="s">
        <v>44</v>
      </c>
      <c r="C6" s="2" t="s">
        <v>45</v>
      </c>
      <c r="D6" s="2" t="s">
        <v>46</v>
      </c>
      <c r="E6" s="7">
        <v>2.49</v>
      </c>
      <c r="F6" s="7">
        <v>2.96</v>
      </c>
      <c r="G6" s="2" t="s">
        <v>70</v>
      </c>
      <c r="H6" s="2" t="s">
        <v>32</v>
      </c>
      <c r="I6" s="2" t="s">
        <v>33</v>
      </c>
      <c r="J6" s="2" t="s">
        <v>39</v>
      </c>
      <c r="K6" s="2" t="s">
        <v>25</v>
      </c>
      <c r="L6" s="7">
        <v>2.49</v>
      </c>
      <c r="M6" s="2" t="s">
        <v>26</v>
      </c>
      <c r="N6" s="2" t="s">
        <v>48</v>
      </c>
      <c r="O6" s="2" t="s">
        <v>46</v>
      </c>
      <c r="P6" s="2" t="s">
        <v>26</v>
      </c>
      <c r="Q6" s="2" t="s">
        <v>48</v>
      </c>
      <c r="R6" s="2" t="s">
        <v>56</v>
      </c>
      <c r="S6" s="2" t="s">
        <v>49</v>
      </c>
      <c r="T6" s="2"/>
      <c r="U6" s="2" t="s">
        <v>37</v>
      </c>
    </row>
    <row r="7" ht="16" customHeight="1" spans="1:21">
      <c r="A7" s="2" t="s">
        <v>52</v>
      </c>
      <c r="B7" s="2" t="s">
        <v>53</v>
      </c>
      <c r="C7" s="2" t="s">
        <v>54</v>
      </c>
      <c r="D7" s="2" t="s">
        <v>55</v>
      </c>
      <c r="E7" s="7">
        <v>0.07</v>
      </c>
      <c r="F7" s="7">
        <v>2.96</v>
      </c>
      <c r="G7" s="2" t="s">
        <v>77</v>
      </c>
      <c r="H7" s="2" t="s">
        <v>32</v>
      </c>
      <c r="I7" s="2" t="s">
        <v>33</v>
      </c>
      <c r="J7" s="2" t="s">
        <v>47</v>
      </c>
      <c r="K7" s="2" t="s">
        <v>25</v>
      </c>
      <c r="L7" s="7">
        <v>0.07</v>
      </c>
      <c r="M7" s="2" t="s">
        <v>26</v>
      </c>
      <c r="N7" s="2" t="s">
        <v>56</v>
      </c>
      <c r="O7" s="2" t="s">
        <v>55</v>
      </c>
      <c r="P7" s="2" t="s">
        <v>26</v>
      </c>
      <c r="Q7" s="2" t="s">
        <v>56</v>
      </c>
      <c r="R7" s="2" t="s">
        <v>56</v>
      </c>
      <c r="S7" s="2" t="s">
        <v>57</v>
      </c>
      <c r="T7" s="2"/>
      <c r="U7" s="2" t="s">
        <v>37</v>
      </c>
    </row>
    <row r="8" ht="16" customHeight="1" spans="1:21">
      <c r="A8" s="2" t="s">
        <v>58</v>
      </c>
      <c r="B8" s="2" t="s">
        <v>53</v>
      </c>
      <c r="C8" s="2" t="s">
        <v>54</v>
      </c>
      <c r="D8" s="2" t="s">
        <v>55</v>
      </c>
      <c r="E8" s="7">
        <v>0.4</v>
      </c>
      <c r="F8" s="7">
        <v>5.27</v>
      </c>
      <c r="G8" s="2" t="s">
        <v>84</v>
      </c>
      <c r="H8" s="2" t="s">
        <v>32</v>
      </c>
      <c r="I8" s="2" t="s">
        <v>33</v>
      </c>
      <c r="J8" s="2" t="s">
        <v>34</v>
      </c>
      <c r="K8" s="2" t="s">
        <v>25</v>
      </c>
      <c r="L8" s="7">
        <v>0.4</v>
      </c>
      <c r="M8" s="2" t="s">
        <v>26</v>
      </c>
      <c r="N8" s="2" t="s">
        <v>56</v>
      </c>
      <c r="O8" s="2" t="s">
        <v>55</v>
      </c>
      <c r="P8" s="2" t="s">
        <v>26</v>
      </c>
      <c r="Q8" s="2" t="s">
        <v>56</v>
      </c>
      <c r="R8" s="2" t="s">
        <v>86</v>
      </c>
      <c r="S8" s="2" t="s">
        <v>57</v>
      </c>
      <c r="T8" s="2"/>
      <c r="U8" s="2" t="s">
        <v>37</v>
      </c>
    </row>
    <row r="9" ht="16" customHeight="1" spans="1:21">
      <c r="A9" s="2" t="s">
        <v>59</v>
      </c>
      <c r="B9" s="2" t="s">
        <v>53</v>
      </c>
      <c r="C9" s="2" t="s">
        <v>54</v>
      </c>
      <c r="D9" s="2" t="s">
        <v>55</v>
      </c>
      <c r="E9" s="7">
        <v>2.49</v>
      </c>
      <c r="F9" s="7">
        <v>4.46</v>
      </c>
      <c r="G9" s="2" t="s">
        <v>99</v>
      </c>
      <c r="H9" s="2" t="s">
        <v>32</v>
      </c>
      <c r="I9" s="2" t="s">
        <v>33</v>
      </c>
      <c r="J9" s="2" t="s">
        <v>39</v>
      </c>
      <c r="K9" s="2" t="s">
        <v>25</v>
      </c>
      <c r="L9" s="7">
        <v>2.49</v>
      </c>
      <c r="M9" s="2" t="s">
        <v>26</v>
      </c>
      <c r="N9" s="2" t="s">
        <v>56</v>
      </c>
      <c r="O9" s="2" t="s">
        <v>55</v>
      </c>
      <c r="P9" s="2" t="s">
        <v>26</v>
      </c>
      <c r="Q9" s="2" t="s">
        <v>56</v>
      </c>
      <c r="R9" s="2" t="s">
        <v>100</v>
      </c>
      <c r="S9" s="2" t="s">
        <v>57</v>
      </c>
      <c r="T9" s="2"/>
      <c r="U9" s="2" t="s">
        <v>37</v>
      </c>
    </row>
    <row r="10" ht="16" customHeight="1" spans="1:21">
      <c r="A10" s="2" t="s">
        <v>60</v>
      </c>
      <c r="B10" s="2" t="s">
        <v>61</v>
      </c>
      <c r="C10" s="2" t="s">
        <v>62</v>
      </c>
      <c r="D10" s="2" t="s">
        <v>63</v>
      </c>
      <c r="E10" s="7">
        <v>0.07</v>
      </c>
      <c r="F10" s="7">
        <v>4.46</v>
      </c>
      <c r="G10" s="2" t="s">
        <v>108</v>
      </c>
      <c r="H10" s="2" t="s">
        <v>32</v>
      </c>
      <c r="I10" s="2" t="s">
        <v>33</v>
      </c>
      <c r="J10" s="2" t="s">
        <v>47</v>
      </c>
      <c r="K10" s="2" t="s">
        <v>25</v>
      </c>
      <c r="L10" s="7">
        <v>0.07</v>
      </c>
      <c r="M10" s="2" t="s">
        <v>26</v>
      </c>
      <c r="N10" s="2" t="s">
        <v>56</v>
      </c>
      <c r="O10" s="2" t="s">
        <v>63</v>
      </c>
      <c r="P10" s="2" t="s">
        <v>26</v>
      </c>
      <c r="Q10" s="2" t="s">
        <v>56</v>
      </c>
      <c r="R10" s="2" t="s">
        <v>100</v>
      </c>
      <c r="S10" s="2" t="s">
        <v>64</v>
      </c>
      <c r="T10" s="2"/>
      <c r="U10" s="2" t="s">
        <v>37</v>
      </c>
    </row>
    <row r="11" ht="16" customHeight="1" spans="1:21">
      <c r="A11" s="2" t="s">
        <v>65</v>
      </c>
      <c r="B11" s="2" t="s">
        <v>61</v>
      </c>
      <c r="C11" s="2" t="s">
        <v>62</v>
      </c>
      <c r="D11" s="2" t="s">
        <v>63</v>
      </c>
      <c r="E11" s="7">
        <v>0.4</v>
      </c>
      <c r="F11" s="7">
        <v>4.06</v>
      </c>
      <c r="G11" s="2" t="s">
        <v>116</v>
      </c>
      <c r="H11" s="2" t="s">
        <v>32</v>
      </c>
      <c r="I11" s="2" t="s">
        <v>33</v>
      </c>
      <c r="J11" s="2" t="s">
        <v>34</v>
      </c>
      <c r="K11" s="2" t="s">
        <v>25</v>
      </c>
      <c r="L11" s="7">
        <v>0.4</v>
      </c>
      <c r="M11" s="2" t="s">
        <v>26</v>
      </c>
      <c r="N11" s="2" t="s">
        <v>56</v>
      </c>
      <c r="O11" s="2" t="s">
        <v>63</v>
      </c>
      <c r="P11" s="2" t="s">
        <v>26</v>
      </c>
      <c r="Q11" s="2" t="s">
        <v>56</v>
      </c>
      <c r="R11" s="2" t="s">
        <v>117</v>
      </c>
      <c r="S11" s="2" t="s">
        <v>64</v>
      </c>
      <c r="T11" s="2"/>
      <c r="U11" s="2" t="s">
        <v>37</v>
      </c>
    </row>
    <row r="12" ht="16" customHeight="1" spans="1:21">
      <c r="A12" s="2" t="s">
        <v>66</v>
      </c>
      <c r="B12" s="2" t="s">
        <v>61</v>
      </c>
      <c r="C12" s="2" t="s">
        <v>62</v>
      </c>
      <c r="D12" s="2" t="s">
        <v>63</v>
      </c>
      <c r="E12" s="7">
        <v>2.49</v>
      </c>
      <c r="F12" s="7">
        <v>2.89</v>
      </c>
      <c r="G12" s="2" t="s">
        <v>126</v>
      </c>
      <c r="H12" s="2" t="s">
        <v>32</v>
      </c>
      <c r="I12" s="2" t="s">
        <v>33</v>
      </c>
      <c r="J12" s="2" t="s">
        <v>39</v>
      </c>
      <c r="K12" s="2" t="s">
        <v>25</v>
      </c>
      <c r="L12" s="7">
        <v>2.49</v>
      </c>
      <c r="M12" s="2" t="s">
        <v>26</v>
      </c>
      <c r="N12" s="2" t="s">
        <v>56</v>
      </c>
      <c r="O12" s="2" t="s">
        <v>63</v>
      </c>
      <c r="P12" s="2" t="s">
        <v>26</v>
      </c>
      <c r="Q12" s="2" t="s">
        <v>56</v>
      </c>
      <c r="R12" s="2" t="s">
        <v>35</v>
      </c>
      <c r="S12" s="2" t="s">
        <v>64</v>
      </c>
      <c r="T12" s="2"/>
      <c r="U12" s="2" t="s">
        <v>37</v>
      </c>
    </row>
    <row r="13" ht="16" customHeight="1" spans="1:21">
      <c r="A13" s="2" t="s">
        <v>67</v>
      </c>
      <c r="B13" s="2" t="s">
        <v>68</v>
      </c>
      <c r="C13" s="2" t="s">
        <v>69</v>
      </c>
      <c r="D13" s="2" t="s">
        <v>70</v>
      </c>
      <c r="E13" s="7">
        <v>0.07</v>
      </c>
      <c r="F13" s="7">
        <v>2.89</v>
      </c>
      <c r="G13" s="2" t="s">
        <v>132</v>
      </c>
      <c r="H13" s="2" t="s">
        <v>32</v>
      </c>
      <c r="I13" s="2" t="s">
        <v>33</v>
      </c>
      <c r="J13" s="2" t="s">
        <v>47</v>
      </c>
      <c r="K13" s="2" t="s">
        <v>25</v>
      </c>
      <c r="L13" s="7">
        <v>0.07</v>
      </c>
      <c r="M13" s="2" t="s">
        <v>26</v>
      </c>
      <c r="N13" s="2" t="s">
        <v>56</v>
      </c>
      <c r="O13" s="2" t="s">
        <v>70</v>
      </c>
      <c r="P13" s="2" t="s">
        <v>26</v>
      </c>
      <c r="Q13" s="2" t="s">
        <v>56</v>
      </c>
      <c r="R13" s="2" t="s">
        <v>35</v>
      </c>
      <c r="S13" s="2" t="s">
        <v>71</v>
      </c>
      <c r="T13" s="2"/>
      <c r="U13" s="2" t="s">
        <v>37</v>
      </c>
    </row>
    <row r="14" ht="16" customHeight="1" spans="1:21">
      <c r="A14" s="2" t="s">
        <v>72</v>
      </c>
      <c r="B14" s="2" t="s">
        <v>68</v>
      </c>
      <c r="C14" s="2" t="s">
        <v>69</v>
      </c>
      <c r="D14" s="2" t="s">
        <v>70</v>
      </c>
      <c r="E14" s="7">
        <v>0.4</v>
      </c>
      <c r="F14" s="7">
        <v>2.89</v>
      </c>
      <c r="G14" s="2" t="s">
        <v>138</v>
      </c>
      <c r="H14" s="2" t="s">
        <v>32</v>
      </c>
      <c r="I14" s="2" t="s">
        <v>33</v>
      </c>
      <c r="J14" s="2" t="s">
        <v>34</v>
      </c>
      <c r="K14" s="2" t="s">
        <v>25</v>
      </c>
      <c r="L14" s="7">
        <v>0.4</v>
      </c>
      <c r="M14" s="2" t="s">
        <v>26</v>
      </c>
      <c r="N14" s="2" t="s">
        <v>56</v>
      </c>
      <c r="O14" s="2" t="s">
        <v>70</v>
      </c>
      <c r="P14" s="2" t="s">
        <v>26</v>
      </c>
      <c r="Q14" s="2" t="s">
        <v>56</v>
      </c>
      <c r="R14" s="2" t="s">
        <v>35</v>
      </c>
      <c r="S14" s="2" t="s">
        <v>71</v>
      </c>
      <c r="T14" s="2"/>
      <c r="U14" s="2" t="s">
        <v>37</v>
      </c>
    </row>
    <row r="15" ht="16" customHeight="1" spans="1:21">
      <c r="A15" s="2" t="s">
        <v>73</v>
      </c>
      <c r="B15" s="2" t="s">
        <v>68</v>
      </c>
      <c r="C15" s="2" t="s">
        <v>69</v>
      </c>
      <c r="D15" s="2" t="s">
        <v>70</v>
      </c>
      <c r="E15" s="7">
        <v>2.49</v>
      </c>
      <c r="F15" s="7">
        <v>2.96</v>
      </c>
      <c r="G15" s="2" t="s">
        <v>144</v>
      </c>
      <c r="H15" s="2" t="s">
        <v>32</v>
      </c>
      <c r="I15" s="2" t="s">
        <v>33</v>
      </c>
      <c r="J15" s="2" t="s">
        <v>39</v>
      </c>
      <c r="K15" s="2" t="s">
        <v>25</v>
      </c>
      <c r="L15" s="7">
        <v>2.49</v>
      </c>
      <c r="M15" s="2" t="s">
        <v>26</v>
      </c>
      <c r="N15" s="2" t="s">
        <v>56</v>
      </c>
      <c r="O15" s="2" t="s">
        <v>70</v>
      </c>
      <c r="P15" s="2" t="s">
        <v>26</v>
      </c>
      <c r="Q15" s="2" t="s">
        <v>56</v>
      </c>
      <c r="R15" s="2" t="s">
        <v>56</v>
      </c>
      <c r="S15" s="2" t="s">
        <v>71</v>
      </c>
      <c r="T15" s="2"/>
      <c r="U15" s="2" t="s">
        <v>37</v>
      </c>
    </row>
    <row r="16" ht="16" customHeight="1" spans="1:21">
      <c r="A16" s="2" t="s">
        <v>74</v>
      </c>
      <c r="B16" s="2" t="s">
        <v>75</v>
      </c>
      <c r="C16" s="2" t="s">
        <v>76</v>
      </c>
      <c r="D16" s="2" t="s">
        <v>77</v>
      </c>
      <c r="E16" s="7">
        <v>0.07</v>
      </c>
      <c r="F16" s="7">
        <v>2.96</v>
      </c>
      <c r="G16" s="2" t="s">
        <v>151</v>
      </c>
      <c r="H16" s="2" t="s">
        <v>32</v>
      </c>
      <c r="I16" s="2" t="s">
        <v>33</v>
      </c>
      <c r="J16" s="2" t="s">
        <v>47</v>
      </c>
      <c r="K16" s="2" t="s">
        <v>25</v>
      </c>
      <c r="L16" s="7">
        <v>0.07</v>
      </c>
      <c r="M16" s="2" t="s">
        <v>26</v>
      </c>
      <c r="N16" s="2" t="s">
        <v>56</v>
      </c>
      <c r="O16" s="2" t="s">
        <v>77</v>
      </c>
      <c r="P16" s="2" t="s">
        <v>26</v>
      </c>
      <c r="Q16" s="2" t="s">
        <v>56</v>
      </c>
      <c r="R16" s="2" t="s">
        <v>56</v>
      </c>
      <c r="S16" s="2" t="s">
        <v>78</v>
      </c>
      <c r="T16" s="2"/>
      <c r="U16" s="2" t="s">
        <v>37</v>
      </c>
    </row>
    <row r="17" ht="16" customHeight="1" spans="1:21">
      <c r="A17" s="2" t="s">
        <v>79</v>
      </c>
      <c r="B17" s="2" t="s">
        <v>75</v>
      </c>
      <c r="C17" s="2" t="s">
        <v>76</v>
      </c>
      <c r="D17" s="2" t="s">
        <v>77</v>
      </c>
      <c r="E17" s="7">
        <v>0.4</v>
      </c>
      <c r="F17" s="7">
        <v>2.96</v>
      </c>
      <c r="G17" s="2" t="s">
        <v>158</v>
      </c>
      <c r="H17" s="2" t="s">
        <v>32</v>
      </c>
      <c r="I17" s="2" t="s">
        <v>33</v>
      </c>
      <c r="J17" s="2" t="s">
        <v>34</v>
      </c>
      <c r="K17" s="2" t="s">
        <v>25</v>
      </c>
      <c r="L17" s="7">
        <v>0.4</v>
      </c>
      <c r="M17" s="2" t="s">
        <v>26</v>
      </c>
      <c r="N17" s="2" t="s">
        <v>56</v>
      </c>
      <c r="O17" s="2" t="s">
        <v>77</v>
      </c>
      <c r="P17" s="2" t="s">
        <v>26</v>
      </c>
      <c r="Q17" s="2" t="s">
        <v>56</v>
      </c>
      <c r="R17" s="2" t="s">
        <v>56</v>
      </c>
      <c r="S17" s="2" t="s">
        <v>78</v>
      </c>
      <c r="T17" s="2"/>
      <c r="U17" s="2" t="s">
        <v>37</v>
      </c>
    </row>
    <row r="18" ht="16" customHeight="1" spans="1:21">
      <c r="A18" s="2" t="s">
        <v>80</v>
      </c>
      <c r="B18" s="2" t="s">
        <v>75</v>
      </c>
      <c r="C18" s="2" t="s">
        <v>76</v>
      </c>
      <c r="D18" s="2" t="s">
        <v>77</v>
      </c>
      <c r="E18" s="7">
        <v>2.49</v>
      </c>
      <c r="F18" s="7">
        <v>2.96</v>
      </c>
      <c r="G18" s="2" t="s">
        <v>165</v>
      </c>
      <c r="H18" s="2" t="s">
        <v>32</v>
      </c>
      <c r="I18" s="2" t="s">
        <v>33</v>
      </c>
      <c r="J18" s="2" t="s">
        <v>39</v>
      </c>
      <c r="K18" s="2" t="s">
        <v>25</v>
      </c>
      <c r="L18" s="7">
        <v>2.49</v>
      </c>
      <c r="M18" s="2" t="s">
        <v>26</v>
      </c>
      <c r="N18" s="2" t="s">
        <v>56</v>
      </c>
      <c r="O18" s="2" t="s">
        <v>77</v>
      </c>
      <c r="P18" s="2" t="s">
        <v>26</v>
      </c>
      <c r="Q18" s="2" t="s">
        <v>56</v>
      </c>
      <c r="R18" s="2" t="s">
        <v>166</v>
      </c>
      <c r="S18" s="2" t="s">
        <v>78</v>
      </c>
      <c r="T18" s="2"/>
      <c r="U18" s="2" t="s">
        <v>37</v>
      </c>
    </row>
    <row r="19" ht="16" customHeight="1" spans="1:21">
      <c r="A19" s="2" t="s">
        <v>81</v>
      </c>
      <c r="B19" s="2" t="s">
        <v>82</v>
      </c>
      <c r="C19" s="2" t="s">
        <v>83</v>
      </c>
      <c r="D19" s="2" t="s">
        <v>84</v>
      </c>
      <c r="E19" s="7">
        <v>1.5</v>
      </c>
      <c r="F19" s="7">
        <v>2.96</v>
      </c>
      <c r="G19" s="2" t="s">
        <v>173</v>
      </c>
      <c r="H19" s="2" t="s">
        <v>32</v>
      </c>
      <c r="I19" s="2" t="s">
        <v>33</v>
      </c>
      <c r="J19" s="2" t="s">
        <v>85</v>
      </c>
      <c r="K19" s="2" t="s">
        <v>25</v>
      </c>
      <c r="L19" s="7">
        <v>1.5</v>
      </c>
      <c r="M19" s="2" t="s">
        <v>26</v>
      </c>
      <c r="N19" s="2" t="s">
        <v>86</v>
      </c>
      <c r="O19" s="2" t="s">
        <v>84</v>
      </c>
      <c r="P19" s="2" t="s">
        <v>26</v>
      </c>
      <c r="Q19" s="2" t="s">
        <v>86</v>
      </c>
      <c r="R19" s="2" t="s">
        <v>48</v>
      </c>
      <c r="S19" s="2" t="s">
        <v>87</v>
      </c>
      <c r="T19" s="2"/>
      <c r="U19" s="2" t="s">
        <v>37</v>
      </c>
    </row>
    <row r="20" ht="16" customHeight="1" spans="1:21">
      <c r="A20" s="2" t="s">
        <v>88</v>
      </c>
      <c r="B20" s="2" t="s">
        <v>82</v>
      </c>
      <c r="C20" s="2" t="s">
        <v>83</v>
      </c>
      <c r="D20" s="2" t="s">
        <v>84</v>
      </c>
      <c r="E20" s="7">
        <v>0.3</v>
      </c>
      <c r="F20" s="7">
        <v>2.96</v>
      </c>
      <c r="G20" s="2" t="s">
        <v>183</v>
      </c>
      <c r="H20" s="2" t="s">
        <v>32</v>
      </c>
      <c r="I20" s="2" t="s">
        <v>33</v>
      </c>
      <c r="J20" s="2" t="s">
        <v>89</v>
      </c>
      <c r="K20" s="2" t="s">
        <v>25</v>
      </c>
      <c r="L20" s="7">
        <v>0.3</v>
      </c>
      <c r="M20" s="2" t="s">
        <v>26</v>
      </c>
      <c r="N20" s="2" t="s">
        <v>86</v>
      </c>
      <c r="O20" s="2" t="s">
        <v>84</v>
      </c>
      <c r="P20" s="2" t="s">
        <v>26</v>
      </c>
      <c r="Q20" s="2" t="s">
        <v>86</v>
      </c>
      <c r="R20" s="2" t="s">
        <v>184</v>
      </c>
      <c r="S20" s="2" t="s">
        <v>87</v>
      </c>
      <c r="T20" s="2"/>
      <c r="U20" s="2" t="s">
        <v>37</v>
      </c>
    </row>
    <row r="21" ht="16" customHeight="1" spans="1:21">
      <c r="A21" s="2" t="s">
        <v>90</v>
      </c>
      <c r="B21" s="2" t="s">
        <v>82</v>
      </c>
      <c r="C21" s="2" t="s">
        <v>83</v>
      </c>
      <c r="D21" s="2" t="s">
        <v>84</v>
      </c>
      <c r="E21" s="7">
        <v>0.21</v>
      </c>
      <c r="F21" s="7">
        <v>2.89</v>
      </c>
      <c r="G21" s="2" t="s">
        <v>191</v>
      </c>
      <c r="H21" s="2" t="s">
        <v>32</v>
      </c>
      <c r="I21" s="2" t="s">
        <v>33</v>
      </c>
      <c r="J21" s="2" t="s">
        <v>47</v>
      </c>
      <c r="K21" s="2" t="s">
        <v>25</v>
      </c>
      <c r="L21" s="7">
        <v>0.21</v>
      </c>
      <c r="M21" s="2" t="s">
        <v>26</v>
      </c>
      <c r="N21" s="2" t="s">
        <v>86</v>
      </c>
      <c r="O21" s="2" t="s">
        <v>84</v>
      </c>
      <c r="P21" s="2" t="s">
        <v>26</v>
      </c>
      <c r="Q21" s="2" t="s">
        <v>86</v>
      </c>
      <c r="R21" s="2" t="s">
        <v>192</v>
      </c>
      <c r="S21" s="2" t="s">
        <v>87</v>
      </c>
      <c r="T21" s="2"/>
      <c r="U21" s="2" t="s">
        <v>37</v>
      </c>
    </row>
    <row r="22" ht="16" customHeight="1" spans="1:21">
      <c r="A22" s="2" t="s">
        <v>91</v>
      </c>
      <c r="B22" s="2" t="s">
        <v>82</v>
      </c>
      <c r="C22" s="2" t="s">
        <v>83</v>
      </c>
      <c r="D22" s="2" t="s">
        <v>84</v>
      </c>
      <c r="E22" s="7">
        <v>0.4</v>
      </c>
      <c r="F22" s="7">
        <v>2.89</v>
      </c>
      <c r="G22" s="2" t="s">
        <v>198</v>
      </c>
      <c r="H22" s="2" t="s">
        <v>32</v>
      </c>
      <c r="I22" s="2" t="s">
        <v>33</v>
      </c>
      <c r="J22" s="2" t="s">
        <v>34</v>
      </c>
      <c r="K22" s="2" t="s">
        <v>25</v>
      </c>
      <c r="L22" s="7">
        <v>0.4</v>
      </c>
      <c r="M22" s="2" t="s">
        <v>26</v>
      </c>
      <c r="N22" s="2" t="s">
        <v>86</v>
      </c>
      <c r="O22" s="2" t="s">
        <v>84</v>
      </c>
      <c r="P22" s="2" t="s">
        <v>26</v>
      </c>
      <c r="Q22" s="2" t="s">
        <v>86</v>
      </c>
      <c r="R22" s="2" t="s">
        <v>199</v>
      </c>
      <c r="S22" s="2" t="s">
        <v>87</v>
      </c>
      <c r="T22" s="2"/>
      <c r="U22" s="2" t="s">
        <v>37</v>
      </c>
    </row>
    <row r="23" ht="16" customHeight="1" spans="1:21">
      <c r="A23" s="2" t="s">
        <v>92</v>
      </c>
      <c r="B23" s="2" t="s">
        <v>82</v>
      </c>
      <c r="C23" s="2" t="s">
        <v>83</v>
      </c>
      <c r="D23" s="2" t="s">
        <v>84</v>
      </c>
      <c r="E23" s="7">
        <v>2.86</v>
      </c>
      <c r="F23" s="7">
        <v>2.89</v>
      </c>
      <c r="G23" s="2" t="s">
        <v>205</v>
      </c>
      <c r="H23" s="2" t="s">
        <v>32</v>
      </c>
      <c r="I23" s="2" t="s">
        <v>33</v>
      </c>
      <c r="J23" s="2" t="s">
        <v>39</v>
      </c>
      <c r="K23" s="2" t="s">
        <v>25</v>
      </c>
      <c r="L23" s="7">
        <v>2.86</v>
      </c>
      <c r="M23" s="2" t="s">
        <v>26</v>
      </c>
      <c r="N23" s="2" t="s">
        <v>86</v>
      </c>
      <c r="O23" s="2" t="s">
        <v>84</v>
      </c>
      <c r="P23" s="2" t="s">
        <v>26</v>
      </c>
      <c r="Q23" s="2" t="s">
        <v>86</v>
      </c>
      <c r="R23" s="2" t="s">
        <v>35</v>
      </c>
      <c r="S23" s="2" t="s">
        <v>87</v>
      </c>
      <c r="T23" s="2"/>
      <c r="U23" s="2" t="s">
        <v>37</v>
      </c>
    </row>
    <row r="24" ht="16" customHeight="1" spans="1:21">
      <c r="A24" s="2" t="s">
        <v>96</v>
      </c>
      <c r="B24" s="2" t="s">
        <v>97</v>
      </c>
      <c r="C24" s="2" t="s">
        <v>98</v>
      </c>
      <c r="D24" s="2" t="s">
        <v>99</v>
      </c>
      <c r="E24" s="7">
        <v>1.5</v>
      </c>
      <c r="F24" s="7">
        <v>2.89</v>
      </c>
      <c r="G24" s="2" t="s">
        <v>211</v>
      </c>
      <c r="H24" s="2" t="s">
        <v>32</v>
      </c>
      <c r="I24" s="2" t="s">
        <v>33</v>
      </c>
      <c r="J24" s="2" t="s">
        <v>85</v>
      </c>
      <c r="K24" s="2" t="s">
        <v>25</v>
      </c>
      <c r="L24" s="7">
        <v>1.5</v>
      </c>
      <c r="M24" s="2" t="s">
        <v>26</v>
      </c>
      <c r="N24" s="2" t="s">
        <v>100</v>
      </c>
      <c r="O24" s="2" t="s">
        <v>99</v>
      </c>
      <c r="P24" s="2" t="s">
        <v>26</v>
      </c>
      <c r="Q24" s="2" t="s">
        <v>100</v>
      </c>
      <c r="R24" s="2" t="s">
        <v>35</v>
      </c>
      <c r="S24" s="2" t="s">
        <v>101</v>
      </c>
      <c r="T24" s="2"/>
      <c r="U24" s="2" t="s">
        <v>37</v>
      </c>
    </row>
    <row r="25" ht="16" customHeight="1" spans="1:21">
      <c r="A25" s="2" t="s">
        <v>102</v>
      </c>
      <c r="B25" s="2" t="s">
        <v>97</v>
      </c>
      <c r="C25" s="2" t="s">
        <v>98</v>
      </c>
      <c r="D25" s="2" t="s">
        <v>99</v>
      </c>
      <c r="E25" s="7">
        <v>0.07</v>
      </c>
      <c r="F25" s="7">
        <v>3.69</v>
      </c>
      <c r="G25" s="2" t="s">
        <v>217</v>
      </c>
      <c r="H25" s="2" t="s">
        <v>32</v>
      </c>
      <c r="I25" s="2" t="s">
        <v>33</v>
      </c>
      <c r="J25" s="2" t="s">
        <v>47</v>
      </c>
      <c r="K25" s="2" t="s">
        <v>25</v>
      </c>
      <c r="L25" s="7">
        <v>0.07</v>
      </c>
      <c r="M25" s="2" t="s">
        <v>26</v>
      </c>
      <c r="N25" s="2" t="s">
        <v>100</v>
      </c>
      <c r="O25" s="2" t="s">
        <v>99</v>
      </c>
      <c r="P25" s="2" t="s">
        <v>26</v>
      </c>
      <c r="Q25" s="2" t="s">
        <v>100</v>
      </c>
      <c r="R25" s="2" t="s">
        <v>35</v>
      </c>
      <c r="S25" s="2" t="s">
        <v>101</v>
      </c>
      <c r="T25" s="2"/>
      <c r="U25" s="2" t="s">
        <v>37</v>
      </c>
    </row>
    <row r="26" ht="16" customHeight="1" spans="1:21">
      <c r="A26" s="2" t="s">
        <v>103</v>
      </c>
      <c r="B26" s="2" t="s">
        <v>97</v>
      </c>
      <c r="C26" s="2" t="s">
        <v>98</v>
      </c>
      <c r="D26" s="2" t="s">
        <v>99</v>
      </c>
      <c r="E26" s="7">
        <v>0.4</v>
      </c>
      <c r="F26" s="7">
        <v>3.76</v>
      </c>
      <c r="G26" s="2" t="s">
        <v>224</v>
      </c>
      <c r="H26" s="2" t="s">
        <v>32</v>
      </c>
      <c r="I26" s="2" t="s">
        <v>33</v>
      </c>
      <c r="J26" s="2" t="s">
        <v>34</v>
      </c>
      <c r="K26" s="2" t="s">
        <v>25</v>
      </c>
      <c r="L26" s="7">
        <v>0.4</v>
      </c>
      <c r="M26" s="2" t="s">
        <v>26</v>
      </c>
      <c r="N26" s="2" t="s">
        <v>100</v>
      </c>
      <c r="O26" s="2" t="s">
        <v>99</v>
      </c>
      <c r="P26" s="2" t="s">
        <v>26</v>
      </c>
      <c r="Q26" s="2" t="s">
        <v>100</v>
      </c>
      <c r="R26" s="2" t="s">
        <v>56</v>
      </c>
      <c r="S26" s="2" t="s">
        <v>101</v>
      </c>
      <c r="T26" s="2"/>
      <c r="U26" s="2" t="s">
        <v>37</v>
      </c>
    </row>
    <row r="27" ht="16" customHeight="1" spans="1:21">
      <c r="A27" s="2" t="s">
        <v>104</v>
      </c>
      <c r="B27" s="2" t="s">
        <v>97</v>
      </c>
      <c r="C27" s="2" t="s">
        <v>98</v>
      </c>
      <c r="D27" s="2" t="s">
        <v>99</v>
      </c>
      <c r="E27" s="7">
        <v>2.49</v>
      </c>
      <c r="F27" s="7">
        <v>3.76</v>
      </c>
      <c r="G27" s="2" t="s">
        <v>232</v>
      </c>
      <c r="H27" s="2" t="s">
        <v>32</v>
      </c>
      <c r="I27" s="2" t="s">
        <v>33</v>
      </c>
      <c r="J27" s="2" t="s">
        <v>39</v>
      </c>
      <c r="K27" s="2" t="s">
        <v>25</v>
      </c>
      <c r="L27" s="7">
        <v>2.49</v>
      </c>
      <c r="M27" s="2" t="s">
        <v>26</v>
      </c>
      <c r="N27" s="2" t="s">
        <v>100</v>
      </c>
      <c r="O27" s="2" t="s">
        <v>99</v>
      </c>
      <c r="P27" s="2" t="s">
        <v>26</v>
      </c>
      <c r="Q27" s="2" t="s">
        <v>100</v>
      </c>
      <c r="R27" s="2" t="s">
        <v>56</v>
      </c>
      <c r="S27" s="2" t="s">
        <v>101</v>
      </c>
      <c r="T27" s="2"/>
      <c r="U27" s="2" t="s">
        <v>37</v>
      </c>
    </row>
    <row r="28" ht="16" customHeight="1" spans="1:21">
      <c r="A28" s="2" t="s">
        <v>105</v>
      </c>
      <c r="B28" s="2" t="s">
        <v>106</v>
      </c>
      <c r="C28" s="2" t="s">
        <v>107</v>
      </c>
      <c r="D28" s="2" t="s">
        <v>108</v>
      </c>
      <c r="E28" s="7">
        <v>1.5</v>
      </c>
      <c r="F28" s="7">
        <v>3.76</v>
      </c>
      <c r="G28" s="2" t="s">
        <v>240</v>
      </c>
      <c r="H28" s="2" t="s">
        <v>32</v>
      </c>
      <c r="I28" s="2" t="s">
        <v>33</v>
      </c>
      <c r="J28" s="2" t="s">
        <v>85</v>
      </c>
      <c r="K28" s="2" t="s">
        <v>25</v>
      </c>
      <c r="L28" s="7">
        <v>1.5</v>
      </c>
      <c r="M28" s="2" t="s">
        <v>26</v>
      </c>
      <c r="N28" s="2" t="s">
        <v>100</v>
      </c>
      <c r="O28" s="2" t="s">
        <v>108</v>
      </c>
      <c r="P28" s="2" t="s">
        <v>26</v>
      </c>
      <c r="Q28" s="2" t="s">
        <v>100</v>
      </c>
      <c r="R28" s="2" t="s">
        <v>56</v>
      </c>
      <c r="S28" s="2" t="s">
        <v>109</v>
      </c>
      <c r="T28" s="2"/>
      <c r="U28" s="2" t="s">
        <v>37</v>
      </c>
    </row>
    <row r="29" ht="16" customHeight="1" spans="1:21">
      <c r="A29" s="2" t="s">
        <v>110</v>
      </c>
      <c r="B29" s="2" t="s">
        <v>106</v>
      </c>
      <c r="C29" s="2" t="s">
        <v>107</v>
      </c>
      <c r="D29" s="2" t="s">
        <v>108</v>
      </c>
      <c r="E29" s="7">
        <v>0.07</v>
      </c>
      <c r="F29" s="7">
        <v>3.76</v>
      </c>
      <c r="G29" s="2" t="s">
        <v>248</v>
      </c>
      <c r="H29" s="2" t="s">
        <v>32</v>
      </c>
      <c r="I29" s="2" t="s">
        <v>33</v>
      </c>
      <c r="J29" s="2" t="s">
        <v>47</v>
      </c>
      <c r="K29" s="2" t="s">
        <v>25</v>
      </c>
      <c r="L29" s="7">
        <v>0.07</v>
      </c>
      <c r="M29" s="2" t="s">
        <v>26</v>
      </c>
      <c r="N29" s="2" t="s">
        <v>100</v>
      </c>
      <c r="O29" s="2" t="s">
        <v>108</v>
      </c>
      <c r="P29" s="2" t="s">
        <v>26</v>
      </c>
      <c r="Q29" s="2" t="s">
        <v>100</v>
      </c>
      <c r="R29" s="2" t="s">
        <v>56</v>
      </c>
      <c r="S29" s="2" t="s">
        <v>109</v>
      </c>
      <c r="T29" s="2"/>
      <c r="U29" s="2" t="s">
        <v>37</v>
      </c>
    </row>
    <row r="30" ht="16" customHeight="1" spans="1:21">
      <c r="A30" s="2" t="s">
        <v>111</v>
      </c>
      <c r="B30" s="2" t="s">
        <v>106</v>
      </c>
      <c r="C30" s="2" t="s">
        <v>107</v>
      </c>
      <c r="D30" s="2" t="s">
        <v>108</v>
      </c>
      <c r="E30" s="7">
        <v>0.4</v>
      </c>
      <c r="F30" s="7">
        <v>3.76</v>
      </c>
      <c r="G30" s="2" t="s">
        <v>256</v>
      </c>
      <c r="H30" s="2" t="s">
        <v>32</v>
      </c>
      <c r="I30" s="2" t="s">
        <v>33</v>
      </c>
      <c r="J30" s="2" t="s">
        <v>34</v>
      </c>
      <c r="K30" s="2" t="s">
        <v>25</v>
      </c>
      <c r="L30" s="7">
        <v>0.4</v>
      </c>
      <c r="M30" s="2" t="s">
        <v>26</v>
      </c>
      <c r="N30" s="2" t="s">
        <v>100</v>
      </c>
      <c r="O30" s="2" t="s">
        <v>108</v>
      </c>
      <c r="P30" s="2" t="s">
        <v>26</v>
      </c>
      <c r="Q30" s="2" t="s">
        <v>100</v>
      </c>
      <c r="R30" s="2" t="s">
        <v>56</v>
      </c>
      <c r="S30" s="2" t="s">
        <v>109</v>
      </c>
      <c r="T30" s="2"/>
      <c r="U30" s="2" t="s">
        <v>37</v>
      </c>
    </row>
    <row r="31" ht="16" customHeight="1" spans="1:21">
      <c r="A31" s="2" t="s">
        <v>112</v>
      </c>
      <c r="B31" s="2" t="s">
        <v>106</v>
      </c>
      <c r="C31" s="2" t="s">
        <v>107</v>
      </c>
      <c r="D31" s="2" t="s">
        <v>108</v>
      </c>
      <c r="E31" s="7">
        <v>2.49</v>
      </c>
      <c r="F31" s="7">
        <v>2.96</v>
      </c>
      <c r="G31" s="2" t="s">
        <v>264</v>
      </c>
      <c r="H31" s="2" t="s">
        <v>32</v>
      </c>
      <c r="I31" s="2" t="s">
        <v>33</v>
      </c>
      <c r="J31" s="2" t="s">
        <v>39</v>
      </c>
      <c r="K31" s="2" t="s">
        <v>25</v>
      </c>
      <c r="L31" s="7">
        <v>2.49</v>
      </c>
      <c r="M31" s="2" t="s">
        <v>26</v>
      </c>
      <c r="N31" s="2" t="s">
        <v>100</v>
      </c>
      <c r="O31" s="2" t="s">
        <v>108</v>
      </c>
      <c r="P31" s="2" t="s">
        <v>26</v>
      </c>
      <c r="Q31" s="2" t="s">
        <v>100</v>
      </c>
      <c r="R31" s="2" t="s">
        <v>48</v>
      </c>
      <c r="S31" s="2" t="s">
        <v>109</v>
      </c>
      <c r="T31" s="2"/>
      <c r="U31" s="2" t="s">
        <v>37</v>
      </c>
    </row>
    <row r="32" ht="16" customHeight="1" spans="1:21">
      <c r="A32" s="2" t="s">
        <v>113</v>
      </c>
      <c r="B32" s="2" t="s">
        <v>114</v>
      </c>
      <c r="C32" s="2" t="s">
        <v>115</v>
      </c>
      <c r="D32" s="2" t="s">
        <v>116</v>
      </c>
      <c r="E32" s="7">
        <v>0.8</v>
      </c>
      <c r="F32" s="7">
        <v>2.96</v>
      </c>
      <c r="G32" s="2" t="s">
        <v>271</v>
      </c>
      <c r="H32" s="2" t="s">
        <v>32</v>
      </c>
      <c r="I32" s="2" t="s">
        <v>33</v>
      </c>
      <c r="J32" s="2" t="s">
        <v>85</v>
      </c>
      <c r="K32" s="2" t="s">
        <v>25</v>
      </c>
      <c r="L32" s="7">
        <v>0.8</v>
      </c>
      <c r="M32" s="2" t="s">
        <v>26</v>
      </c>
      <c r="N32" s="2" t="s">
        <v>117</v>
      </c>
      <c r="O32" s="2" t="s">
        <v>116</v>
      </c>
      <c r="P32" s="2" t="s">
        <v>26</v>
      </c>
      <c r="Q32" s="2" t="s">
        <v>117</v>
      </c>
      <c r="R32" s="2" t="s">
        <v>48</v>
      </c>
      <c r="S32" s="2" t="s">
        <v>118</v>
      </c>
      <c r="T32" s="2"/>
      <c r="U32" s="2" t="s">
        <v>37</v>
      </c>
    </row>
    <row r="33" ht="16" customHeight="1" spans="1:21">
      <c r="A33" s="2" t="s">
        <v>119</v>
      </c>
      <c r="B33" s="2" t="s">
        <v>114</v>
      </c>
      <c r="C33" s="2" t="s">
        <v>115</v>
      </c>
      <c r="D33" s="2" t="s">
        <v>116</v>
      </c>
      <c r="E33" s="7">
        <v>0.3</v>
      </c>
      <c r="F33" s="7">
        <v>2.89</v>
      </c>
      <c r="G33" s="2" t="s">
        <v>278</v>
      </c>
      <c r="H33" s="2" t="s">
        <v>32</v>
      </c>
      <c r="I33" s="2" t="s">
        <v>33</v>
      </c>
      <c r="J33" s="2" t="s">
        <v>89</v>
      </c>
      <c r="K33" s="2" t="s">
        <v>25</v>
      </c>
      <c r="L33" s="7">
        <v>0.3</v>
      </c>
      <c r="M33" s="2" t="s">
        <v>26</v>
      </c>
      <c r="N33" s="2" t="s">
        <v>117</v>
      </c>
      <c r="O33" s="2" t="s">
        <v>116</v>
      </c>
      <c r="P33" s="2" t="s">
        <v>26</v>
      </c>
      <c r="Q33" s="2" t="s">
        <v>117</v>
      </c>
      <c r="R33" s="2" t="s">
        <v>279</v>
      </c>
      <c r="S33" s="2" t="s">
        <v>118</v>
      </c>
      <c r="T33" s="2"/>
      <c r="U33" s="2" t="s">
        <v>37</v>
      </c>
    </row>
    <row r="34" ht="16" customHeight="1" spans="1:21">
      <c r="A34" s="2" t="s">
        <v>120</v>
      </c>
      <c r="B34" s="2" t="s">
        <v>114</v>
      </c>
      <c r="C34" s="2" t="s">
        <v>115</v>
      </c>
      <c r="D34" s="2" t="s">
        <v>116</v>
      </c>
      <c r="E34" s="7">
        <v>0.07</v>
      </c>
      <c r="F34" s="7">
        <v>3.96</v>
      </c>
      <c r="G34" s="2" t="s">
        <v>285</v>
      </c>
      <c r="H34" s="2" t="s">
        <v>32</v>
      </c>
      <c r="I34" s="2" t="s">
        <v>33</v>
      </c>
      <c r="J34" s="2" t="s">
        <v>47</v>
      </c>
      <c r="K34" s="2" t="s">
        <v>25</v>
      </c>
      <c r="L34" s="7">
        <v>0.07</v>
      </c>
      <c r="M34" s="2" t="s">
        <v>26</v>
      </c>
      <c r="N34" s="2" t="s">
        <v>117</v>
      </c>
      <c r="O34" s="2" t="s">
        <v>116</v>
      </c>
      <c r="P34" s="2" t="s">
        <v>26</v>
      </c>
      <c r="Q34" s="2" t="s">
        <v>117</v>
      </c>
      <c r="R34" s="2" t="s">
        <v>286</v>
      </c>
      <c r="S34" s="2" t="s">
        <v>118</v>
      </c>
      <c r="T34" s="2"/>
      <c r="U34" s="2" t="s">
        <v>37</v>
      </c>
    </row>
    <row r="35" ht="16" customHeight="1" spans="1:21">
      <c r="A35" s="2" t="s">
        <v>121</v>
      </c>
      <c r="B35" s="2" t="s">
        <v>114</v>
      </c>
      <c r="C35" s="2" t="s">
        <v>115</v>
      </c>
      <c r="D35" s="2" t="s">
        <v>116</v>
      </c>
      <c r="E35" s="7">
        <v>0.4</v>
      </c>
      <c r="F35" s="7">
        <v>3.89</v>
      </c>
      <c r="G35" s="2" t="s">
        <v>294</v>
      </c>
      <c r="H35" s="2" t="s">
        <v>32</v>
      </c>
      <c r="I35" s="2" t="s">
        <v>33</v>
      </c>
      <c r="J35" s="2" t="s">
        <v>34</v>
      </c>
      <c r="K35" s="2" t="s">
        <v>25</v>
      </c>
      <c r="L35" s="7">
        <v>0.4</v>
      </c>
      <c r="M35" s="2" t="s">
        <v>26</v>
      </c>
      <c r="N35" s="2" t="s">
        <v>117</v>
      </c>
      <c r="O35" s="2" t="s">
        <v>116</v>
      </c>
      <c r="P35" s="2" t="s">
        <v>26</v>
      </c>
      <c r="Q35" s="2" t="s">
        <v>117</v>
      </c>
      <c r="R35" s="2" t="s">
        <v>295</v>
      </c>
      <c r="S35" s="2" t="s">
        <v>118</v>
      </c>
      <c r="T35" s="2"/>
      <c r="U35" s="2" t="s">
        <v>37</v>
      </c>
    </row>
    <row r="36" ht="16" customHeight="1" spans="1:21">
      <c r="A36" s="2" t="s">
        <v>122</v>
      </c>
      <c r="B36" s="2" t="s">
        <v>114</v>
      </c>
      <c r="C36" s="2" t="s">
        <v>115</v>
      </c>
      <c r="D36" s="2" t="s">
        <v>116</v>
      </c>
      <c r="E36" s="7">
        <v>2.49</v>
      </c>
      <c r="F36" s="7">
        <v>3.89</v>
      </c>
      <c r="G36" s="2" t="s">
        <v>302</v>
      </c>
      <c r="H36" s="2" t="s">
        <v>32</v>
      </c>
      <c r="I36" s="2" t="s">
        <v>33</v>
      </c>
      <c r="J36" s="2" t="s">
        <v>39</v>
      </c>
      <c r="K36" s="2" t="s">
        <v>25</v>
      </c>
      <c r="L36" s="7">
        <v>2.49</v>
      </c>
      <c r="M36" s="2" t="s">
        <v>26</v>
      </c>
      <c r="N36" s="2" t="s">
        <v>117</v>
      </c>
      <c r="O36" s="2" t="s">
        <v>116</v>
      </c>
      <c r="P36" s="2" t="s">
        <v>26</v>
      </c>
      <c r="Q36" s="2" t="s">
        <v>117</v>
      </c>
      <c r="R36" s="2" t="s">
        <v>295</v>
      </c>
      <c r="S36" s="2" t="s">
        <v>118</v>
      </c>
      <c r="T36" s="2"/>
      <c r="U36" s="2" t="s">
        <v>37</v>
      </c>
    </row>
    <row r="37" ht="16" customHeight="1" spans="1:21">
      <c r="A37" s="2" t="s">
        <v>123</v>
      </c>
      <c r="B37" s="2" t="s">
        <v>124</v>
      </c>
      <c r="C37" s="2" t="s">
        <v>125</v>
      </c>
      <c r="D37" s="2" t="s">
        <v>126</v>
      </c>
      <c r="E37" s="7">
        <v>0.4</v>
      </c>
      <c r="F37" s="7">
        <v>2.89</v>
      </c>
      <c r="G37" s="2" t="s">
        <v>309</v>
      </c>
      <c r="H37" s="2" t="s">
        <v>32</v>
      </c>
      <c r="I37" s="2" t="s">
        <v>33</v>
      </c>
      <c r="J37" s="2" t="s">
        <v>34</v>
      </c>
      <c r="K37" s="2" t="s">
        <v>25</v>
      </c>
      <c r="L37" s="7">
        <v>0.4</v>
      </c>
      <c r="M37" s="2" t="s">
        <v>26</v>
      </c>
      <c r="N37" s="2" t="s">
        <v>35</v>
      </c>
      <c r="O37" s="2" t="s">
        <v>126</v>
      </c>
      <c r="P37" s="2" t="s">
        <v>26</v>
      </c>
      <c r="Q37" s="2" t="s">
        <v>35</v>
      </c>
      <c r="R37" s="2" t="s">
        <v>295</v>
      </c>
      <c r="S37" s="2" t="s">
        <v>127</v>
      </c>
      <c r="T37" s="2"/>
      <c r="U37" s="2" t="s">
        <v>37</v>
      </c>
    </row>
    <row r="38" ht="16" customHeight="1" spans="1:21">
      <c r="A38" s="2" t="s">
        <v>128</v>
      </c>
      <c r="B38" s="2" t="s">
        <v>124</v>
      </c>
      <c r="C38" s="2" t="s">
        <v>125</v>
      </c>
      <c r="D38" s="2" t="s">
        <v>126</v>
      </c>
      <c r="E38" s="7">
        <v>2.49</v>
      </c>
      <c r="F38" s="7">
        <v>2.96</v>
      </c>
      <c r="G38" s="2" t="s">
        <v>315</v>
      </c>
      <c r="H38" s="2" t="s">
        <v>32</v>
      </c>
      <c r="I38" s="2" t="s">
        <v>33</v>
      </c>
      <c r="J38" s="2" t="s">
        <v>39</v>
      </c>
      <c r="K38" s="2" t="s">
        <v>25</v>
      </c>
      <c r="L38" s="7">
        <v>2.49</v>
      </c>
      <c r="M38" s="2" t="s">
        <v>26</v>
      </c>
      <c r="N38" s="2" t="s">
        <v>35</v>
      </c>
      <c r="O38" s="2" t="s">
        <v>126</v>
      </c>
      <c r="P38" s="2" t="s">
        <v>26</v>
      </c>
      <c r="Q38" s="2" t="s">
        <v>35</v>
      </c>
      <c r="R38" s="2" t="s">
        <v>316</v>
      </c>
      <c r="S38" s="2" t="s">
        <v>127</v>
      </c>
      <c r="T38" s="2"/>
      <c r="U38" s="2" t="s">
        <v>37</v>
      </c>
    </row>
    <row r="39" ht="16" customHeight="1" spans="1:21">
      <c r="A39" s="2" t="s">
        <v>129</v>
      </c>
      <c r="B39" s="2" t="s">
        <v>130</v>
      </c>
      <c r="C39" s="2" t="s">
        <v>131</v>
      </c>
      <c r="D39" s="2" t="s">
        <v>132</v>
      </c>
      <c r="E39" s="7">
        <v>0.4</v>
      </c>
      <c r="F39" s="7">
        <v>2.96</v>
      </c>
      <c r="G39" s="2" t="s">
        <v>323</v>
      </c>
      <c r="H39" s="2" t="s">
        <v>32</v>
      </c>
      <c r="I39" s="2" t="s">
        <v>33</v>
      </c>
      <c r="J39" s="2" t="s">
        <v>34</v>
      </c>
      <c r="K39" s="2" t="s">
        <v>25</v>
      </c>
      <c r="L39" s="7">
        <v>0.4</v>
      </c>
      <c r="M39" s="2" t="s">
        <v>26</v>
      </c>
      <c r="N39" s="2" t="s">
        <v>35</v>
      </c>
      <c r="O39" s="2" t="s">
        <v>132</v>
      </c>
      <c r="P39" s="2" t="s">
        <v>26</v>
      </c>
      <c r="Q39" s="2" t="s">
        <v>35</v>
      </c>
      <c r="R39" s="2" t="s">
        <v>48</v>
      </c>
      <c r="S39" s="2" t="s">
        <v>133</v>
      </c>
      <c r="T39" s="2"/>
      <c r="U39" s="2" t="s">
        <v>37</v>
      </c>
    </row>
    <row r="40" ht="16" customHeight="1" spans="1:21">
      <c r="A40" s="2" t="s">
        <v>134</v>
      </c>
      <c r="B40" s="2" t="s">
        <v>130</v>
      </c>
      <c r="C40" s="2" t="s">
        <v>131</v>
      </c>
      <c r="D40" s="2" t="s">
        <v>132</v>
      </c>
      <c r="E40" s="7">
        <v>2.49</v>
      </c>
      <c r="F40" s="7">
        <v>4.06</v>
      </c>
      <c r="G40" s="2" t="s">
        <v>333</v>
      </c>
      <c r="H40" s="2" t="s">
        <v>32</v>
      </c>
      <c r="I40" s="2" t="s">
        <v>33</v>
      </c>
      <c r="J40" s="2" t="s">
        <v>39</v>
      </c>
      <c r="K40" s="2" t="s">
        <v>25</v>
      </c>
      <c r="L40" s="7">
        <v>2.49</v>
      </c>
      <c r="M40" s="2" t="s">
        <v>26</v>
      </c>
      <c r="N40" s="2" t="s">
        <v>35</v>
      </c>
      <c r="O40" s="2" t="s">
        <v>132</v>
      </c>
      <c r="P40" s="2" t="s">
        <v>26</v>
      </c>
      <c r="Q40" s="2" t="s">
        <v>35</v>
      </c>
      <c r="R40" s="2" t="s">
        <v>117</v>
      </c>
      <c r="S40" s="2" t="s">
        <v>133</v>
      </c>
      <c r="T40" s="2"/>
      <c r="U40" s="2" t="s">
        <v>37</v>
      </c>
    </row>
    <row r="41" ht="16" customHeight="1" spans="1:21">
      <c r="A41" s="2" t="s">
        <v>135</v>
      </c>
      <c r="B41" s="2" t="s">
        <v>136</v>
      </c>
      <c r="C41" s="2" t="s">
        <v>137</v>
      </c>
      <c r="D41" s="2" t="s">
        <v>138</v>
      </c>
      <c r="E41" s="7">
        <v>0.4</v>
      </c>
      <c r="F41" s="7">
        <v>6.93</v>
      </c>
      <c r="G41" s="2" t="s">
        <v>350</v>
      </c>
      <c r="H41" s="2" t="s">
        <v>32</v>
      </c>
      <c r="I41" s="2" t="s">
        <v>33</v>
      </c>
      <c r="J41" s="2" t="s">
        <v>34</v>
      </c>
      <c r="K41" s="2" t="s">
        <v>25</v>
      </c>
      <c r="L41" s="7">
        <v>0.4</v>
      </c>
      <c r="M41" s="2" t="s">
        <v>26</v>
      </c>
      <c r="N41" s="2" t="s">
        <v>35</v>
      </c>
      <c r="O41" s="2" t="s">
        <v>138</v>
      </c>
      <c r="P41" s="2" t="s">
        <v>26</v>
      </c>
      <c r="Q41" s="2" t="s">
        <v>35</v>
      </c>
      <c r="R41" s="2" t="s">
        <v>352</v>
      </c>
      <c r="S41" s="2" t="s">
        <v>139</v>
      </c>
      <c r="T41" s="2"/>
      <c r="U41" s="2" t="s">
        <v>37</v>
      </c>
    </row>
    <row r="42" ht="16" customHeight="1" spans="1:21">
      <c r="A42" s="2" t="s">
        <v>140</v>
      </c>
      <c r="B42" s="2" t="s">
        <v>136</v>
      </c>
      <c r="C42" s="2" t="s">
        <v>137</v>
      </c>
      <c r="D42" s="2" t="s">
        <v>138</v>
      </c>
      <c r="E42" s="7">
        <v>2.49</v>
      </c>
      <c r="F42" s="7">
        <v>2.96</v>
      </c>
      <c r="G42" s="2" t="s">
        <v>359</v>
      </c>
      <c r="H42" s="2" t="s">
        <v>32</v>
      </c>
      <c r="I42" s="2" t="s">
        <v>33</v>
      </c>
      <c r="J42" s="2" t="s">
        <v>39</v>
      </c>
      <c r="K42" s="2" t="s">
        <v>25</v>
      </c>
      <c r="L42" s="7">
        <v>2.49</v>
      </c>
      <c r="M42" s="2" t="s">
        <v>26</v>
      </c>
      <c r="N42" s="2" t="s">
        <v>35</v>
      </c>
      <c r="O42" s="2" t="s">
        <v>138</v>
      </c>
      <c r="P42" s="2" t="s">
        <v>26</v>
      </c>
      <c r="Q42" s="2" t="s">
        <v>35</v>
      </c>
      <c r="R42" s="2" t="s">
        <v>48</v>
      </c>
      <c r="S42" s="2" t="s">
        <v>139</v>
      </c>
      <c r="T42" s="2"/>
      <c r="U42" s="2" t="s">
        <v>37</v>
      </c>
    </row>
    <row r="43" ht="16" customHeight="1" spans="1:21">
      <c r="A43" s="2" t="s">
        <v>141</v>
      </c>
      <c r="B43" s="2" t="s">
        <v>142</v>
      </c>
      <c r="C43" s="2" t="s">
        <v>143</v>
      </c>
      <c r="D43" s="2" t="s">
        <v>144</v>
      </c>
      <c r="E43" s="7">
        <v>0.07</v>
      </c>
      <c r="F43" s="7">
        <v>3.69</v>
      </c>
      <c r="G43" s="2" t="s">
        <v>366</v>
      </c>
      <c r="H43" s="2" t="s">
        <v>32</v>
      </c>
      <c r="I43" s="2" t="s">
        <v>33</v>
      </c>
      <c r="J43" s="2" t="s">
        <v>47</v>
      </c>
      <c r="K43" s="2" t="s">
        <v>25</v>
      </c>
      <c r="L43" s="7">
        <v>0.07</v>
      </c>
      <c r="M43" s="2" t="s">
        <v>26</v>
      </c>
      <c r="N43" s="2" t="s">
        <v>56</v>
      </c>
      <c r="O43" s="2" t="s">
        <v>144</v>
      </c>
      <c r="P43" s="2" t="s">
        <v>26</v>
      </c>
      <c r="Q43" s="2" t="s">
        <v>56</v>
      </c>
      <c r="R43" s="2" t="s">
        <v>367</v>
      </c>
      <c r="S43" s="2" t="s">
        <v>145</v>
      </c>
      <c r="T43" s="2"/>
      <c r="U43" s="2" t="s">
        <v>37</v>
      </c>
    </row>
    <row r="44" ht="16" customHeight="1" spans="1:21">
      <c r="A44" s="2" t="s">
        <v>146</v>
      </c>
      <c r="B44" s="2" t="s">
        <v>142</v>
      </c>
      <c r="C44" s="2" t="s">
        <v>143</v>
      </c>
      <c r="D44" s="2" t="s">
        <v>144</v>
      </c>
      <c r="E44" s="7">
        <v>0.4</v>
      </c>
      <c r="F44" s="7">
        <v>3.69</v>
      </c>
      <c r="G44" s="2" t="s">
        <v>374</v>
      </c>
      <c r="H44" s="2" t="s">
        <v>32</v>
      </c>
      <c r="I44" s="2" t="s">
        <v>33</v>
      </c>
      <c r="J44" s="2" t="s">
        <v>34</v>
      </c>
      <c r="K44" s="2" t="s">
        <v>25</v>
      </c>
      <c r="L44" s="7">
        <v>0.4</v>
      </c>
      <c r="M44" s="2" t="s">
        <v>26</v>
      </c>
      <c r="N44" s="2" t="s">
        <v>56</v>
      </c>
      <c r="O44" s="2" t="s">
        <v>144</v>
      </c>
      <c r="P44" s="2" t="s">
        <v>26</v>
      </c>
      <c r="Q44" s="2" t="s">
        <v>56</v>
      </c>
      <c r="R44" s="2" t="s">
        <v>35</v>
      </c>
      <c r="S44" s="2" t="s">
        <v>145</v>
      </c>
      <c r="T44" s="2"/>
      <c r="U44" s="2" t="s">
        <v>37</v>
      </c>
    </row>
    <row r="45" ht="16" customHeight="1" spans="1:21">
      <c r="A45" s="2" t="s">
        <v>147</v>
      </c>
      <c r="B45" s="2" t="s">
        <v>142</v>
      </c>
      <c r="C45" s="2" t="s">
        <v>143</v>
      </c>
      <c r="D45" s="2" t="s">
        <v>144</v>
      </c>
      <c r="E45" s="7">
        <v>2.49</v>
      </c>
      <c r="F45" s="7">
        <v>3.76</v>
      </c>
      <c r="G45" s="2" t="s">
        <v>381</v>
      </c>
      <c r="H45" s="2" t="s">
        <v>32</v>
      </c>
      <c r="I45" s="2" t="s">
        <v>33</v>
      </c>
      <c r="J45" s="2" t="s">
        <v>39</v>
      </c>
      <c r="K45" s="2" t="s">
        <v>25</v>
      </c>
      <c r="L45" s="7">
        <v>2.49</v>
      </c>
      <c r="M45" s="2" t="s">
        <v>26</v>
      </c>
      <c r="N45" s="2" t="s">
        <v>56</v>
      </c>
      <c r="O45" s="2" t="s">
        <v>144</v>
      </c>
      <c r="P45" s="2" t="s">
        <v>26</v>
      </c>
      <c r="Q45" s="2" t="s">
        <v>56</v>
      </c>
      <c r="R45" s="2" t="s">
        <v>166</v>
      </c>
      <c r="S45" s="2" t="s">
        <v>145</v>
      </c>
      <c r="T45" s="2"/>
      <c r="U45" s="2" t="s">
        <v>37</v>
      </c>
    </row>
    <row r="46" ht="16" customHeight="1" spans="1:21">
      <c r="A46" s="2" t="s">
        <v>148</v>
      </c>
      <c r="B46" s="2" t="s">
        <v>149</v>
      </c>
      <c r="C46" s="2" t="s">
        <v>150</v>
      </c>
      <c r="D46" s="2" t="s">
        <v>151</v>
      </c>
      <c r="E46" s="7">
        <v>0.07</v>
      </c>
      <c r="F46" s="7">
        <v>5.54</v>
      </c>
      <c r="G46" s="2" t="s">
        <v>389</v>
      </c>
      <c r="H46" s="2" t="s">
        <v>32</v>
      </c>
      <c r="I46" s="2" t="s">
        <v>33</v>
      </c>
      <c r="J46" s="2" t="s">
        <v>47</v>
      </c>
      <c r="K46" s="2" t="s">
        <v>25</v>
      </c>
      <c r="L46" s="7">
        <v>0.07</v>
      </c>
      <c r="M46" s="2" t="s">
        <v>26</v>
      </c>
      <c r="N46" s="2" t="s">
        <v>56</v>
      </c>
      <c r="O46" s="2" t="s">
        <v>151</v>
      </c>
      <c r="P46" s="2" t="s">
        <v>26</v>
      </c>
      <c r="Q46" s="2" t="s">
        <v>56</v>
      </c>
      <c r="R46" s="2" t="s">
        <v>352</v>
      </c>
      <c r="S46" s="2" t="s">
        <v>152</v>
      </c>
      <c r="T46" s="2"/>
      <c r="U46" s="2" t="s">
        <v>37</v>
      </c>
    </row>
    <row r="47" ht="16" customHeight="1" spans="1:21">
      <c r="A47" s="2" t="s">
        <v>153</v>
      </c>
      <c r="B47" s="2" t="s">
        <v>149</v>
      </c>
      <c r="C47" s="2" t="s">
        <v>150</v>
      </c>
      <c r="D47" s="2" t="s">
        <v>151</v>
      </c>
      <c r="E47" s="7">
        <v>0.4</v>
      </c>
      <c r="F47" s="7">
        <v>3.76</v>
      </c>
      <c r="G47" s="2" t="s">
        <v>397</v>
      </c>
      <c r="H47" s="2" t="s">
        <v>32</v>
      </c>
      <c r="I47" s="2" t="s">
        <v>33</v>
      </c>
      <c r="J47" s="2" t="s">
        <v>34</v>
      </c>
      <c r="K47" s="2" t="s">
        <v>25</v>
      </c>
      <c r="L47" s="7">
        <v>0.4</v>
      </c>
      <c r="M47" s="2" t="s">
        <v>26</v>
      </c>
      <c r="N47" s="2" t="s">
        <v>56</v>
      </c>
      <c r="O47" s="2" t="s">
        <v>151</v>
      </c>
      <c r="P47" s="2" t="s">
        <v>26</v>
      </c>
      <c r="Q47" s="2" t="s">
        <v>56</v>
      </c>
      <c r="R47" s="2" t="s">
        <v>100</v>
      </c>
      <c r="S47" s="2" t="s">
        <v>152</v>
      </c>
      <c r="T47" s="2"/>
      <c r="U47" s="2" t="s">
        <v>37</v>
      </c>
    </row>
    <row r="48" ht="16" customHeight="1" spans="1:21">
      <c r="A48" s="2" t="s">
        <v>154</v>
      </c>
      <c r="B48" s="2" t="s">
        <v>149</v>
      </c>
      <c r="C48" s="2" t="s">
        <v>150</v>
      </c>
      <c r="D48" s="2" t="s">
        <v>151</v>
      </c>
      <c r="E48" s="7">
        <v>2.49</v>
      </c>
      <c r="F48" s="7">
        <v>4.46</v>
      </c>
      <c r="G48" s="2" t="s">
        <v>411</v>
      </c>
      <c r="H48" s="2" t="s">
        <v>32</v>
      </c>
      <c r="I48" s="2" t="s">
        <v>33</v>
      </c>
      <c r="J48" s="2" t="s">
        <v>39</v>
      </c>
      <c r="K48" s="2" t="s">
        <v>25</v>
      </c>
      <c r="L48" s="7">
        <v>2.49</v>
      </c>
      <c r="M48" s="2" t="s">
        <v>26</v>
      </c>
      <c r="N48" s="2" t="s">
        <v>56</v>
      </c>
      <c r="O48" s="2" t="s">
        <v>151</v>
      </c>
      <c r="P48" s="2" t="s">
        <v>26</v>
      </c>
      <c r="Q48" s="2" t="s">
        <v>56</v>
      </c>
      <c r="R48" s="2" t="s">
        <v>100</v>
      </c>
      <c r="S48" s="2" t="s">
        <v>152</v>
      </c>
      <c r="T48" s="2"/>
      <c r="U48" s="2" t="s">
        <v>37</v>
      </c>
    </row>
    <row r="49" ht="16" customHeight="1" spans="1:21">
      <c r="A49" s="2" t="s">
        <v>155</v>
      </c>
      <c r="B49" s="2" t="s">
        <v>156</v>
      </c>
      <c r="C49" s="2" t="s">
        <v>157</v>
      </c>
      <c r="D49" s="2" t="s">
        <v>158</v>
      </c>
      <c r="E49" s="7">
        <v>0.07</v>
      </c>
      <c r="F49" s="7">
        <v>2.96</v>
      </c>
      <c r="G49" s="2" t="s">
        <v>419</v>
      </c>
      <c r="H49" s="2" t="s">
        <v>32</v>
      </c>
      <c r="I49" s="2" t="s">
        <v>33</v>
      </c>
      <c r="J49" s="2" t="s">
        <v>47</v>
      </c>
      <c r="K49" s="2" t="s">
        <v>25</v>
      </c>
      <c r="L49" s="7">
        <v>0.07</v>
      </c>
      <c r="M49" s="2" t="s">
        <v>26</v>
      </c>
      <c r="N49" s="2" t="s">
        <v>56</v>
      </c>
      <c r="O49" s="2" t="s">
        <v>158</v>
      </c>
      <c r="P49" s="2" t="s">
        <v>26</v>
      </c>
      <c r="Q49" s="2" t="s">
        <v>56</v>
      </c>
      <c r="R49" s="2" t="s">
        <v>48</v>
      </c>
      <c r="S49" s="2" t="s">
        <v>159</v>
      </c>
      <c r="T49" s="2"/>
      <c r="U49" s="2" t="s">
        <v>37</v>
      </c>
    </row>
    <row r="50" ht="16" customHeight="1" spans="1:21">
      <c r="A50" s="2" t="s">
        <v>160</v>
      </c>
      <c r="B50" s="2" t="s">
        <v>156</v>
      </c>
      <c r="C50" s="2" t="s">
        <v>157</v>
      </c>
      <c r="D50" s="2" t="s">
        <v>158</v>
      </c>
      <c r="E50" s="7">
        <v>0.4</v>
      </c>
      <c r="F50" s="7">
        <v>2.89</v>
      </c>
      <c r="G50" s="2" t="s">
        <v>426</v>
      </c>
      <c r="H50" s="2" t="s">
        <v>32</v>
      </c>
      <c r="I50" s="2" t="s">
        <v>33</v>
      </c>
      <c r="J50" s="2" t="s">
        <v>34</v>
      </c>
      <c r="K50" s="2" t="s">
        <v>25</v>
      </c>
      <c r="L50" s="7">
        <v>0.4</v>
      </c>
      <c r="M50" s="2" t="s">
        <v>26</v>
      </c>
      <c r="N50" s="2" t="s">
        <v>56</v>
      </c>
      <c r="O50" s="2" t="s">
        <v>158</v>
      </c>
      <c r="P50" s="2" t="s">
        <v>26</v>
      </c>
      <c r="Q50" s="2" t="s">
        <v>56</v>
      </c>
      <c r="R50" s="2" t="s">
        <v>35</v>
      </c>
      <c r="S50" s="2" t="s">
        <v>159</v>
      </c>
      <c r="T50" s="2"/>
      <c r="U50" s="2" t="s">
        <v>37</v>
      </c>
    </row>
    <row r="51" ht="16" customHeight="1" spans="1:21">
      <c r="A51" s="2" t="s">
        <v>161</v>
      </c>
      <c r="B51" s="2" t="s">
        <v>156</v>
      </c>
      <c r="C51" s="2" t="s">
        <v>157</v>
      </c>
      <c r="D51" s="2" t="s">
        <v>158</v>
      </c>
      <c r="E51" s="7">
        <v>2.49</v>
      </c>
      <c r="F51" s="7">
        <v>2.89</v>
      </c>
      <c r="G51" s="2" t="s">
        <v>432</v>
      </c>
      <c r="H51" s="2" t="s">
        <v>32</v>
      </c>
      <c r="I51" s="2" t="s">
        <v>33</v>
      </c>
      <c r="J51" s="2" t="s">
        <v>39</v>
      </c>
      <c r="K51" s="2" t="s">
        <v>25</v>
      </c>
      <c r="L51" s="7">
        <v>2.49</v>
      </c>
      <c r="M51" s="2" t="s">
        <v>26</v>
      </c>
      <c r="N51" s="2" t="s">
        <v>56</v>
      </c>
      <c r="O51" s="2" t="s">
        <v>158</v>
      </c>
      <c r="P51" s="2" t="s">
        <v>26</v>
      </c>
      <c r="Q51" s="2" t="s">
        <v>56</v>
      </c>
      <c r="R51" s="2" t="s">
        <v>35</v>
      </c>
      <c r="S51" s="2" t="s">
        <v>159</v>
      </c>
      <c r="T51" s="2"/>
      <c r="U51" s="2" t="s">
        <v>37</v>
      </c>
    </row>
    <row r="52" ht="16" customHeight="1" spans="1:21">
      <c r="A52" s="2" t="s">
        <v>162</v>
      </c>
      <c r="B52" s="2" t="s">
        <v>163</v>
      </c>
      <c r="C52" s="2" t="s">
        <v>164</v>
      </c>
      <c r="D52" s="2" t="s">
        <v>165</v>
      </c>
      <c r="E52" s="7">
        <v>0.07</v>
      </c>
      <c r="F52" s="7">
        <v>2.89</v>
      </c>
      <c r="G52" s="2" t="s">
        <v>441</v>
      </c>
      <c r="H52" s="2" t="s">
        <v>32</v>
      </c>
      <c r="I52" s="2" t="s">
        <v>33</v>
      </c>
      <c r="J52" s="2" t="s">
        <v>47</v>
      </c>
      <c r="K52" s="2" t="s">
        <v>25</v>
      </c>
      <c r="L52" s="7">
        <v>0.07</v>
      </c>
      <c r="M52" s="2" t="s">
        <v>26</v>
      </c>
      <c r="N52" s="2" t="s">
        <v>166</v>
      </c>
      <c r="O52" s="2" t="s">
        <v>165</v>
      </c>
      <c r="P52" s="2" t="s">
        <v>26</v>
      </c>
      <c r="Q52" s="2" t="s">
        <v>166</v>
      </c>
      <c r="R52" s="2" t="s">
        <v>35</v>
      </c>
      <c r="S52" s="2" t="s">
        <v>167</v>
      </c>
      <c r="T52" s="2"/>
      <c r="U52" s="2" t="s">
        <v>37</v>
      </c>
    </row>
    <row r="53" ht="16" customHeight="1" spans="1:21">
      <c r="A53" s="2" t="s">
        <v>168</v>
      </c>
      <c r="B53" s="2" t="s">
        <v>163</v>
      </c>
      <c r="C53" s="2" t="s">
        <v>164</v>
      </c>
      <c r="D53" s="2" t="s">
        <v>165</v>
      </c>
      <c r="E53" s="7">
        <v>0.4</v>
      </c>
      <c r="F53" s="7">
        <v>3.76</v>
      </c>
      <c r="G53" s="2" t="s">
        <v>447</v>
      </c>
      <c r="H53" s="2" t="s">
        <v>32</v>
      </c>
      <c r="I53" s="2" t="s">
        <v>33</v>
      </c>
      <c r="J53" s="2" t="s">
        <v>34</v>
      </c>
      <c r="K53" s="2" t="s">
        <v>25</v>
      </c>
      <c r="L53" s="7">
        <v>0.4</v>
      </c>
      <c r="M53" s="2" t="s">
        <v>26</v>
      </c>
      <c r="N53" s="2" t="s">
        <v>166</v>
      </c>
      <c r="O53" s="2" t="s">
        <v>165</v>
      </c>
      <c r="P53" s="2" t="s">
        <v>26</v>
      </c>
      <c r="Q53" s="2" t="s">
        <v>166</v>
      </c>
      <c r="R53" s="2" t="s">
        <v>56</v>
      </c>
      <c r="S53" s="2" t="s">
        <v>167</v>
      </c>
      <c r="T53" s="2"/>
      <c r="U53" s="2" t="s">
        <v>37</v>
      </c>
    </row>
    <row r="54" ht="16" customHeight="1" spans="1:21">
      <c r="A54" s="2" t="s">
        <v>169</v>
      </c>
      <c r="B54" s="2" t="s">
        <v>163</v>
      </c>
      <c r="C54" s="2" t="s">
        <v>164</v>
      </c>
      <c r="D54" s="2" t="s">
        <v>165</v>
      </c>
      <c r="E54" s="7">
        <v>2.49</v>
      </c>
      <c r="F54" s="7">
        <v>2.89</v>
      </c>
      <c r="G54" s="2" t="s">
        <v>455</v>
      </c>
      <c r="H54" s="2" t="s">
        <v>32</v>
      </c>
      <c r="I54" s="2" t="s">
        <v>33</v>
      </c>
      <c r="J54" s="2" t="s">
        <v>39</v>
      </c>
      <c r="K54" s="2" t="s">
        <v>25</v>
      </c>
      <c r="L54" s="7">
        <v>2.49</v>
      </c>
      <c r="M54" s="2" t="s">
        <v>26</v>
      </c>
      <c r="N54" s="2" t="s">
        <v>166</v>
      </c>
      <c r="O54" s="2" t="s">
        <v>165</v>
      </c>
      <c r="P54" s="2" t="s">
        <v>26</v>
      </c>
      <c r="Q54" s="2" t="s">
        <v>166</v>
      </c>
      <c r="R54" s="2" t="s">
        <v>192</v>
      </c>
      <c r="S54" s="2" t="s">
        <v>167</v>
      </c>
      <c r="T54" s="2"/>
      <c r="U54" s="2" t="s">
        <v>37</v>
      </c>
    </row>
    <row r="55" ht="16" customHeight="1" spans="1:21">
      <c r="A55" s="2" t="s">
        <v>170</v>
      </c>
      <c r="B55" s="2" t="s">
        <v>171</v>
      </c>
      <c r="C55" s="2" t="s">
        <v>172</v>
      </c>
      <c r="D55" s="2" t="s">
        <v>173</v>
      </c>
      <c r="E55" s="7">
        <v>0.07</v>
      </c>
      <c r="F55" s="7">
        <v>4.76</v>
      </c>
      <c r="G55" s="2" t="s">
        <v>464</v>
      </c>
      <c r="H55" s="2" t="s">
        <v>32</v>
      </c>
      <c r="I55" s="2" t="s">
        <v>33</v>
      </c>
      <c r="J55" s="2" t="s">
        <v>47</v>
      </c>
      <c r="K55" s="2" t="s">
        <v>25</v>
      </c>
      <c r="L55" s="7">
        <v>0.07</v>
      </c>
      <c r="M55" s="2" t="s">
        <v>26</v>
      </c>
      <c r="N55" s="2" t="s">
        <v>48</v>
      </c>
      <c r="O55" s="2" t="s">
        <v>173</v>
      </c>
      <c r="P55" s="2" t="s">
        <v>26</v>
      </c>
      <c r="Q55" s="2" t="s">
        <v>48</v>
      </c>
      <c r="R55" s="2" t="s">
        <v>117</v>
      </c>
      <c r="S55" s="2" t="s">
        <v>174</v>
      </c>
      <c r="T55" s="2"/>
      <c r="U55" s="2" t="s">
        <v>37</v>
      </c>
    </row>
    <row r="56" ht="16" customHeight="1" spans="1:21">
      <c r="A56" s="2" t="s">
        <v>175</v>
      </c>
      <c r="B56" s="2" t="s">
        <v>171</v>
      </c>
      <c r="C56" s="2" t="s">
        <v>172</v>
      </c>
      <c r="D56" s="2" t="s">
        <v>173</v>
      </c>
      <c r="E56" s="7">
        <v>0.4</v>
      </c>
      <c r="F56" s="7">
        <v>2.89</v>
      </c>
      <c r="G56" s="2" t="s">
        <v>473</v>
      </c>
      <c r="H56" s="2" t="s">
        <v>32</v>
      </c>
      <c r="I56" s="2" t="s">
        <v>33</v>
      </c>
      <c r="J56" s="2" t="s">
        <v>34</v>
      </c>
      <c r="K56" s="2" t="s">
        <v>25</v>
      </c>
      <c r="L56" s="7">
        <v>0.4</v>
      </c>
      <c r="M56" s="2" t="s">
        <v>26</v>
      </c>
      <c r="N56" s="2" t="s">
        <v>48</v>
      </c>
      <c r="O56" s="2" t="s">
        <v>173</v>
      </c>
      <c r="P56" s="2" t="s">
        <v>26</v>
      </c>
      <c r="Q56" s="2" t="s">
        <v>48</v>
      </c>
      <c r="R56" s="2" t="s">
        <v>35</v>
      </c>
      <c r="S56" s="2" t="s">
        <v>174</v>
      </c>
      <c r="T56" s="2"/>
      <c r="U56" s="2" t="s">
        <v>37</v>
      </c>
    </row>
    <row r="57" ht="16" customHeight="1" spans="1:21">
      <c r="A57" s="2" t="s">
        <v>176</v>
      </c>
      <c r="B57" s="2" t="s">
        <v>171</v>
      </c>
      <c r="C57" s="2" t="s">
        <v>172</v>
      </c>
      <c r="D57" s="2" t="s">
        <v>173</v>
      </c>
      <c r="E57" s="7">
        <v>2.49</v>
      </c>
      <c r="F57" s="7">
        <v>2.89</v>
      </c>
      <c r="G57" s="2" t="s">
        <v>479</v>
      </c>
      <c r="H57" s="2" t="s">
        <v>32</v>
      </c>
      <c r="I57" s="2" t="s">
        <v>33</v>
      </c>
      <c r="J57" s="2" t="s">
        <v>39</v>
      </c>
      <c r="K57" s="2" t="s">
        <v>25</v>
      </c>
      <c r="L57" s="7">
        <v>2.49</v>
      </c>
      <c r="M57" s="2" t="s">
        <v>26</v>
      </c>
      <c r="N57" s="2" t="s">
        <v>48</v>
      </c>
      <c r="O57" s="2" t="s">
        <v>173</v>
      </c>
      <c r="P57" s="2" t="s">
        <v>26</v>
      </c>
      <c r="Q57" s="2" t="s">
        <v>48</v>
      </c>
      <c r="R57" s="2" t="s">
        <v>35</v>
      </c>
      <c r="S57" s="2" t="s">
        <v>174</v>
      </c>
      <c r="T57" s="2"/>
      <c r="U57" s="2" t="s">
        <v>37</v>
      </c>
    </row>
    <row r="58" ht="16" customHeight="1" spans="1:21">
      <c r="A58" s="2" t="s">
        <v>180</v>
      </c>
      <c r="B58" s="2" t="s">
        <v>181</v>
      </c>
      <c r="C58" s="2" t="s">
        <v>182</v>
      </c>
      <c r="D58" s="2" t="s">
        <v>183</v>
      </c>
      <c r="E58" s="7">
        <v>0.07</v>
      </c>
      <c r="F58" s="7">
        <v>2.89</v>
      </c>
      <c r="G58" s="2" t="s">
        <v>485</v>
      </c>
      <c r="H58" s="2" t="s">
        <v>32</v>
      </c>
      <c r="I58" s="2" t="s">
        <v>33</v>
      </c>
      <c r="J58" s="2" t="s">
        <v>47</v>
      </c>
      <c r="K58" s="2" t="s">
        <v>25</v>
      </c>
      <c r="L58" s="7">
        <v>0.07</v>
      </c>
      <c r="M58" s="2" t="s">
        <v>26</v>
      </c>
      <c r="N58" s="2" t="s">
        <v>184</v>
      </c>
      <c r="O58" s="2" t="s">
        <v>183</v>
      </c>
      <c r="P58" s="2" t="s">
        <v>26</v>
      </c>
      <c r="Q58" s="2" t="s">
        <v>184</v>
      </c>
      <c r="R58" s="2" t="s">
        <v>35</v>
      </c>
      <c r="S58" s="2" t="s">
        <v>185</v>
      </c>
      <c r="T58" s="2"/>
      <c r="U58" s="2" t="s">
        <v>37</v>
      </c>
    </row>
    <row r="59" ht="16" customHeight="1" spans="1:21">
      <c r="A59" s="2" t="s">
        <v>186</v>
      </c>
      <c r="B59" s="2" t="s">
        <v>181</v>
      </c>
      <c r="C59" s="2" t="s">
        <v>182</v>
      </c>
      <c r="D59" s="2" t="s">
        <v>183</v>
      </c>
      <c r="E59" s="7">
        <v>0.4</v>
      </c>
      <c r="F59" s="7">
        <v>2.89</v>
      </c>
      <c r="G59" s="2" t="s">
        <v>491</v>
      </c>
      <c r="H59" s="2" t="s">
        <v>32</v>
      </c>
      <c r="I59" s="2" t="s">
        <v>33</v>
      </c>
      <c r="J59" s="2" t="s">
        <v>34</v>
      </c>
      <c r="K59" s="2" t="s">
        <v>25</v>
      </c>
      <c r="L59" s="7">
        <v>0.4</v>
      </c>
      <c r="M59" s="2" t="s">
        <v>26</v>
      </c>
      <c r="N59" s="2" t="s">
        <v>184</v>
      </c>
      <c r="O59" s="2" t="s">
        <v>183</v>
      </c>
      <c r="P59" s="2" t="s">
        <v>26</v>
      </c>
      <c r="Q59" s="2" t="s">
        <v>184</v>
      </c>
      <c r="R59" s="2" t="s">
        <v>35</v>
      </c>
      <c r="S59" s="2" t="s">
        <v>185</v>
      </c>
      <c r="T59" s="2"/>
      <c r="U59" s="2" t="s">
        <v>37</v>
      </c>
    </row>
    <row r="60" ht="16" customHeight="1" spans="1:21">
      <c r="A60" s="2" t="s">
        <v>187</v>
      </c>
      <c r="B60" s="2" t="s">
        <v>181</v>
      </c>
      <c r="C60" s="2" t="s">
        <v>182</v>
      </c>
      <c r="D60" s="2" t="s">
        <v>183</v>
      </c>
      <c r="E60" s="7">
        <v>2.49</v>
      </c>
      <c r="F60" s="7">
        <v>2.96</v>
      </c>
      <c r="G60" s="2" t="s">
        <v>497</v>
      </c>
      <c r="H60" s="2" t="s">
        <v>32</v>
      </c>
      <c r="I60" s="2" t="s">
        <v>33</v>
      </c>
      <c r="J60" s="2" t="s">
        <v>39</v>
      </c>
      <c r="K60" s="2" t="s">
        <v>25</v>
      </c>
      <c r="L60" s="7">
        <v>2.49</v>
      </c>
      <c r="M60" s="2" t="s">
        <v>26</v>
      </c>
      <c r="N60" s="2" t="s">
        <v>184</v>
      </c>
      <c r="O60" s="2" t="s">
        <v>183</v>
      </c>
      <c r="P60" s="2" t="s">
        <v>26</v>
      </c>
      <c r="Q60" s="2" t="s">
        <v>184</v>
      </c>
      <c r="R60" s="2" t="s">
        <v>48</v>
      </c>
      <c r="S60" s="2" t="s">
        <v>185</v>
      </c>
      <c r="T60" s="2"/>
      <c r="U60" s="2" t="s">
        <v>37</v>
      </c>
    </row>
    <row r="61" ht="16" customHeight="1" spans="1:21">
      <c r="A61" s="2" t="s">
        <v>188</v>
      </c>
      <c r="B61" s="2" t="s">
        <v>189</v>
      </c>
      <c r="C61" s="2" t="s">
        <v>190</v>
      </c>
      <c r="D61" s="2" t="s">
        <v>191</v>
      </c>
      <c r="E61" s="7">
        <v>0.4</v>
      </c>
      <c r="F61" s="7">
        <v>2.96</v>
      </c>
      <c r="G61" s="2" t="s">
        <v>504</v>
      </c>
      <c r="H61" s="2" t="s">
        <v>32</v>
      </c>
      <c r="I61" s="2" t="s">
        <v>33</v>
      </c>
      <c r="J61" s="2" t="s">
        <v>34</v>
      </c>
      <c r="K61" s="2" t="s">
        <v>25</v>
      </c>
      <c r="L61" s="7">
        <v>0.4</v>
      </c>
      <c r="M61" s="2" t="s">
        <v>26</v>
      </c>
      <c r="N61" s="2" t="s">
        <v>192</v>
      </c>
      <c r="O61" s="2" t="s">
        <v>191</v>
      </c>
      <c r="P61" s="2" t="s">
        <v>26</v>
      </c>
      <c r="Q61" s="2" t="s">
        <v>192</v>
      </c>
      <c r="R61" s="2" t="s">
        <v>100</v>
      </c>
      <c r="S61" s="2" t="s">
        <v>193</v>
      </c>
      <c r="T61" s="2"/>
      <c r="U61" s="2" t="s">
        <v>37</v>
      </c>
    </row>
    <row r="62" ht="16" customHeight="1" spans="1:21">
      <c r="A62" s="2" t="s">
        <v>194</v>
      </c>
      <c r="B62" s="2" t="s">
        <v>189</v>
      </c>
      <c r="C62" s="2" t="s">
        <v>190</v>
      </c>
      <c r="D62" s="2" t="s">
        <v>191</v>
      </c>
      <c r="E62" s="7">
        <v>2.49</v>
      </c>
      <c r="F62" s="7">
        <v>4.46</v>
      </c>
      <c r="G62" s="2" t="s">
        <v>511</v>
      </c>
      <c r="H62" s="2" t="s">
        <v>32</v>
      </c>
      <c r="I62" s="2" t="s">
        <v>33</v>
      </c>
      <c r="J62" s="2" t="s">
        <v>39</v>
      </c>
      <c r="K62" s="2" t="s">
        <v>25</v>
      </c>
      <c r="L62" s="7">
        <v>2.49</v>
      </c>
      <c r="M62" s="2" t="s">
        <v>26</v>
      </c>
      <c r="N62" s="2" t="s">
        <v>192</v>
      </c>
      <c r="O62" s="2" t="s">
        <v>191</v>
      </c>
      <c r="P62" s="2" t="s">
        <v>26</v>
      </c>
      <c r="Q62" s="2" t="s">
        <v>192</v>
      </c>
      <c r="R62" s="2" t="s">
        <v>56</v>
      </c>
      <c r="S62" s="2" t="s">
        <v>193</v>
      </c>
      <c r="T62" s="2"/>
      <c r="U62" s="2" t="s">
        <v>37</v>
      </c>
    </row>
    <row r="63" ht="16" customHeight="1" spans="1:21">
      <c r="A63" s="2" t="s">
        <v>195</v>
      </c>
      <c r="B63" s="2" t="s">
        <v>196</v>
      </c>
      <c r="C63" s="2" t="s">
        <v>197</v>
      </c>
      <c r="D63" s="2" t="s">
        <v>198</v>
      </c>
      <c r="E63" s="7">
        <v>0.4</v>
      </c>
      <c r="F63" s="7">
        <v>4.46</v>
      </c>
      <c r="G63" s="2" t="s">
        <v>519</v>
      </c>
      <c r="H63" s="2" t="s">
        <v>32</v>
      </c>
      <c r="I63" s="2" t="s">
        <v>33</v>
      </c>
      <c r="J63" s="2" t="s">
        <v>34</v>
      </c>
      <c r="K63" s="2" t="s">
        <v>25</v>
      </c>
      <c r="L63" s="7">
        <v>0.4</v>
      </c>
      <c r="M63" s="2" t="s">
        <v>26</v>
      </c>
      <c r="N63" s="2" t="s">
        <v>199</v>
      </c>
      <c r="O63" s="2" t="s">
        <v>198</v>
      </c>
      <c r="P63" s="2" t="s">
        <v>26</v>
      </c>
      <c r="Q63" s="2" t="s">
        <v>199</v>
      </c>
      <c r="R63" s="2" t="s">
        <v>56</v>
      </c>
      <c r="S63" s="2" t="s">
        <v>200</v>
      </c>
      <c r="T63" s="2"/>
      <c r="U63" s="2" t="s">
        <v>37</v>
      </c>
    </row>
    <row r="64" ht="16" customHeight="1" spans="1:21">
      <c r="A64" s="2" t="s">
        <v>201</v>
      </c>
      <c r="B64" s="2" t="s">
        <v>196</v>
      </c>
      <c r="C64" s="2" t="s">
        <v>197</v>
      </c>
      <c r="D64" s="2" t="s">
        <v>198</v>
      </c>
      <c r="E64" s="7">
        <v>2.49</v>
      </c>
      <c r="F64" s="7">
        <v>3.89</v>
      </c>
      <c r="G64" s="2" t="s">
        <v>527</v>
      </c>
      <c r="H64" s="2" t="s">
        <v>32</v>
      </c>
      <c r="I64" s="2" t="s">
        <v>33</v>
      </c>
      <c r="J64" s="2" t="s">
        <v>39</v>
      </c>
      <c r="K64" s="2" t="s">
        <v>25</v>
      </c>
      <c r="L64" s="7">
        <v>2.49</v>
      </c>
      <c r="M64" s="2" t="s">
        <v>26</v>
      </c>
      <c r="N64" s="2" t="s">
        <v>199</v>
      </c>
      <c r="O64" s="2" t="s">
        <v>198</v>
      </c>
      <c r="P64" s="2" t="s">
        <v>26</v>
      </c>
      <c r="Q64" s="2" t="s">
        <v>199</v>
      </c>
      <c r="R64" s="2" t="s">
        <v>295</v>
      </c>
      <c r="S64" s="2" t="s">
        <v>200</v>
      </c>
      <c r="T64" s="2"/>
      <c r="U64" s="2" t="s">
        <v>37</v>
      </c>
    </row>
    <row r="65" ht="16" customHeight="1" spans="1:21">
      <c r="A65" s="2" t="s">
        <v>202</v>
      </c>
      <c r="B65" s="2" t="s">
        <v>203</v>
      </c>
      <c r="C65" s="2" t="s">
        <v>204</v>
      </c>
      <c r="D65" s="2" t="s">
        <v>205</v>
      </c>
      <c r="E65" s="7">
        <v>0.4</v>
      </c>
      <c r="F65" s="7">
        <v>2.89</v>
      </c>
      <c r="G65" s="2" t="s">
        <v>534</v>
      </c>
      <c r="H65" s="2" t="s">
        <v>32</v>
      </c>
      <c r="I65" s="2" t="s">
        <v>33</v>
      </c>
      <c r="J65" s="2" t="s">
        <v>34</v>
      </c>
      <c r="K65" s="2" t="s">
        <v>25</v>
      </c>
      <c r="L65" s="7">
        <v>0.4</v>
      </c>
      <c r="M65" s="2" t="s">
        <v>26</v>
      </c>
      <c r="N65" s="2" t="s">
        <v>35</v>
      </c>
      <c r="O65" s="2" t="s">
        <v>205</v>
      </c>
      <c r="P65" s="2" t="s">
        <v>26</v>
      </c>
      <c r="Q65" s="2" t="s">
        <v>35</v>
      </c>
      <c r="R65" s="2" t="s">
        <v>35</v>
      </c>
      <c r="S65" s="2" t="s">
        <v>206</v>
      </c>
      <c r="T65" s="2"/>
      <c r="U65" s="2" t="s">
        <v>37</v>
      </c>
    </row>
    <row r="66" ht="16" customHeight="1" spans="1:21">
      <c r="A66" s="2" t="s">
        <v>207</v>
      </c>
      <c r="B66" s="2" t="s">
        <v>203</v>
      </c>
      <c r="C66" s="2" t="s">
        <v>204</v>
      </c>
      <c r="D66" s="2" t="s">
        <v>205</v>
      </c>
      <c r="E66" s="7">
        <v>2.49</v>
      </c>
      <c r="F66" s="7">
        <v>2.89</v>
      </c>
      <c r="G66" s="2" t="s">
        <v>540</v>
      </c>
      <c r="H66" s="2" t="s">
        <v>32</v>
      </c>
      <c r="I66" s="2" t="s">
        <v>33</v>
      </c>
      <c r="J66" s="2" t="s">
        <v>39</v>
      </c>
      <c r="K66" s="2" t="s">
        <v>25</v>
      </c>
      <c r="L66" s="7">
        <v>2.49</v>
      </c>
      <c r="M66" s="2" t="s">
        <v>26</v>
      </c>
      <c r="N66" s="2" t="s">
        <v>35</v>
      </c>
      <c r="O66" s="2" t="s">
        <v>205</v>
      </c>
      <c r="P66" s="2" t="s">
        <v>26</v>
      </c>
      <c r="Q66" s="2" t="s">
        <v>35</v>
      </c>
      <c r="R66" s="2" t="s">
        <v>35</v>
      </c>
      <c r="S66" s="2" t="s">
        <v>206</v>
      </c>
      <c r="T66" s="2"/>
      <c r="U66" s="2" t="s">
        <v>37</v>
      </c>
    </row>
    <row r="67" ht="16" customHeight="1" spans="1:21">
      <c r="A67" s="2" t="s">
        <v>208</v>
      </c>
      <c r="B67" s="2" t="s">
        <v>209</v>
      </c>
      <c r="C67" s="2" t="s">
        <v>210</v>
      </c>
      <c r="D67" s="2" t="s">
        <v>211</v>
      </c>
      <c r="E67" s="7">
        <v>0.4</v>
      </c>
      <c r="F67" s="7">
        <v>3.89</v>
      </c>
      <c r="G67" s="2" t="s">
        <v>546</v>
      </c>
      <c r="H67" s="2" t="s">
        <v>32</v>
      </c>
      <c r="I67" s="2" t="s">
        <v>33</v>
      </c>
      <c r="J67" s="2" t="s">
        <v>34</v>
      </c>
      <c r="K67" s="2" t="s">
        <v>25</v>
      </c>
      <c r="L67" s="7">
        <v>0.4</v>
      </c>
      <c r="M67" s="2" t="s">
        <v>26</v>
      </c>
      <c r="N67" s="2" t="s">
        <v>35</v>
      </c>
      <c r="O67" s="2" t="s">
        <v>211</v>
      </c>
      <c r="P67" s="2" t="s">
        <v>26</v>
      </c>
      <c r="Q67" s="2" t="s">
        <v>35</v>
      </c>
      <c r="R67" s="2" t="s">
        <v>295</v>
      </c>
      <c r="S67" s="2" t="s">
        <v>212</v>
      </c>
      <c r="T67" s="2"/>
      <c r="U67" s="2" t="s">
        <v>37</v>
      </c>
    </row>
    <row r="68" ht="16" customHeight="1" spans="1:21">
      <c r="A68" s="2" t="s">
        <v>213</v>
      </c>
      <c r="B68" s="2" t="s">
        <v>209</v>
      </c>
      <c r="C68" s="2" t="s">
        <v>210</v>
      </c>
      <c r="D68" s="2" t="s">
        <v>211</v>
      </c>
      <c r="E68" s="7">
        <v>2.49</v>
      </c>
      <c r="F68" s="7">
        <v>4.46</v>
      </c>
      <c r="G68" s="2" t="s">
        <v>565</v>
      </c>
      <c r="H68" s="2" t="s">
        <v>32</v>
      </c>
      <c r="I68" s="2" t="s">
        <v>33</v>
      </c>
      <c r="J68" s="2" t="s">
        <v>39</v>
      </c>
      <c r="K68" s="2" t="s">
        <v>25</v>
      </c>
      <c r="L68" s="7">
        <v>2.49</v>
      </c>
      <c r="M68" s="2" t="s">
        <v>26</v>
      </c>
      <c r="N68" s="2" t="s">
        <v>35</v>
      </c>
      <c r="O68" s="2" t="s">
        <v>211</v>
      </c>
      <c r="P68" s="2" t="s">
        <v>26</v>
      </c>
      <c r="Q68" s="2" t="s">
        <v>35</v>
      </c>
      <c r="R68" s="2" t="s">
        <v>56</v>
      </c>
      <c r="S68" s="2" t="s">
        <v>212</v>
      </c>
      <c r="T68" s="2"/>
      <c r="U68" s="2" t="s">
        <v>37</v>
      </c>
    </row>
    <row r="69" ht="16" customHeight="1" spans="1:21">
      <c r="A69" s="2" t="s">
        <v>214</v>
      </c>
      <c r="B69" s="2" t="s">
        <v>215</v>
      </c>
      <c r="C69" s="2" t="s">
        <v>216</v>
      </c>
      <c r="D69" s="2" t="s">
        <v>217</v>
      </c>
      <c r="E69" s="7">
        <v>0.8</v>
      </c>
      <c r="F69" s="7">
        <v>4.46</v>
      </c>
      <c r="G69" s="2" t="s">
        <v>573</v>
      </c>
      <c r="H69" s="2" t="s">
        <v>32</v>
      </c>
      <c r="I69" s="2" t="s">
        <v>33</v>
      </c>
      <c r="J69" s="2" t="s">
        <v>85</v>
      </c>
      <c r="K69" s="2" t="s">
        <v>25</v>
      </c>
      <c r="L69" s="7">
        <v>0.8</v>
      </c>
      <c r="M69" s="2" t="s">
        <v>26</v>
      </c>
      <c r="N69" s="2" t="s">
        <v>35</v>
      </c>
      <c r="O69" s="2" t="s">
        <v>217</v>
      </c>
      <c r="P69" s="2" t="s">
        <v>26</v>
      </c>
      <c r="Q69" s="2" t="s">
        <v>35</v>
      </c>
      <c r="R69" s="2" t="s">
        <v>56</v>
      </c>
      <c r="S69" s="2" t="s">
        <v>218</v>
      </c>
      <c r="T69" s="2"/>
      <c r="U69" s="2" t="s">
        <v>37</v>
      </c>
    </row>
    <row r="70" ht="16" customHeight="1" spans="1:21">
      <c r="A70" s="2" t="s">
        <v>219</v>
      </c>
      <c r="B70" s="2" t="s">
        <v>215</v>
      </c>
      <c r="C70" s="2" t="s">
        <v>216</v>
      </c>
      <c r="D70" s="2" t="s">
        <v>217</v>
      </c>
      <c r="E70" s="7">
        <v>0.4</v>
      </c>
      <c r="F70" s="7">
        <v>3.76</v>
      </c>
      <c r="G70" s="2" t="s">
        <v>587</v>
      </c>
      <c r="H70" s="2" t="s">
        <v>32</v>
      </c>
      <c r="I70" s="2" t="s">
        <v>33</v>
      </c>
      <c r="J70" s="2" t="s">
        <v>34</v>
      </c>
      <c r="K70" s="2" t="s">
        <v>25</v>
      </c>
      <c r="L70" s="7">
        <v>0.4</v>
      </c>
      <c r="M70" s="2" t="s">
        <v>26</v>
      </c>
      <c r="N70" s="2" t="s">
        <v>35</v>
      </c>
      <c r="O70" s="2" t="s">
        <v>217</v>
      </c>
      <c r="P70" s="2" t="s">
        <v>26</v>
      </c>
      <c r="Q70" s="2" t="s">
        <v>35</v>
      </c>
      <c r="R70" s="2" t="s">
        <v>588</v>
      </c>
      <c r="S70" s="2" t="s">
        <v>218</v>
      </c>
      <c r="T70" s="2"/>
      <c r="U70" s="2" t="s">
        <v>37</v>
      </c>
    </row>
    <row r="71" ht="16" customHeight="1" spans="1:21">
      <c r="A71" s="2" t="s">
        <v>220</v>
      </c>
      <c r="B71" s="2" t="s">
        <v>215</v>
      </c>
      <c r="C71" s="2" t="s">
        <v>216</v>
      </c>
      <c r="D71" s="2" t="s">
        <v>217</v>
      </c>
      <c r="E71" s="7">
        <v>2.49</v>
      </c>
      <c r="F71" s="7">
        <v>3.69</v>
      </c>
      <c r="G71" s="2" t="s">
        <v>599</v>
      </c>
      <c r="H71" s="2" t="s">
        <v>32</v>
      </c>
      <c r="I71" s="2" t="s">
        <v>33</v>
      </c>
      <c r="J71" s="2" t="s">
        <v>39</v>
      </c>
      <c r="K71" s="2" t="s">
        <v>25</v>
      </c>
      <c r="L71" s="7">
        <v>2.49</v>
      </c>
      <c r="M71" s="2" t="s">
        <v>26</v>
      </c>
      <c r="N71" s="2" t="s">
        <v>35</v>
      </c>
      <c r="O71" s="2" t="s">
        <v>217</v>
      </c>
      <c r="P71" s="2" t="s">
        <v>26</v>
      </c>
      <c r="Q71" s="2" t="s">
        <v>35</v>
      </c>
      <c r="R71" s="2" t="s">
        <v>600</v>
      </c>
      <c r="S71" s="2" t="s">
        <v>218</v>
      </c>
      <c r="T71" s="2"/>
      <c r="U71" s="2" t="s">
        <v>37</v>
      </c>
    </row>
    <row r="72" ht="16" customHeight="1" spans="1:21">
      <c r="A72" s="2" t="s">
        <v>221</v>
      </c>
      <c r="B72" s="2" t="s">
        <v>222</v>
      </c>
      <c r="C72" s="2" t="s">
        <v>223</v>
      </c>
      <c r="D72" s="2" t="s">
        <v>224</v>
      </c>
      <c r="E72" s="7">
        <v>0.8</v>
      </c>
      <c r="F72" s="7">
        <v>3.76</v>
      </c>
      <c r="G72" s="2" t="s">
        <v>607</v>
      </c>
      <c r="H72" s="2" t="s">
        <v>32</v>
      </c>
      <c r="I72" s="2" t="s">
        <v>33</v>
      </c>
      <c r="J72" s="2" t="s">
        <v>85</v>
      </c>
      <c r="K72" s="2" t="s">
        <v>25</v>
      </c>
      <c r="L72" s="7">
        <v>0.8</v>
      </c>
      <c r="M72" s="2" t="s">
        <v>26</v>
      </c>
      <c r="N72" s="2" t="s">
        <v>56</v>
      </c>
      <c r="O72" s="2" t="s">
        <v>224</v>
      </c>
      <c r="P72" s="2" t="s">
        <v>26</v>
      </c>
      <c r="Q72" s="2" t="s">
        <v>56</v>
      </c>
      <c r="R72" s="2" t="s">
        <v>56</v>
      </c>
      <c r="S72" s="2" t="s">
        <v>225</v>
      </c>
      <c r="T72" s="2"/>
      <c r="U72" s="2" t="s">
        <v>37</v>
      </c>
    </row>
    <row r="73" ht="16" customHeight="1" spans="1:21">
      <c r="A73" s="2" t="s">
        <v>226</v>
      </c>
      <c r="B73" s="2" t="s">
        <v>222</v>
      </c>
      <c r="C73" s="2" t="s">
        <v>223</v>
      </c>
      <c r="D73" s="2" t="s">
        <v>224</v>
      </c>
      <c r="E73" s="7">
        <v>0.07</v>
      </c>
      <c r="F73" s="7">
        <v>2.96</v>
      </c>
      <c r="G73" s="2" t="s">
        <v>624</v>
      </c>
      <c r="H73" s="2" t="s">
        <v>32</v>
      </c>
      <c r="I73" s="2" t="s">
        <v>33</v>
      </c>
      <c r="J73" s="2" t="s">
        <v>47</v>
      </c>
      <c r="K73" s="2" t="s">
        <v>25</v>
      </c>
      <c r="L73" s="7">
        <v>0.07</v>
      </c>
      <c r="M73" s="2" t="s">
        <v>26</v>
      </c>
      <c r="N73" s="2" t="s">
        <v>56</v>
      </c>
      <c r="O73" s="2" t="s">
        <v>224</v>
      </c>
      <c r="P73" s="2" t="s">
        <v>26</v>
      </c>
      <c r="Q73" s="2" t="s">
        <v>56</v>
      </c>
      <c r="R73" s="2" t="s">
        <v>588</v>
      </c>
      <c r="S73" s="2" t="s">
        <v>225</v>
      </c>
      <c r="T73" s="2"/>
      <c r="U73" s="2" t="s">
        <v>37</v>
      </c>
    </row>
    <row r="74" ht="16" customHeight="1" spans="1:21">
      <c r="A74" s="2" t="s">
        <v>227</v>
      </c>
      <c r="B74" s="2" t="s">
        <v>222</v>
      </c>
      <c r="C74" s="2" t="s">
        <v>223</v>
      </c>
      <c r="D74" s="2" t="s">
        <v>224</v>
      </c>
      <c r="E74" s="7">
        <v>0.4</v>
      </c>
      <c r="F74" s="7">
        <v>2.89</v>
      </c>
      <c r="G74" s="2" t="s">
        <v>631</v>
      </c>
      <c r="H74" s="2" t="s">
        <v>32</v>
      </c>
      <c r="I74" s="2" t="s">
        <v>33</v>
      </c>
      <c r="J74" s="2" t="s">
        <v>34</v>
      </c>
      <c r="K74" s="2" t="s">
        <v>25</v>
      </c>
      <c r="L74" s="7">
        <v>0.4</v>
      </c>
      <c r="M74" s="2" t="s">
        <v>26</v>
      </c>
      <c r="N74" s="2" t="s">
        <v>56</v>
      </c>
      <c r="O74" s="2" t="s">
        <v>224</v>
      </c>
      <c r="P74" s="2" t="s">
        <v>26</v>
      </c>
      <c r="Q74" s="2" t="s">
        <v>56</v>
      </c>
      <c r="R74" s="2" t="s">
        <v>35</v>
      </c>
      <c r="S74" s="2" t="s">
        <v>225</v>
      </c>
      <c r="T74" s="2"/>
      <c r="U74" s="2" t="s">
        <v>37</v>
      </c>
    </row>
    <row r="75" ht="16" customHeight="1" spans="1:21">
      <c r="A75" s="2" t="s">
        <v>228</v>
      </c>
      <c r="B75" s="2" t="s">
        <v>222</v>
      </c>
      <c r="C75" s="2" t="s">
        <v>223</v>
      </c>
      <c r="D75" s="2" t="s">
        <v>224</v>
      </c>
      <c r="E75" s="7">
        <v>2.49</v>
      </c>
      <c r="F75" s="7">
        <v>2.89</v>
      </c>
      <c r="G75" s="2" t="s">
        <v>640</v>
      </c>
      <c r="H75" s="2" t="s">
        <v>32</v>
      </c>
      <c r="I75" s="2" t="s">
        <v>33</v>
      </c>
      <c r="J75" s="2" t="s">
        <v>39</v>
      </c>
      <c r="K75" s="2" t="s">
        <v>25</v>
      </c>
      <c r="L75" s="7">
        <v>2.49</v>
      </c>
      <c r="M75" s="2" t="s">
        <v>26</v>
      </c>
      <c r="N75" s="2" t="s">
        <v>56</v>
      </c>
      <c r="O75" s="2" t="s">
        <v>224</v>
      </c>
      <c r="P75" s="2" t="s">
        <v>26</v>
      </c>
      <c r="Q75" s="2" t="s">
        <v>56</v>
      </c>
      <c r="R75" s="2" t="s">
        <v>35</v>
      </c>
      <c r="S75" s="2" t="s">
        <v>225</v>
      </c>
      <c r="T75" s="2"/>
      <c r="U75" s="2" t="s">
        <v>37</v>
      </c>
    </row>
    <row r="76" ht="16" customHeight="1" spans="1:21">
      <c r="A76" s="2" t="s">
        <v>229</v>
      </c>
      <c r="B76" s="2" t="s">
        <v>230</v>
      </c>
      <c r="C76" s="2" t="s">
        <v>231</v>
      </c>
      <c r="D76" s="2" t="s">
        <v>232</v>
      </c>
      <c r="E76" s="7">
        <v>0.8</v>
      </c>
      <c r="F76" s="7">
        <v>4.46</v>
      </c>
      <c r="G76" s="2" t="s">
        <v>646</v>
      </c>
      <c r="H76" s="2" t="s">
        <v>32</v>
      </c>
      <c r="I76" s="2" t="s">
        <v>33</v>
      </c>
      <c r="J76" s="2" t="s">
        <v>85</v>
      </c>
      <c r="K76" s="2" t="s">
        <v>25</v>
      </c>
      <c r="L76" s="7">
        <v>0.8</v>
      </c>
      <c r="M76" s="2" t="s">
        <v>26</v>
      </c>
      <c r="N76" s="2" t="s">
        <v>56</v>
      </c>
      <c r="O76" s="2" t="s">
        <v>232</v>
      </c>
      <c r="P76" s="2" t="s">
        <v>26</v>
      </c>
      <c r="Q76" s="2" t="s">
        <v>56</v>
      </c>
      <c r="R76" s="2" t="s">
        <v>100</v>
      </c>
      <c r="S76" s="2" t="s">
        <v>233</v>
      </c>
      <c r="T76" s="2"/>
      <c r="U76" s="2" t="s">
        <v>37</v>
      </c>
    </row>
    <row r="77" ht="16" customHeight="1" spans="1:21">
      <c r="A77" s="2" t="s">
        <v>234</v>
      </c>
      <c r="B77" s="2" t="s">
        <v>230</v>
      </c>
      <c r="C77" s="2" t="s">
        <v>231</v>
      </c>
      <c r="D77" s="2" t="s">
        <v>232</v>
      </c>
      <c r="E77" s="7">
        <v>0.07</v>
      </c>
      <c r="F77" s="7">
        <v>3.89</v>
      </c>
      <c r="G77" s="2" t="s">
        <v>654</v>
      </c>
      <c r="H77" s="2" t="s">
        <v>32</v>
      </c>
      <c r="I77" s="2" t="s">
        <v>33</v>
      </c>
      <c r="J77" s="2" t="s">
        <v>47</v>
      </c>
      <c r="K77" s="2" t="s">
        <v>25</v>
      </c>
      <c r="L77" s="7">
        <v>0.07</v>
      </c>
      <c r="M77" s="2" t="s">
        <v>26</v>
      </c>
      <c r="N77" s="2" t="s">
        <v>56</v>
      </c>
      <c r="O77" s="2" t="s">
        <v>232</v>
      </c>
      <c r="P77" s="2" t="s">
        <v>26</v>
      </c>
      <c r="Q77" s="2" t="s">
        <v>56</v>
      </c>
      <c r="R77" s="2" t="s">
        <v>295</v>
      </c>
      <c r="S77" s="2" t="s">
        <v>233</v>
      </c>
      <c r="T77" s="2"/>
      <c r="U77" s="2" t="s">
        <v>37</v>
      </c>
    </row>
    <row r="78" ht="16" customHeight="1" spans="1:21">
      <c r="A78" s="2" t="s">
        <v>235</v>
      </c>
      <c r="B78" s="2" t="s">
        <v>230</v>
      </c>
      <c r="C78" s="2" t="s">
        <v>231</v>
      </c>
      <c r="D78" s="2" t="s">
        <v>232</v>
      </c>
      <c r="E78" s="7">
        <v>0.4</v>
      </c>
      <c r="F78" s="7">
        <v>4.46</v>
      </c>
      <c r="G78" s="2" t="s">
        <v>664</v>
      </c>
      <c r="H78" s="2" t="s">
        <v>32</v>
      </c>
      <c r="I78" s="2" t="s">
        <v>33</v>
      </c>
      <c r="J78" s="2" t="s">
        <v>34</v>
      </c>
      <c r="K78" s="2" t="s">
        <v>25</v>
      </c>
      <c r="L78" s="7">
        <v>0.4</v>
      </c>
      <c r="M78" s="2" t="s">
        <v>26</v>
      </c>
      <c r="N78" s="2" t="s">
        <v>56</v>
      </c>
      <c r="O78" s="2" t="s">
        <v>232</v>
      </c>
      <c r="P78" s="2" t="s">
        <v>26</v>
      </c>
      <c r="Q78" s="2" t="s">
        <v>56</v>
      </c>
      <c r="R78" s="2" t="s">
        <v>100</v>
      </c>
      <c r="S78" s="2" t="s">
        <v>233</v>
      </c>
      <c r="T78" s="2"/>
      <c r="U78" s="2" t="s">
        <v>37</v>
      </c>
    </row>
    <row r="79" ht="16" customHeight="1" spans="1:21">
      <c r="A79" s="2" t="s">
        <v>236</v>
      </c>
      <c r="B79" s="2" t="s">
        <v>230</v>
      </c>
      <c r="C79" s="2" t="s">
        <v>231</v>
      </c>
      <c r="D79" s="2" t="s">
        <v>232</v>
      </c>
      <c r="E79" s="7">
        <v>2.49</v>
      </c>
      <c r="F79" s="7">
        <v>2.96</v>
      </c>
      <c r="G79" s="2" t="s">
        <v>672</v>
      </c>
      <c r="H79" s="2" t="s">
        <v>32</v>
      </c>
      <c r="I79" s="2" t="s">
        <v>33</v>
      </c>
      <c r="J79" s="2" t="s">
        <v>39</v>
      </c>
      <c r="K79" s="2" t="s">
        <v>25</v>
      </c>
      <c r="L79" s="7">
        <v>2.49</v>
      </c>
      <c r="M79" s="2" t="s">
        <v>26</v>
      </c>
      <c r="N79" s="2" t="s">
        <v>56</v>
      </c>
      <c r="O79" s="2" t="s">
        <v>232</v>
      </c>
      <c r="P79" s="2" t="s">
        <v>26</v>
      </c>
      <c r="Q79" s="2" t="s">
        <v>56</v>
      </c>
      <c r="R79" s="2" t="s">
        <v>48</v>
      </c>
      <c r="S79" s="2" t="s">
        <v>233</v>
      </c>
      <c r="T79" s="2"/>
      <c r="U79" s="2" t="s">
        <v>37</v>
      </c>
    </row>
    <row r="80" ht="16" customHeight="1" spans="1:21">
      <c r="A80" s="2" t="s">
        <v>237</v>
      </c>
      <c r="B80" s="2" t="s">
        <v>238</v>
      </c>
      <c r="C80" s="2" t="s">
        <v>239</v>
      </c>
      <c r="D80" s="2" t="s">
        <v>240</v>
      </c>
      <c r="E80" s="7">
        <v>0.8</v>
      </c>
      <c r="F80" s="7">
        <v>5.5</v>
      </c>
      <c r="G80" s="2" t="s">
        <v>679</v>
      </c>
      <c r="H80" s="2" t="s">
        <v>32</v>
      </c>
      <c r="I80" s="2" t="s">
        <v>33</v>
      </c>
      <c r="J80" s="2" t="s">
        <v>85</v>
      </c>
      <c r="K80" s="2" t="s">
        <v>25</v>
      </c>
      <c r="L80" s="7">
        <v>0.8</v>
      </c>
      <c r="M80" s="2" t="s">
        <v>26</v>
      </c>
      <c r="N80" s="2" t="s">
        <v>56</v>
      </c>
      <c r="O80" s="2" t="s">
        <v>240</v>
      </c>
      <c r="P80" s="2" t="s">
        <v>26</v>
      </c>
      <c r="Q80" s="2" t="s">
        <v>56</v>
      </c>
      <c r="R80" s="2" t="s">
        <v>680</v>
      </c>
      <c r="S80" s="2" t="s">
        <v>241</v>
      </c>
      <c r="T80" s="2"/>
      <c r="U80" s="2" t="s">
        <v>37</v>
      </c>
    </row>
    <row r="81" ht="16" customHeight="1" spans="1:21">
      <c r="A81" s="2" t="s">
        <v>242</v>
      </c>
      <c r="B81" s="2" t="s">
        <v>238</v>
      </c>
      <c r="C81" s="2" t="s">
        <v>239</v>
      </c>
      <c r="D81" s="2" t="s">
        <v>240</v>
      </c>
      <c r="E81" s="7">
        <v>0.07</v>
      </c>
      <c r="F81" s="7">
        <v>4.46</v>
      </c>
      <c r="G81" s="2" t="s">
        <v>692</v>
      </c>
      <c r="H81" s="2" t="s">
        <v>32</v>
      </c>
      <c r="I81" s="2" t="s">
        <v>33</v>
      </c>
      <c r="J81" s="2" t="s">
        <v>47</v>
      </c>
      <c r="K81" s="2" t="s">
        <v>25</v>
      </c>
      <c r="L81" s="7">
        <v>0.07</v>
      </c>
      <c r="M81" s="2" t="s">
        <v>26</v>
      </c>
      <c r="N81" s="2" t="s">
        <v>56</v>
      </c>
      <c r="O81" s="2" t="s">
        <v>240</v>
      </c>
      <c r="P81" s="2" t="s">
        <v>26</v>
      </c>
      <c r="Q81" s="2" t="s">
        <v>56</v>
      </c>
      <c r="R81" s="2" t="s">
        <v>100</v>
      </c>
      <c r="S81" s="2" t="s">
        <v>241</v>
      </c>
      <c r="T81" s="2"/>
      <c r="U81" s="2" t="s">
        <v>37</v>
      </c>
    </row>
    <row r="82" ht="16" customHeight="1" spans="1:21">
      <c r="A82" s="2" t="s">
        <v>243</v>
      </c>
      <c r="B82" s="2" t="s">
        <v>238</v>
      </c>
      <c r="C82" s="2" t="s">
        <v>239</v>
      </c>
      <c r="D82" s="2" t="s">
        <v>240</v>
      </c>
      <c r="E82" s="7">
        <v>0.4</v>
      </c>
      <c r="F82" s="7">
        <v>4.46</v>
      </c>
      <c r="G82" s="2" t="s">
        <v>700</v>
      </c>
      <c r="H82" s="2" t="s">
        <v>32</v>
      </c>
      <c r="I82" s="2" t="s">
        <v>33</v>
      </c>
      <c r="J82" s="2" t="s">
        <v>34</v>
      </c>
      <c r="K82" s="2" t="s">
        <v>25</v>
      </c>
      <c r="L82" s="7">
        <v>0.4</v>
      </c>
      <c r="M82" s="2" t="s">
        <v>26</v>
      </c>
      <c r="N82" s="2" t="s">
        <v>56</v>
      </c>
      <c r="O82" s="2" t="s">
        <v>240</v>
      </c>
      <c r="P82" s="2" t="s">
        <v>26</v>
      </c>
      <c r="Q82" s="2" t="s">
        <v>56</v>
      </c>
      <c r="R82" s="2" t="s">
        <v>100</v>
      </c>
      <c r="S82" s="2" t="s">
        <v>241</v>
      </c>
      <c r="T82" s="2"/>
      <c r="U82" s="2" t="s">
        <v>37</v>
      </c>
    </row>
    <row r="83" ht="16" customHeight="1" spans="1:21">
      <c r="A83" s="2" t="s">
        <v>244</v>
      </c>
      <c r="B83" s="2" t="s">
        <v>238</v>
      </c>
      <c r="C83" s="2" t="s">
        <v>239</v>
      </c>
      <c r="D83" s="2" t="s">
        <v>240</v>
      </c>
      <c r="E83" s="7">
        <v>2.49</v>
      </c>
      <c r="F83" s="7">
        <v>2.89</v>
      </c>
      <c r="G83" s="2" t="s">
        <v>708</v>
      </c>
      <c r="H83" s="2" t="s">
        <v>32</v>
      </c>
      <c r="I83" s="2" t="s">
        <v>33</v>
      </c>
      <c r="J83" s="2" t="s">
        <v>39</v>
      </c>
      <c r="K83" s="2" t="s">
        <v>25</v>
      </c>
      <c r="L83" s="7">
        <v>2.49</v>
      </c>
      <c r="M83" s="2" t="s">
        <v>26</v>
      </c>
      <c r="N83" s="2" t="s">
        <v>56</v>
      </c>
      <c r="O83" s="2" t="s">
        <v>240</v>
      </c>
      <c r="P83" s="2" t="s">
        <v>26</v>
      </c>
      <c r="Q83" s="2" t="s">
        <v>56</v>
      </c>
      <c r="R83" s="2" t="s">
        <v>192</v>
      </c>
      <c r="S83" s="2" t="s">
        <v>241</v>
      </c>
      <c r="T83" s="2"/>
      <c r="U83" s="2" t="s">
        <v>37</v>
      </c>
    </row>
    <row r="84" ht="16" customHeight="1" spans="1:21">
      <c r="A84" s="2" t="s">
        <v>245</v>
      </c>
      <c r="B84" s="2" t="s">
        <v>246</v>
      </c>
      <c r="C84" s="2" t="s">
        <v>247</v>
      </c>
      <c r="D84" s="2" t="s">
        <v>248</v>
      </c>
      <c r="E84" s="7">
        <v>0.8</v>
      </c>
      <c r="F84" s="7">
        <v>2.89</v>
      </c>
      <c r="G84" s="2" t="s">
        <v>714</v>
      </c>
      <c r="H84" s="2" t="s">
        <v>32</v>
      </c>
      <c r="I84" s="2" t="s">
        <v>33</v>
      </c>
      <c r="J84" s="2" t="s">
        <v>85</v>
      </c>
      <c r="K84" s="2" t="s">
        <v>25</v>
      </c>
      <c r="L84" s="7">
        <v>0.8</v>
      </c>
      <c r="M84" s="2" t="s">
        <v>26</v>
      </c>
      <c r="N84" s="2" t="s">
        <v>56</v>
      </c>
      <c r="O84" s="2" t="s">
        <v>248</v>
      </c>
      <c r="P84" s="2" t="s">
        <v>26</v>
      </c>
      <c r="Q84" s="2" t="s">
        <v>56</v>
      </c>
      <c r="R84" s="2" t="s">
        <v>192</v>
      </c>
      <c r="S84" s="2" t="s">
        <v>249</v>
      </c>
      <c r="T84" s="2"/>
      <c r="U84" s="2" t="s">
        <v>37</v>
      </c>
    </row>
    <row r="85" ht="16" customHeight="1" spans="1:21">
      <c r="A85" s="2" t="s">
        <v>250</v>
      </c>
      <c r="B85" s="2" t="s">
        <v>246</v>
      </c>
      <c r="C85" s="2" t="s">
        <v>247</v>
      </c>
      <c r="D85" s="2" t="s">
        <v>248</v>
      </c>
      <c r="E85" s="7">
        <v>0.07</v>
      </c>
      <c r="F85" s="7">
        <v>7.21</v>
      </c>
      <c r="G85" s="2" t="s">
        <v>723</v>
      </c>
      <c r="H85" s="2" t="s">
        <v>32</v>
      </c>
      <c r="I85" s="2" t="s">
        <v>33</v>
      </c>
      <c r="J85" s="2" t="s">
        <v>47</v>
      </c>
      <c r="K85" s="2" t="s">
        <v>25</v>
      </c>
      <c r="L85" s="7">
        <v>0.07</v>
      </c>
      <c r="M85" s="2" t="s">
        <v>26</v>
      </c>
      <c r="N85" s="2" t="s">
        <v>56</v>
      </c>
      <c r="O85" s="2" t="s">
        <v>248</v>
      </c>
      <c r="P85" s="2" t="s">
        <v>26</v>
      </c>
      <c r="Q85" s="2" t="s">
        <v>56</v>
      </c>
      <c r="R85" s="2" t="s">
        <v>725</v>
      </c>
      <c r="S85" s="2" t="s">
        <v>249</v>
      </c>
      <c r="T85" s="2"/>
      <c r="U85" s="2" t="s">
        <v>37</v>
      </c>
    </row>
    <row r="86" ht="16" customHeight="1" spans="1:21">
      <c r="A86" s="2" t="s">
        <v>251</v>
      </c>
      <c r="B86" s="2" t="s">
        <v>246</v>
      </c>
      <c r="C86" s="2" t="s">
        <v>247</v>
      </c>
      <c r="D86" s="2" t="s">
        <v>248</v>
      </c>
      <c r="E86" s="7">
        <v>0.4</v>
      </c>
      <c r="F86" s="7">
        <v>3.76</v>
      </c>
      <c r="G86" s="2" t="s">
        <v>732</v>
      </c>
      <c r="H86" s="2" t="s">
        <v>32</v>
      </c>
      <c r="I86" s="2" t="s">
        <v>33</v>
      </c>
      <c r="J86" s="2" t="s">
        <v>34</v>
      </c>
      <c r="K86" s="2" t="s">
        <v>25</v>
      </c>
      <c r="L86" s="7">
        <v>0.4</v>
      </c>
      <c r="M86" s="2" t="s">
        <v>26</v>
      </c>
      <c r="N86" s="2" t="s">
        <v>56</v>
      </c>
      <c r="O86" s="2" t="s">
        <v>248</v>
      </c>
      <c r="P86" s="2" t="s">
        <v>26</v>
      </c>
      <c r="Q86" s="2" t="s">
        <v>56</v>
      </c>
      <c r="R86" s="2" t="s">
        <v>56</v>
      </c>
      <c r="S86" s="2" t="s">
        <v>249</v>
      </c>
      <c r="T86" s="2"/>
      <c r="U86" s="2" t="s">
        <v>37</v>
      </c>
    </row>
    <row r="87" ht="16" customHeight="1" spans="1:21">
      <c r="A87" s="2" t="s">
        <v>252</v>
      </c>
      <c r="B87" s="2" t="s">
        <v>246</v>
      </c>
      <c r="C87" s="2" t="s">
        <v>247</v>
      </c>
      <c r="D87" s="2" t="s">
        <v>248</v>
      </c>
      <c r="E87" s="7">
        <v>2.49</v>
      </c>
      <c r="F87" s="7">
        <v>3.76</v>
      </c>
      <c r="G87" s="2" t="s">
        <v>740</v>
      </c>
      <c r="H87" s="2" t="s">
        <v>32</v>
      </c>
      <c r="I87" s="2" t="s">
        <v>33</v>
      </c>
      <c r="J87" s="2" t="s">
        <v>39</v>
      </c>
      <c r="K87" s="2" t="s">
        <v>25</v>
      </c>
      <c r="L87" s="7">
        <v>2.49</v>
      </c>
      <c r="M87" s="2" t="s">
        <v>26</v>
      </c>
      <c r="N87" s="2" t="s">
        <v>56</v>
      </c>
      <c r="O87" s="2" t="s">
        <v>248</v>
      </c>
      <c r="P87" s="2" t="s">
        <v>26</v>
      </c>
      <c r="Q87" s="2" t="s">
        <v>56</v>
      </c>
      <c r="R87" s="2" t="s">
        <v>56</v>
      </c>
      <c r="S87" s="2" t="s">
        <v>249</v>
      </c>
      <c r="T87" s="2"/>
      <c r="U87" s="2" t="s">
        <v>37</v>
      </c>
    </row>
    <row r="88" ht="16" customHeight="1" spans="1:21">
      <c r="A88" s="2" t="s">
        <v>253</v>
      </c>
      <c r="B88" s="2" t="s">
        <v>254</v>
      </c>
      <c r="C88" s="2" t="s">
        <v>255</v>
      </c>
      <c r="D88" s="2" t="s">
        <v>256</v>
      </c>
      <c r="E88" s="7">
        <v>0.8</v>
      </c>
      <c r="F88" s="7">
        <v>3.76</v>
      </c>
      <c r="G88" s="2" t="s">
        <v>748</v>
      </c>
      <c r="H88" s="2" t="s">
        <v>32</v>
      </c>
      <c r="I88" s="2" t="s">
        <v>33</v>
      </c>
      <c r="J88" s="2" t="s">
        <v>85</v>
      </c>
      <c r="K88" s="2" t="s">
        <v>25</v>
      </c>
      <c r="L88" s="7">
        <v>0.8</v>
      </c>
      <c r="M88" s="2" t="s">
        <v>26</v>
      </c>
      <c r="N88" s="2" t="s">
        <v>56</v>
      </c>
      <c r="O88" s="2" t="s">
        <v>256</v>
      </c>
      <c r="P88" s="2" t="s">
        <v>26</v>
      </c>
      <c r="Q88" s="2" t="s">
        <v>56</v>
      </c>
      <c r="R88" s="2" t="s">
        <v>56</v>
      </c>
      <c r="S88" s="2" t="s">
        <v>257</v>
      </c>
      <c r="T88" s="2"/>
      <c r="U88" s="2" t="s">
        <v>37</v>
      </c>
    </row>
    <row r="89" ht="16" customHeight="1" spans="1:21">
      <c r="A89" s="2" t="s">
        <v>258</v>
      </c>
      <c r="B89" s="2" t="s">
        <v>254</v>
      </c>
      <c r="C89" s="2" t="s">
        <v>255</v>
      </c>
      <c r="D89" s="2" t="s">
        <v>256</v>
      </c>
      <c r="E89" s="7">
        <v>0.07</v>
      </c>
      <c r="F89" s="7">
        <v>2.96</v>
      </c>
      <c r="G89" s="2" t="s">
        <v>756</v>
      </c>
      <c r="H89" s="2" t="s">
        <v>32</v>
      </c>
      <c r="I89" s="2" t="s">
        <v>33</v>
      </c>
      <c r="J89" s="2" t="s">
        <v>47</v>
      </c>
      <c r="K89" s="2" t="s">
        <v>25</v>
      </c>
      <c r="L89" s="7">
        <v>0.07</v>
      </c>
      <c r="M89" s="2" t="s">
        <v>26</v>
      </c>
      <c r="N89" s="2" t="s">
        <v>56</v>
      </c>
      <c r="O89" s="2" t="s">
        <v>256</v>
      </c>
      <c r="P89" s="2" t="s">
        <v>26</v>
      </c>
      <c r="Q89" s="2" t="s">
        <v>56</v>
      </c>
      <c r="R89" s="2" t="s">
        <v>757</v>
      </c>
      <c r="S89" s="2" t="s">
        <v>257</v>
      </c>
      <c r="T89" s="2"/>
      <c r="U89" s="2" t="s">
        <v>37</v>
      </c>
    </row>
    <row r="90" ht="16" customHeight="1" spans="1:21">
      <c r="A90" s="2" t="s">
        <v>259</v>
      </c>
      <c r="B90" s="2" t="s">
        <v>254</v>
      </c>
      <c r="C90" s="2" t="s">
        <v>255</v>
      </c>
      <c r="D90" s="2" t="s">
        <v>256</v>
      </c>
      <c r="E90" s="7">
        <v>0.4</v>
      </c>
      <c r="F90" s="7">
        <v>2.89</v>
      </c>
      <c r="G90" s="2" t="s">
        <v>764</v>
      </c>
      <c r="H90" s="2" t="s">
        <v>32</v>
      </c>
      <c r="I90" s="2" t="s">
        <v>33</v>
      </c>
      <c r="J90" s="2" t="s">
        <v>34</v>
      </c>
      <c r="K90" s="2" t="s">
        <v>25</v>
      </c>
      <c r="L90" s="7">
        <v>0.4</v>
      </c>
      <c r="M90" s="2" t="s">
        <v>26</v>
      </c>
      <c r="N90" s="2" t="s">
        <v>56</v>
      </c>
      <c r="O90" s="2" t="s">
        <v>256</v>
      </c>
      <c r="P90" s="2" t="s">
        <v>26</v>
      </c>
      <c r="Q90" s="2" t="s">
        <v>56</v>
      </c>
      <c r="R90" s="2" t="s">
        <v>192</v>
      </c>
      <c r="S90" s="2" t="s">
        <v>257</v>
      </c>
      <c r="T90" s="2"/>
      <c r="U90" s="2" t="s">
        <v>37</v>
      </c>
    </row>
    <row r="91" ht="16" customHeight="1" spans="1:21">
      <c r="A91" s="2" t="s">
        <v>260</v>
      </c>
      <c r="B91" s="2" t="s">
        <v>254</v>
      </c>
      <c r="C91" s="2" t="s">
        <v>255</v>
      </c>
      <c r="D91" s="2" t="s">
        <v>256</v>
      </c>
      <c r="E91" s="7">
        <v>2.49</v>
      </c>
      <c r="F91" s="7">
        <v>2.96</v>
      </c>
      <c r="G91" s="2" t="s">
        <v>779</v>
      </c>
      <c r="H91" s="2" t="s">
        <v>32</v>
      </c>
      <c r="I91" s="2" t="s">
        <v>33</v>
      </c>
      <c r="J91" s="2" t="s">
        <v>39</v>
      </c>
      <c r="K91" s="2" t="s">
        <v>25</v>
      </c>
      <c r="L91" s="7">
        <v>2.49</v>
      </c>
      <c r="M91" s="2" t="s">
        <v>26</v>
      </c>
      <c r="N91" s="2" t="s">
        <v>56</v>
      </c>
      <c r="O91" s="2" t="s">
        <v>256</v>
      </c>
      <c r="P91" s="2" t="s">
        <v>26</v>
      </c>
      <c r="Q91" s="2" t="s">
        <v>56</v>
      </c>
      <c r="R91" s="2" t="s">
        <v>757</v>
      </c>
      <c r="S91" s="2" t="s">
        <v>257</v>
      </c>
      <c r="T91" s="2"/>
      <c r="U91" s="2" t="s">
        <v>37</v>
      </c>
    </row>
    <row r="92" ht="16" customHeight="1" spans="1:21">
      <c r="A92" s="2" t="s">
        <v>261</v>
      </c>
      <c r="B92" s="2" t="s">
        <v>262</v>
      </c>
      <c r="C92" s="2" t="s">
        <v>263</v>
      </c>
      <c r="D92" s="2" t="s">
        <v>264</v>
      </c>
      <c r="E92" s="7">
        <v>0.07</v>
      </c>
      <c r="F92" s="7">
        <v>3.76</v>
      </c>
      <c r="G92" s="2" t="s">
        <v>786</v>
      </c>
      <c r="H92" s="2" t="s">
        <v>32</v>
      </c>
      <c r="I92" s="2" t="s">
        <v>33</v>
      </c>
      <c r="J92" s="2" t="s">
        <v>47</v>
      </c>
      <c r="K92" s="2" t="s">
        <v>25</v>
      </c>
      <c r="L92" s="7">
        <v>0.07</v>
      </c>
      <c r="M92" s="2" t="s">
        <v>26</v>
      </c>
      <c r="N92" s="2" t="s">
        <v>48</v>
      </c>
      <c r="O92" s="2" t="s">
        <v>264</v>
      </c>
      <c r="P92" s="2" t="s">
        <v>26</v>
      </c>
      <c r="Q92" s="2" t="s">
        <v>48</v>
      </c>
      <c r="R92" s="2" t="s">
        <v>166</v>
      </c>
      <c r="S92" s="2" t="s">
        <v>265</v>
      </c>
      <c r="T92" s="2"/>
      <c r="U92" s="2" t="s">
        <v>37</v>
      </c>
    </row>
    <row r="93" ht="16" customHeight="1" spans="1:21">
      <c r="A93" s="2" t="s">
        <v>266</v>
      </c>
      <c r="B93" s="2" t="s">
        <v>262</v>
      </c>
      <c r="C93" s="2" t="s">
        <v>263</v>
      </c>
      <c r="D93" s="2" t="s">
        <v>264</v>
      </c>
      <c r="E93" s="7">
        <v>0.4</v>
      </c>
      <c r="F93" s="7">
        <v>2.89</v>
      </c>
      <c r="G93" s="2" t="s">
        <v>794</v>
      </c>
      <c r="H93" s="2" t="s">
        <v>32</v>
      </c>
      <c r="I93" s="2" t="s">
        <v>33</v>
      </c>
      <c r="J93" s="2" t="s">
        <v>34</v>
      </c>
      <c r="K93" s="2" t="s">
        <v>25</v>
      </c>
      <c r="L93" s="7">
        <v>0.4</v>
      </c>
      <c r="M93" s="2" t="s">
        <v>26</v>
      </c>
      <c r="N93" s="2" t="s">
        <v>48</v>
      </c>
      <c r="O93" s="2" t="s">
        <v>264</v>
      </c>
      <c r="P93" s="2" t="s">
        <v>26</v>
      </c>
      <c r="Q93" s="2" t="s">
        <v>48</v>
      </c>
      <c r="R93" s="2" t="s">
        <v>35</v>
      </c>
      <c r="S93" s="2" t="s">
        <v>265</v>
      </c>
      <c r="T93" s="2"/>
      <c r="U93" s="2" t="s">
        <v>37</v>
      </c>
    </row>
    <row r="94" ht="16" customHeight="1" spans="1:21">
      <c r="A94" s="2" t="s">
        <v>267</v>
      </c>
      <c r="B94" s="2" t="s">
        <v>262</v>
      </c>
      <c r="C94" s="2" t="s">
        <v>263</v>
      </c>
      <c r="D94" s="2" t="s">
        <v>264</v>
      </c>
      <c r="E94" s="7">
        <v>2.49</v>
      </c>
      <c r="F94" s="7">
        <v>3.69</v>
      </c>
      <c r="G94" s="2" t="s">
        <v>800</v>
      </c>
      <c r="H94" s="2" t="s">
        <v>32</v>
      </c>
      <c r="I94" s="2" t="s">
        <v>33</v>
      </c>
      <c r="J94" s="2" t="s">
        <v>39</v>
      </c>
      <c r="K94" s="2" t="s">
        <v>25</v>
      </c>
      <c r="L94" s="7">
        <v>2.49</v>
      </c>
      <c r="M94" s="2" t="s">
        <v>26</v>
      </c>
      <c r="N94" s="2" t="s">
        <v>48</v>
      </c>
      <c r="O94" s="2" t="s">
        <v>264</v>
      </c>
      <c r="P94" s="2" t="s">
        <v>26</v>
      </c>
      <c r="Q94" s="2" t="s">
        <v>48</v>
      </c>
      <c r="R94" s="2" t="s">
        <v>600</v>
      </c>
      <c r="S94" s="2" t="s">
        <v>265</v>
      </c>
      <c r="T94" s="2"/>
      <c r="U94" s="2" t="s">
        <v>37</v>
      </c>
    </row>
    <row r="95" ht="16" customHeight="1" spans="1:21">
      <c r="A95" s="2" t="s">
        <v>268</v>
      </c>
      <c r="B95" s="2" t="s">
        <v>269</v>
      </c>
      <c r="C95" s="2" t="s">
        <v>270</v>
      </c>
      <c r="D95" s="2" t="s">
        <v>271</v>
      </c>
      <c r="E95" s="7">
        <v>0.07</v>
      </c>
      <c r="F95" s="7">
        <v>2.96</v>
      </c>
      <c r="G95" s="2" t="s">
        <v>807</v>
      </c>
      <c r="H95" s="2" t="s">
        <v>32</v>
      </c>
      <c r="I95" s="2" t="s">
        <v>33</v>
      </c>
      <c r="J95" s="2" t="s">
        <v>47</v>
      </c>
      <c r="K95" s="2" t="s">
        <v>25</v>
      </c>
      <c r="L95" s="7">
        <v>0.07</v>
      </c>
      <c r="M95" s="2" t="s">
        <v>26</v>
      </c>
      <c r="N95" s="2" t="s">
        <v>48</v>
      </c>
      <c r="O95" s="2" t="s">
        <v>271</v>
      </c>
      <c r="P95" s="2" t="s">
        <v>26</v>
      </c>
      <c r="Q95" s="2" t="s">
        <v>48</v>
      </c>
      <c r="R95" s="2" t="s">
        <v>316</v>
      </c>
      <c r="S95" s="2" t="s">
        <v>272</v>
      </c>
      <c r="T95" s="2"/>
      <c r="U95" s="2" t="s">
        <v>37</v>
      </c>
    </row>
    <row r="96" ht="16" customHeight="1" spans="1:21">
      <c r="A96" s="2" t="s">
        <v>273</v>
      </c>
      <c r="B96" s="2" t="s">
        <v>269</v>
      </c>
      <c r="C96" s="2" t="s">
        <v>270</v>
      </c>
      <c r="D96" s="2" t="s">
        <v>271</v>
      </c>
      <c r="E96" s="7">
        <v>0.4</v>
      </c>
      <c r="F96" s="7">
        <v>4.06</v>
      </c>
      <c r="G96" s="2" t="s">
        <v>814</v>
      </c>
      <c r="H96" s="2" t="s">
        <v>32</v>
      </c>
      <c r="I96" s="2" t="s">
        <v>33</v>
      </c>
      <c r="J96" s="2" t="s">
        <v>34</v>
      </c>
      <c r="K96" s="2" t="s">
        <v>25</v>
      </c>
      <c r="L96" s="7">
        <v>0.4</v>
      </c>
      <c r="M96" s="2" t="s">
        <v>26</v>
      </c>
      <c r="N96" s="2" t="s">
        <v>48</v>
      </c>
      <c r="O96" s="2" t="s">
        <v>271</v>
      </c>
      <c r="P96" s="2" t="s">
        <v>26</v>
      </c>
      <c r="Q96" s="2" t="s">
        <v>48</v>
      </c>
      <c r="R96" s="2" t="s">
        <v>815</v>
      </c>
      <c r="S96" s="2" t="s">
        <v>272</v>
      </c>
      <c r="T96" s="2"/>
      <c r="U96" s="2" t="s">
        <v>37</v>
      </c>
    </row>
    <row r="97" ht="16" customHeight="1" spans="1:21">
      <c r="A97" s="2" t="s">
        <v>274</v>
      </c>
      <c r="B97" s="2" t="s">
        <v>269</v>
      </c>
      <c r="C97" s="2" t="s">
        <v>270</v>
      </c>
      <c r="D97" s="2" t="s">
        <v>271</v>
      </c>
      <c r="E97" s="7">
        <v>2.49</v>
      </c>
      <c r="F97" s="7">
        <v>3.89</v>
      </c>
      <c r="G97" s="2" t="s">
        <v>827</v>
      </c>
      <c r="H97" s="2" t="s">
        <v>32</v>
      </c>
      <c r="I97" s="2" t="s">
        <v>33</v>
      </c>
      <c r="J97" s="2" t="s">
        <v>39</v>
      </c>
      <c r="K97" s="2" t="s">
        <v>25</v>
      </c>
      <c r="L97" s="7">
        <v>2.49</v>
      </c>
      <c r="M97" s="2" t="s">
        <v>26</v>
      </c>
      <c r="N97" s="2" t="s">
        <v>48</v>
      </c>
      <c r="O97" s="2" t="s">
        <v>271</v>
      </c>
      <c r="P97" s="2" t="s">
        <v>26</v>
      </c>
      <c r="Q97" s="2" t="s">
        <v>48</v>
      </c>
      <c r="R97" s="2" t="s">
        <v>828</v>
      </c>
      <c r="S97" s="2" t="s">
        <v>272</v>
      </c>
      <c r="T97" s="2"/>
      <c r="U97" s="2" t="s">
        <v>37</v>
      </c>
    </row>
    <row r="98" ht="16" customHeight="1" spans="1:21">
      <c r="A98" s="2" t="s">
        <v>275</v>
      </c>
      <c r="B98" s="2" t="s">
        <v>276</v>
      </c>
      <c r="C98" s="2" t="s">
        <v>277</v>
      </c>
      <c r="D98" s="2" t="s">
        <v>278</v>
      </c>
      <c r="E98" s="7">
        <v>0.4</v>
      </c>
      <c r="F98" s="7">
        <v>4.46</v>
      </c>
      <c r="G98" s="2" t="s">
        <v>835</v>
      </c>
      <c r="H98" s="2" t="s">
        <v>32</v>
      </c>
      <c r="I98" s="2" t="s">
        <v>33</v>
      </c>
      <c r="J98" s="2" t="s">
        <v>34</v>
      </c>
      <c r="K98" s="2" t="s">
        <v>25</v>
      </c>
      <c r="L98" s="7">
        <v>0.4</v>
      </c>
      <c r="M98" s="2" t="s">
        <v>26</v>
      </c>
      <c r="N98" s="2" t="s">
        <v>279</v>
      </c>
      <c r="O98" s="2" t="s">
        <v>278</v>
      </c>
      <c r="P98" s="2" t="s">
        <v>26</v>
      </c>
      <c r="Q98" s="2" t="s">
        <v>279</v>
      </c>
      <c r="R98" s="2" t="s">
        <v>100</v>
      </c>
      <c r="S98" s="2" t="s">
        <v>280</v>
      </c>
      <c r="T98" s="2"/>
      <c r="U98" s="2" t="s">
        <v>37</v>
      </c>
    </row>
    <row r="99" ht="16" customHeight="1" spans="1:21">
      <c r="A99" s="2" t="s">
        <v>281</v>
      </c>
      <c r="B99" s="2" t="s">
        <v>276</v>
      </c>
      <c r="C99" s="2" t="s">
        <v>277</v>
      </c>
      <c r="D99" s="2" t="s">
        <v>278</v>
      </c>
      <c r="E99" s="7">
        <v>2.49</v>
      </c>
      <c r="F99" s="7"/>
      <c r="H99" s="2" t="s">
        <v>32</v>
      </c>
      <c r="I99" s="2" t="s">
        <v>33</v>
      </c>
      <c r="J99" s="2" t="s">
        <v>39</v>
      </c>
      <c r="K99" s="2" t="s">
        <v>25</v>
      </c>
      <c r="L99" s="7">
        <v>2.49</v>
      </c>
      <c r="M99" s="2" t="s">
        <v>26</v>
      </c>
      <c r="N99" s="2" t="s">
        <v>279</v>
      </c>
      <c r="O99" s="2" t="s">
        <v>278</v>
      </c>
      <c r="P99" s="2" t="s">
        <v>26</v>
      </c>
      <c r="Q99" s="2" t="s">
        <v>279</v>
      </c>
      <c r="R99" s="2"/>
      <c r="S99" s="2" t="s">
        <v>280</v>
      </c>
      <c r="T99" s="2"/>
      <c r="U99" s="2" t="s">
        <v>37</v>
      </c>
    </row>
    <row r="100" ht="16" customHeight="1" spans="1:21">
      <c r="A100" s="2" t="s">
        <v>282</v>
      </c>
      <c r="B100" s="2" t="s">
        <v>283</v>
      </c>
      <c r="C100" s="2" t="s">
        <v>284</v>
      </c>
      <c r="D100" s="2" t="s">
        <v>285</v>
      </c>
      <c r="E100" s="7">
        <v>1</v>
      </c>
      <c r="F100" s="7"/>
      <c r="H100" s="2" t="s">
        <v>32</v>
      </c>
      <c r="I100" s="2" t="s">
        <v>33</v>
      </c>
      <c r="J100" s="2" t="s">
        <v>85</v>
      </c>
      <c r="K100" s="2" t="s">
        <v>25</v>
      </c>
      <c r="L100" s="7">
        <v>1</v>
      </c>
      <c r="M100" s="2" t="s">
        <v>26</v>
      </c>
      <c r="N100" s="2" t="s">
        <v>286</v>
      </c>
      <c r="O100" s="2" t="s">
        <v>285</v>
      </c>
      <c r="P100" s="2" t="s">
        <v>26</v>
      </c>
      <c r="Q100" s="2" t="s">
        <v>286</v>
      </c>
      <c r="R100" s="2"/>
      <c r="S100" s="2" t="s">
        <v>287</v>
      </c>
      <c r="T100" s="2"/>
      <c r="U100" s="2" t="s">
        <v>37</v>
      </c>
    </row>
    <row r="101" ht="16" customHeight="1" spans="1:21">
      <c r="A101" s="2" t="s">
        <v>288</v>
      </c>
      <c r="B101" s="2" t="s">
        <v>283</v>
      </c>
      <c r="C101" s="2" t="s">
        <v>284</v>
      </c>
      <c r="D101" s="2" t="s">
        <v>285</v>
      </c>
      <c r="E101" s="7">
        <v>0.07</v>
      </c>
      <c r="F101" s="7"/>
      <c r="H101" s="2" t="s">
        <v>32</v>
      </c>
      <c r="I101" s="2" t="s">
        <v>33</v>
      </c>
      <c r="J101" s="2" t="s">
        <v>47</v>
      </c>
      <c r="K101" s="2" t="s">
        <v>25</v>
      </c>
      <c r="L101" s="7">
        <v>0.07</v>
      </c>
      <c r="M101" s="2" t="s">
        <v>26</v>
      </c>
      <c r="N101" s="2" t="s">
        <v>286</v>
      </c>
      <c r="O101" s="2" t="s">
        <v>285</v>
      </c>
      <c r="P101" s="2" t="s">
        <v>26</v>
      </c>
      <c r="Q101" s="2" t="s">
        <v>286</v>
      </c>
      <c r="R101" s="2"/>
      <c r="S101" s="2" t="s">
        <v>287</v>
      </c>
      <c r="T101" s="2"/>
      <c r="U101" s="2" t="s">
        <v>37</v>
      </c>
    </row>
    <row r="102" ht="16" customHeight="1" spans="1:21">
      <c r="A102" s="2" t="s">
        <v>289</v>
      </c>
      <c r="B102" s="2" t="s">
        <v>283</v>
      </c>
      <c r="C102" s="2" t="s">
        <v>284</v>
      </c>
      <c r="D102" s="2" t="s">
        <v>285</v>
      </c>
      <c r="E102" s="7">
        <v>0.4</v>
      </c>
      <c r="F102" s="7"/>
      <c r="H102" s="2" t="s">
        <v>32</v>
      </c>
      <c r="I102" s="2" t="s">
        <v>33</v>
      </c>
      <c r="J102" s="2" t="s">
        <v>34</v>
      </c>
      <c r="K102" s="2" t="s">
        <v>25</v>
      </c>
      <c r="L102" s="7">
        <v>0.4</v>
      </c>
      <c r="M102" s="2" t="s">
        <v>26</v>
      </c>
      <c r="N102" s="2" t="s">
        <v>286</v>
      </c>
      <c r="O102" s="2" t="s">
        <v>285</v>
      </c>
      <c r="P102" s="2" t="s">
        <v>26</v>
      </c>
      <c r="Q102" s="2" t="s">
        <v>286</v>
      </c>
      <c r="R102" s="2"/>
      <c r="S102" s="2" t="s">
        <v>287</v>
      </c>
      <c r="T102" s="2"/>
      <c r="U102" s="2" t="s">
        <v>37</v>
      </c>
    </row>
    <row r="103" ht="16" customHeight="1" spans="1:21">
      <c r="A103" s="2" t="s">
        <v>290</v>
      </c>
      <c r="B103" s="2" t="s">
        <v>283</v>
      </c>
      <c r="C103" s="2" t="s">
        <v>284</v>
      </c>
      <c r="D103" s="2" t="s">
        <v>285</v>
      </c>
      <c r="E103" s="7">
        <v>2.49</v>
      </c>
      <c r="F103" s="7"/>
      <c r="H103" s="2" t="s">
        <v>32</v>
      </c>
      <c r="I103" s="2" t="s">
        <v>33</v>
      </c>
      <c r="J103" s="2" t="s">
        <v>39</v>
      </c>
      <c r="K103" s="2" t="s">
        <v>25</v>
      </c>
      <c r="L103" s="7">
        <v>2.49</v>
      </c>
      <c r="M103" s="2" t="s">
        <v>26</v>
      </c>
      <c r="N103" s="2" t="s">
        <v>286</v>
      </c>
      <c r="O103" s="2" t="s">
        <v>285</v>
      </c>
      <c r="P103" s="2" t="s">
        <v>26</v>
      </c>
      <c r="Q103" s="2" t="s">
        <v>286</v>
      </c>
      <c r="R103" s="2"/>
      <c r="S103" s="2" t="s">
        <v>287</v>
      </c>
      <c r="T103" s="2"/>
      <c r="U103" s="2" t="s">
        <v>37</v>
      </c>
    </row>
    <row r="104" ht="16" customHeight="1" spans="1:21">
      <c r="A104" s="2" t="s">
        <v>291</v>
      </c>
      <c r="B104" s="2" t="s">
        <v>292</v>
      </c>
      <c r="C104" s="2" t="s">
        <v>293</v>
      </c>
      <c r="D104" s="2" t="s">
        <v>294</v>
      </c>
      <c r="E104" s="7">
        <v>1</v>
      </c>
      <c r="F104" s="7"/>
      <c r="H104" s="2" t="s">
        <v>32</v>
      </c>
      <c r="I104" s="2" t="s">
        <v>33</v>
      </c>
      <c r="J104" s="2" t="s">
        <v>85</v>
      </c>
      <c r="K104" s="2" t="s">
        <v>25</v>
      </c>
      <c r="L104" s="7">
        <v>1</v>
      </c>
      <c r="M104" s="2" t="s">
        <v>26</v>
      </c>
      <c r="N104" s="2" t="s">
        <v>295</v>
      </c>
      <c r="O104" s="2" t="s">
        <v>294</v>
      </c>
      <c r="P104" s="2" t="s">
        <v>26</v>
      </c>
      <c r="Q104" s="2" t="s">
        <v>295</v>
      </c>
      <c r="R104" s="2"/>
      <c r="S104" s="2" t="s">
        <v>296</v>
      </c>
      <c r="T104" s="2"/>
      <c r="U104" s="2" t="s">
        <v>37</v>
      </c>
    </row>
    <row r="105" ht="16" customHeight="1" spans="1:21">
      <c r="A105" s="2" t="s">
        <v>297</v>
      </c>
      <c r="B105" s="2" t="s">
        <v>292</v>
      </c>
      <c r="C105" s="2" t="s">
        <v>293</v>
      </c>
      <c r="D105" s="2" t="s">
        <v>294</v>
      </c>
      <c r="E105" s="7">
        <v>0.4</v>
      </c>
      <c r="F105" s="7"/>
      <c r="H105" s="2" t="s">
        <v>32</v>
      </c>
      <c r="I105" s="2" t="s">
        <v>33</v>
      </c>
      <c r="J105" s="2" t="s">
        <v>34</v>
      </c>
      <c r="K105" s="2" t="s">
        <v>25</v>
      </c>
      <c r="L105" s="7">
        <v>0.4</v>
      </c>
      <c r="M105" s="2" t="s">
        <v>26</v>
      </c>
      <c r="N105" s="2" t="s">
        <v>295</v>
      </c>
      <c r="O105" s="2" t="s">
        <v>294</v>
      </c>
      <c r="P105" s="2" t="s">
        <v>26</v>
      </c>
      <c r="Q105" s="2" t="s">
        <v>295</v>
      </c>
      <c r="R105" s="2"/>
      <c r="S105" s="2" t="s">
        <v>296</v>
      </c>
      <c r="T105" s="2"/>
      <c r="U105" s="2" t="s">
        <v>37</v>
      </c>
    </row>
    <row r="106" ht="16" customHeight="1" spans="1:21">
      <c r="A106" s="2" t="s">
        <v>298</v>
      </c>
      <c r="B106" s="2" t="s">
        <v>292</v>
      </c>
      <c r="C106" s="2" t="s">
        <v>293</v>
      </c>
      <c r="D106" s="2" t="s">
        <v>294</v>
      </c>
      <c r="E106" s="7">
        <v>2.49</v>
      </c>
      <c r="F106" s="7"/>
      <c r="H106" s="2" t="s">
        <v>32</v>
      </c>
      <c r="I106" s="2" t="s">
        <v>33</v>
      </c>
      <c r="J106" s="2" t="s">
        <v>39</v>
      </c>
      <c r="K106" s="2" t="s">
        <v>25</v>
      </c>
      <c r="L106" s="7">
        <v>2.49</v>
      </c>
      <c r="M106" s="2" t="s">
        <v>26</v>
      </c>
      <c r="N106" s="2" t="s">
        <v>295</v>
      </c>
      <c r="O106" s="2" t="s">
        <v>294</v>
      </c>
      <c r="P106" s="2" t="s">
        <v>26</v>
      </c>
      <c r="Q106" s="2" t="s">
        <v>295</v>
      </c>
      <c r="R106" s="2"/>
      <c r="S106" s="2" t="s">
        <v>296</v>
      </c>
      <c r="T106" s="2"/>
      <c r="U106" s="2" t="s">
        <v>37</v>
      </c>
    </row>
    <row r="107" ht="16" customHeight="1" spans="1:21">
      <c r="A107" s="2" t="s">
        <v>299</v>
      </c>
      <c r="B107" s="2" t="s">
        <v>300</v>
      </c>
      <c r="C107" s="2" t="s">
        <v>301</v>
      </c>
      <c r="D107" s="2" t="s">
        <v>302</v>
      </c>
      <c r="E107" s="7">
        <v>1</v>
      </c>
      <c r="F107" s="7"/>
      <c r="H107" s="2" t="s">
        <v>32</v>
      </c>
      <c r="I107" s="2" t="s">
        <v>33</v>
      </c>
      <c r="J107" s="2" t="s">
        <v>85</v>
      </c>
      <c r="K107" s="2" t="s">
        <v>25</v>
      </c>
      <c r="L107" s="7">
        <v>1</v>
      </c>
      <c r="M107" s="2" t="s">
        <v>26</v>
      </c>
      <c r="N107" s="2" t="s">
        <v>295</v>
      </c>
      <c r="O107" s="2" t="s">
        <v>302</v>
      </c>
      <c r="P107" s="2" t="s">
        <v>26</v>
      </c>
      <c r="Q107" s="2" t="s">
        <v>295</v>
      </c>
      <c r="R107" s="2"/>
      <c r="S107" s="2" t="s">
        <v>303</v>
      </c>
      <c r="T107" s="2"/>
      <c r="U107" s="2" t="s">
        <v>37</v>
      </c>
    </row>
    <row r="108" ht="16" customHeight="1" spans="1:21">
      <c r="A108" s="2" t="s">
        <v>304</v>
      </c>
      <c r="B108" s="2" t="s">
        <v>300</v>
      </c>
      <c r="C108" s="2" t="s">
        <v>301</v>
      </c>
      <c r="D108" s="2" t="s">
        <v>302</v>
      </c>
      <c r="E108" s="7">
        <v>0.4</v>
      </c>
      <c r="F108" s="7"/>
      <c r="H108" s="2" t="s">
        <v>32</v>
      </c>
      <c r="I108" s="2" t="s">
        <v>33</v>
      </c>
      <c r="J108" s="2" t="s">
        <v>34</v>
      </c>
      <c r="K108" s="2" t="s">
        <v>25</v>
      </c>
      <c r="L108" s="7">
        <v>0.4</v>
      </c>
      <c r="M108" s="2" t="s">
        <v>26</v>
      </c>
      <c r="N108" s="2" t="s">
        <v>295</v>
      </c>
      <c r="O108" s="2" t="s">
        <v>302</v>
      </c>
      <c r="P108" s="2" t="s">
        <v>26</v>
      </c>
      <c r="Q108" s="2" t="s">
        <v>295</v>
      </c>
      <c r="R108" s="2"/>
      <c r="S108" s="2" t="s">
        <v>303</v>
      </c>
      <c r="T108" s="2"/>
      <c r="U108" s="2" t="s">
        <v>37</v>
      </c>
    </row>
    <row r="109" ht="16" customHeight="1" spans="1:21">
      <c r="A109" s="2" t="s">
        <v>305</v>
      </c>
      <c r="B109" s="2" t="s">
        <v>300</v>
      </c>
      <c r="C109" s="2" t="s">
        <v>301</v>
      </c>
      <c r="D109" s="2" t="s">
        <v>302</v>
      </c>
      <c r="E109" s="7">
        <v>2.49</v>
      </c>
      <c r="F109" s="7"/>
      <c r="H109" s="2" t="s">
        <v>32</v>
      </c>
      <c r="I109" s="2" t="s">
        <v>33</v>
      </c>
      <c r="J109" s="2" t="s">
        <v>39</v>
      </c>
      <c r="K109" s="2" t="s">
        <v>25</v>
      </c>
      <c r="L109" s="7">
        <v>2.49</v>
      </c>
      <c r="M109" s="2" t="s">
        <v>26</v>
      </c>
      <c r="N109" s="2" t="s">
        <v>295</v>
      </c>
      <c r="O109" s="2" t="s">
        <v>302</v>
      </c>
      <c r="P109" s="2" t="s">
        <v>26</v>
      </c>
      <c r="Q109" s="2" t="s">
        <v>295</v>
      </c>
      <c r="R109" s="2"/>
      <c r="S109" s="2" t="s">
        <v>303</v>
      </c>
      <c r="T109" s="2"/>
      <c r="U109" s="2" t="s">
        <v>37</v>
      </c>
    </row>
    <row r="110" ht="16" customHeight="1" spans="1:21">
      <c r="A110" s="2" t="s">
        <v>306</v>
      </c>
      <c r="B110" s="2" t="s">
        <v>307</v>
      </c>
      <c r="C110" s="2" t="s">
        <v>308</v>
      </c>
      <c r="D110" s="2" t="s">
        <v>309</v>
      </c>
      <c r="E110" s="7">
        <v>0.4</v>
      </c>
      <c r="F110" s="7"/>
      <c r="H110" s="2" t="s">
        <v>32</v>
      </c>
      <c r="I110" s="2" t="s">
        <v>33</v>
      </c>
      <c r="J110" s="2" t="s">
        <v>34</v>
      </c>
      <c r="K110" s="2" t="s">
        <v>25</v>
      </c>
      <c r="L110" s="7">
        <v>0.4</v>
      </c>
      <c r="M110" s="2" t="s">
        <v>26</v>
      </c>
      <c r="N110" s="2" t="s">
        <v>295</v>
      </c>
      <c r="O110" s="2" t="s">
        <v>309</v>
      </c>
      <c r="P110" s="2" t="s">
        <v>26</v>
      </c>
      <c r="Q110" s="2" t="s">
        <v>295</v>
      </c>
      <c r="R110" s="2"/>
      <c r="S110" s="2" t="s">
        <v>310</v>
      </c>
      <c r="T110" s="2"/>
      <c r="U110" s="2" t="s">
        <v>37</v>
      </c>
    </row>
    <row r="111" ht="16" customHeight="1" spans="1:21">
      <c r="A111" s="2" t="s">
        <v>311</v>
      </c>
      <c r="B111" s="2" t="s">
        <v>307</v>
      </c>
      <c r="C111" s="2" t="s">
        <v>308</v>
      </c>
      <c r="D111" s="2" t="s">
        <v>309</v>
      </c>
      <c r="E111" s="7">
        <v>2.49</v>
      </c>
      <c r="F111" s="7"/>
      <c r="H111" s="2" t="s">
        <v>32</v>
      </c>
      <c r="I111" s="2" t="s">
        <v>33</v>
      </c>
      <c r="J111" s="2" t="s">
        <v>39</v>
      </c>
      <c r="K111" s="2" t="s">
        <v>25</v>
      </c>
      <c r="L111" s="7">
        <v>2.49</v>
      </c>
      <c r="M111" s="2" t="s">
        <v>26</v>
      </c>
      <c r="N111" s="2" t="s">
        <v>295</v>
      </c>
      <c r="O111" s="2" t="s">
        <v>309</v>
      </c>
      <c r="P111" s="2" t="s">
        <v>26</v>
      </c>
      <c r="Q111" s="2" t="s">
        <v>295</v>
      </c>
      <c r="R111" s="2"/>
      <c r="S111" s="2" t="s">
        <v>310</v>
      </c>
      <c r="T111" s="2"/>
      <c r="U111" s="2" t="s">
        <v>37</v>
      </c>
    </row>
    <row r="112" ht="16" customHeight="1" spans="1:21">
      <c r="A112" s="2" t="s">
        <v>312</v>
      </c>
      <c r="B112" s="2" t="s">
        <v>313</v>
      </c>
      <c r="C112" s="2" t="s">
        <v>314</v>
      </c>
      <c r="D112" s="2" t="s">
        <v>315</v>
      </c>
      <c r="E112" s="7">
        <v>0.07</v>
      </c>
      <c r="F112" s="7"/>
      <c r="H112" s="2" t="s">
        <v>32</v>
      </c>
      <c r="I112" s="2" t="s">
        <v>33</v>
      </c>
      <c r="J112" s="2" t="s">
        <v>47</v>
      </c>
      <c r="K112" s="2" t="s">
        <v>25</v>
      </c>
      <c r="L112" s="7">
        <v>0.07</v>
      </c>
      <c r="M112" s="2" t="s">
        <v>26</v>
      </c>
      <c r="N112" s="2" t="s">
        <v>316</v>
      </c>
      <c r="O112" s="2" t="s">
        <v>315</v>
      </c>
      <c r="P112" s="2" t="s">
        <v>26</v>
      </c>
      <c r="Q112" s="2" t="s">
        <v>316</v>
      </c>
      <c r="R112" s="2"/>
      <c r="S112" s="2" t="s">
        <v>317</v>
      </c>
      <c r="T112" s="2"/>
      <c r="U112" s="2" t="s">
        <v>37</v>
      </c>
    </row>
    <row r="113" ht="16" customHeight="1" spans="1:21">
      <c r="A113" s="2" t="s">
        <v>318</v>
      </c>
      <c r="B113" s="2" t="s">
        <v>313</v>
      </c>
      <c r="C113" s="2" t="s">
        <v>314</v>
      </c>
      <c r="D113" s="2" t="s">
        <v>315</v>
      </c>
      <c r="E113" s="7">
        <v>0.4</v>
      </c>
      <c r="F113" s="7"/>
      <c r="H113" s="2" t="s">
        <v>32</v>
      </c>
      <c r="I113" s="2" t="s">
        <v>33</v>
      </c>
      <c r="J113" s="2" t="s">
        <v>34</v>
      </c>
      <c r="K113" s="2" t="s">
        <v>25</v>
      </c>
      <c r="L113" s="7">
        <v>0.4</v>
      </c>
      <c r="M113" s="2" t="s">
        <v>26</v>
      </c>
      <c r="N113" s="2" t="s">
        <v>316</v>
      </c>
      <c r="O113" s="2" t="s">
        <v>315</v>
      </c>
      <c r="P113" s="2" t="s">
        <v>26</v>
      </c>
      <c r="Q113" s="2" t="s">
        <v>316</v>
      </c>
      <c r="R113" s="2"/>
      <c r="S113" s="2" t="s">
        <v>317</v>
      </c>
      <c r="T113" s="2"/>
      <c r="U113" s="2" t="s">
        <v>37</v>
      </c>
    </row>
    <row r="114" ht="16" customHeight="1" spans="1:21">
      <c r="A114" s="2" t="s">
        <v>319</v>
      </c>
      <c r="B114" s="2" t="s">
        <v>313</v>
      </c>
      <c r="C114" s="2" t="s">
        <v>314</v>
      </c>
      <c r="D114" s="2" t="s">
        <v>315</v>
      </c>
      <c r="E114" s="7">
        <v>2.49</v>
      </c>
      <c r="F114" s="7"/>
      <c r="H114" s="2" t="s">
        <v>32</v>
      </c>
      <c r="I114" s="2" t="s">
        <v>33</v>
      </c>
      <c r="J114" s="2" t="s">
        <v>39</v>
      </c>
      <c r="K114" s="2" t="s">
        <v>25</v>
      </c>
      <c r="L114" s="7">
        <v>2.49</v>
      </c>
      <c r="M114" s="2" t="s">
        <v>26</v>
      </c>
      <c r="N114" s="2" t="s">
        <v>316</v>
      </c>
      <c r="O114" s="2" t="s">
        <v>315</v>
      </c>
      <c r="P114" s="2" t="s">
        <v>26</v>
      </c>
      <c r="Q114" s="2" t="s">
        <v>316</v>
      </c>
      <c r="R114" s="2"/>
      <c r="S114" s="2" t="s">
        <v>317</v>
      </c>
      <c r="T114" s="2"/>
      <c r="U114" s="2" t="s">
        <v>37</v>
      </c>
    </row>
    <row r="115" ht="16" customHeight="1" spans="1:21">
      <c r="A115" s="2" t="s">
        <v>320</v>
      </c>
      <c r="B115" s="2" t="s">
        <v>321</v>
      </c>
      <c r="C115" s="2" t="s">
        <v>322</v>
      </c>
      <c r="D115" s="2" t="s">
        <v>323</v>
      </c>
      <c r="E115" s="7">
        <v>0.07</v>
      </c>
      <c r="F115" s="7"/>
      <c r="H115" s="2" t="s">
        <v>32</v>
      </c>
      <c r="I115" s="2" t="s">
        <v>33</v>
      </c>
      <c r="J115" s="2" t="s">
        <v>47</v>
      </c>
      <c r="K115" s="2" t="s">
        <v>25</v>
      </c>
      <c r="L115" s="7">
        <v>0.07</v>
      </c>
      <c r="M115" s="2" t="s">
        <v>26</v>
      </c>
      <c r="N115" s="2" t="s">
        <v>48</v>
      </c>
      <c r="O115" s="2" t="s">
        <v>323</v>
      </c>
      <c r="P115" s="2" t="s">
        <v>26</v>
      </c>
      <c r="Q115" s="2" t="s">
        <v>48</v>
      </c>
      <c r="R115" s="2"/>
      <c r="S115" s="2" t="s">
        <v>324</v>
      </c>
      <c r="T115" s="2"/>
      <c r="U115" s="2" t="s">
        <v>37</v>
      </c>
    </row>
    <row r="116" ht="16" customHeight="1" spans="1:21">
      <c r="A116" s="2" t="s">
        <v>325</v>
      </c>
      <c r="B116" s="2" t="s">
        <v>321</v>
      </c>
      <c r="C116" s="2" t="s">
        <v>322</v>
      </c>
      <c r="D116" s="2" t="s">
        <v>323</v>
      </c>
      <c r="E116" s="7">
        <v>0.4</v>
      </c>
      <c r="F116" s="7"/>
      <c r="H116" s="2" t="s">
        <v>32</v>
      </c>
      <c r="I116" s="2" t="s">
        <v>33</v>
      </c>
      <c r="J116" s="2" t="s">
        <v>34</v>
      </c>
      <c r="K116" s="2" t="s">
        <v>25</v>
      </c>
      <c r="L116" s="7">
        <v>0.4</v>
      </c>
      <c r="M116" s="2" t="s">
        <v>26</v>
      </c>
      <c r="N116" s="2" t="s">
        <v>48</v>
      </c>
      <c r="O116" s="2" t="s">
        <v>323</v>
      </c>
      <c r="P116" s="2" t="s">
        <v>26</v>
      </c>
      <c r="Q116" s="2" t="s">
        <v>48</v>
      </c>
      <c r="R116" s="2"/>
      <c r="S116" s="2" t="s">
        <v>324</v>
      </c>
      <c r="T116" s="2"/>
      <c r="U116" s="2" t="s">
        <v>37</v>
      </c>
    </row>
    <row r="117" ht="16" customHeight="1" spans="1:21">
      <c r="A117" s="2" t="s">
        <v>326</v>
      </c>
      <c r="B117" s="2" t="s">
        <v>321</v>
      </c>
      <c r="C117" s="2" t="s">
        <v>322</v>
      </c>
      <c r="D117" s="2" t="s">
        <v>323</v>
      </c>
      <c r="E117" s="7">
        <v>2.49</v>
      </c>
      <c r="F117" s="7"/>
      <c r="H117" s="2" t="s">
        <v>32</v>
      </c>
      <c r="I117" s="2" t="s">
        <v>33</v>
      </c>
      <c r="J117" s="2" t="s">
        <v>39</v>
      </c>
      <c r="K117" s="2" t="s">
        <v>25</v>
      </c>
      <c r="L117" s="7">
        <v>2.49</v>
      </c>
      <c r="M117" s="2" t="s">
        <v>26</v>
      </c>
      <c r="N117" s="2" t="s">
        <v>48</v>
      </c>
      <c r="O117" s="2" t="s">
        <v>323</v>
      </c>
      <c r="P117" s="2" t="s">
        <v>26</v>
      </c>
      <c r="Q117" s="2" t="s">
        <v>48</v>
      </c>
      <c r="R117" s="2"/>
      <c r="S117" s="2" t="s">
        <v>324</v>
      </c>
      <c r="T117" s="2"/>
      <c r="U117" s="2" t="s">
        <v>37</v>
      </c>
    </row>
    <row r="118" ht="16" customHeight="1" spans="1:21">
      <c r="A118" s="2" t="s">
        <v>330</v>
      </c>
      <c r="B118" s="2" t="s">
        <v>331</v>
      </c>
      <c r="C118" s="2" t="s">
        <v>332</v>
      </c>
      <c r="D118" s="2" t="s">
        <v>333</v>
      </c>
      <c r="E118" s="7">
        <v>0.8</v>
      </c>
      <c r="F118" s="7"/>
      <c r="H118" s="2" t="s">
        <v>32</v>
      </c>
      <c r="I118" s="2" t="s">
        <v>33</v>
      </c>
      <c r="J118" s="2" t="s">
        <v>85</v>
      </c>
      <c r="K118" s="2" t="s">
        <v>25</v>
      </c>
      <c r="L118" s="7">
        <v>0.8</v>
      </c>
      <c r="M118" s="2" t="s">
        <v>26</v>
      </c>
      <c r="N118" s="2" t="s">
        <v>117</v>
      </c>
      <c r="O118" s="2" t="s">
        <v>333</v>
      </c>
      <c r="P118" s="2" t="s">
        <v>26</v>
      </c>
      <c r="Q118" s="2" t="s">
        <v>117</v>
      </c>
      <c r="R118" s="2"/>
      <c r="S118" s="2" t="s">
        <v>334</v>
      </c>
      <c r="T118" s="2"/>
      <c r="U118" s="2" t="s">
        <v>37</v>
      </c>
    </row>
    <row r="119" ht="16" customHeight="1" spans="1:21">
      <c r="A119" s="2" t="s">
        <v>335</v>
      </c>
      <c r="B119" s="2" t="s">
        <v>331</v>
      </c>
      <c r="C119" s="2" t="s">
        <v>332</v>
      </c>
      <c r="D119" s="2" t="s">
        <v>333</v>
      </c>
      <c r="E119" s="7">
        <v>0.3</v>
      </c>
      <c r="F119" s="7"/>
      <c r="H119" s="2" t="s">
        <v>32</v>
      </c>
      <c r="I119" s="2" t="s">
        <v>33</v>
      </c>
      <c r="J119" s="2" t="s">
        <v>89</v>
      </c>
      <c r="K119" s="2" t="s">
        <v>25</v>
      </c>
      <c r="L119" s="7">
        <v>0.3</v>
      </c>
      <c r="M119" s="2" t="s">
        <v>26</v>
      </c>
      <c r="N119" s="2" t="s">
        <v>117</v>
      </c>
      <c r="O119" s="2" t="s">
        <v>333</v>
      </c>
      <c r="P119" s="2" t="s">
        <v>26</v>
      </c>
      <c r="Q119" s="2" t="s">
        <v>117</v>
      </c>
      <c r="R119" s="2"/>
      <c r="S119" s="2" t="s">
        <v>334</v>
      </c>
      <c r="T119" s="2"/>
      <c r="U119" s="2" t="s">
        <v>37</v>
      </c>
    </row>
    <row r="120" ht="16" customHeight="1" spans="1:21">
      <c r="A120" s="2" t="s">
        <v>336</v>
      </c>
      <c r="B120" s="2" t="s">
        <v>331</v>
      </c>
      <c r="C120" s="2" t="s">
        <v>332</v>
      </c>
      <c r="D120" s="2" t="s">
        <v>333</v>
      </c>
      <c r="E120" s="7">
        <v>0.07</v>
      </c>
      <c r="F120" s="7"/>
      <c r="H120" s="2" t="s">
        <v>32</v>
      </c>
      <c r="I120" s="2" t="s">
        <v>33</v>
      </c>
      <c r="J120" s="2" t="s">
        <v>47</v>
      </c>
      <c r="K120" s="2" t="s">
        <v>25</v>
      </c>
      <c r="L120" s="7">
        <v>0.07</v>
      </c>
      <c r="M120" s="2" t="s">
        <v>26</v>
      </c>
      <c r="N120" s="2" t="s">
        <v>117</v>
      </c>
      <c r="O120" s="2" t="s">
        <v>333</v>
      </c>
      <c r="P120" s="2" t="s">
        <v>26</v>
      </c>
      <c r="Q120" s="2" t="s">
        <v>117</v>
      </c>
      <c r="R120" s="2"/>
      <c r="S120" s="2" t="s">
        <v>334</v>
      </c>
      <c r="T120" s="2"/>
      <c r="U120" s="2" t="s">
        <v>37</v>
      </c>
    </row>
    <row r="121" ht="16" customHeight="1" spans="1:21">
      <c r="A121" s="2" t="s">
        <v>337</v>
      </c>
      <c r="B121" s="2" t="s">
        <v>331</v>
      </c>
      <c r="C121" s="2" t="s">
        <v>332</v>
      </c>
      <c r="D121" s="2" t="s">
        <v>333</v>
      </c>
      <c r="E121" s="7">
        <v>0.4</v>
      </c>
      <c r="F121" s="7"/>
      <c r="H121" s="2" t="s">
        <v>32</v>
      </c>
      <c r="I121" s="2" t="s">
        <v>33</v>
      </c>
      <c r="J121" s="2" t="s">
        <v>34</v>
      </c>
      <c r="K121" s="2" t="s">
        <v>25</v>
      </c>
      <c r="L121" s="7">
        <v>0.4</v>
      </c>
      <c r="M121" s="2" t="s">
        <v>26</v>
      </c>
      <c r="N121" s="2" t="s">
        <v>117</v>
      </c>
      <c r="O121" s="2" t="s">
        <v>333</v>
      </c>
      <c r="P121" s="2" t="s">
        <v>26</v>
      </c>
      <c r="Q121" s="2" t="s">
        <v>117</v>
      </c>
      <c r="R121" s="2"/>
      <c r="S121" s="2" t="s">
        <v>334</v>
      </c>
      <c r="T121" s="2"/>
      <c r="U121" s="2" t="s">
        <v>37</v>
      </c>
    </row>
    <row r="122" ht="16" customHeight="1" spans="1:21">
      <c r="A122" s="2" t="s">
        <v>338</v>
      </c>
      <c r="B122" s="2" t="s">
        <v>331</v>
      </c>
      <c r="C122" s="2" t="s">
        <v>332</v>
      </c>
      <c r="D122" s="2" t="s">
        <v>333</v>
      </c>
      <c r="E122" s="7">
        <v>2.49</v>
      </c>
      <c r="F122" s="7"/>
      <c r="H122" s="2" t="s">
        <v>32</v>
      </c>
      <c r="I122" s="2" t="s">
        <v>33</v>
      </c>
      <c r="J122" s="2" t="s">
        <v>39</v>
      </c>
      <c r="K122" s="2" t="s">
        <v>25</v>
      </c>
      <c r="L122" s="7">
        <v>2.49</v>
      </c>
      <c r="M122" s="2" t="s">
        <v>26</v>
      </c>
      <c r="N122" s="2" t="s">
        <v>117</v>
      </c>
      <c r="O122" s="2" t="s">
        <v>333</v>
      </c>
      <c r="P122" s="2" t="s">
        <v>26</v>
      </c>
      <c r="Q122" s="2" t="s">
        <v>117</v>
      </c>
      <c r="R122" s="2"/>
      <c r="S122" s="2" t="s">
        <v>334</v>
      </c>
      <c r="T122" s="2"/>
      <c r="U122" s="2" t="s">
        <v>37</v>
      </c>
    </row>
    <row r="123" ht="16" customHeight="1" spans="1:21">
      <c r="A123" s="2" t="s">
        <v>348</v>
      </c>
      <c r="B123" s="2" t="s">
        <v>349</v>
      </c>
      <c r="C123" s="2" t="s">
        <v>20</v>
      </c>
      <c r="D123" s="2" t="s">
        <v>350</v>
      </c>
      <c r="E123" s="7">
        <v>0.98</v>
      </c>
      <c r="F123" s="7"/>
      <c r="H123" s="2" t="s">
        <v>32</v>
      </c>
      <c r="I123" s="2" t="s">
        <v>724</v>
      </c>
      <c r="J123" s="2" t="s">
        <v>47</v>
      </c>
      <c r="K123" s="2" t="s">
        <v>25</v>
      </c>
      <c r="L123" s="7">
        <v>0.98</v>
      </c>
      <c r="M123" s="2" t="s">
        <v>26</v>
      </c>
      <c r="N123" s="2" t="s">
        <v>352</v>
      </c>
      <c r="O123" s="2" t="s">
        <v>350</v>
      </c>
      <c r="P123" s="2" t="s">
        <v>26</v>
      </c>
      <c r="Q123" s="2" t="s">
        <v>352</v>
      </c>
      <c r="R123" s="2"/>
      <c r="S123" s="2" t="s">
        <v>353</v>
      </c>
      <c r="T123" s="2"/>
      <c r="U123" s="2" t="s">
        <v>37</v>
      </c>
    </row>
    <row r="124" ht="16" customHeight="1" spans="1:21">
      <c r="A124" s="2" t="s">
        <v>354</v>
      </c>
      <c r="B124" s="2" t="s">
        <v>349</v>
      </c>
      <c r="C124" s="2" t="s">
        <v>20</v>
      </c>
      <c r="D124" s="2" t="s">
        <v>350</v>
      </c>
      <c r="E124" s="7">
        <v>0.4</v>
      </c>
      <c r="F124" s="7"/>
      <c r="H124" s="2" t="s">
        <v>32</v>
      </c>
      <c r="I124" s="2" t="s">
        <v>724</v>
      </c>
      <c r="J124" s="2" t="s">
        <v>34</v>
      </c>
      <c r="K124" s="2" t="s">
        <v>25</v>
      </c>
      <c r="L124" s="7">
        <v>0.4</v>
      </c>
      <c r="M124" s="2" t="s">
        <v>26</v>
      </c>
      <c r="N124" s="2" t="s">
        <v>352</v>
      </c>
      <c r="O124" s="2" t="s">
        <v>350</v>
      </c>
      <c r="P124" s="2" t="s">
        <v>26</v>
      </c>
      <c r="Q124" s="2" t="s">
        <v>352</v>
      </c>
      <c r="R124" s="2"/>
      <c r="S124" s="2" t="s">
        <v>353</v>
      </c>
      <c r="T124" s="2"/>
      <c r="U124" s="2" t="s">
        <v>37</v>
      </c>
    </row>
    <row r="125" ht="16" customHeight="1" spans="1:21">
      <c r="A125" s="2" t="s">
        <v>355</v>
      </c>
      <c r="B125" s="2" t="s">
        <v>349</v>
      </c>
      <c r="C125" s="2" t="s">
        <v>20</v>
      </c>
      <c r="D125" s="2" t="s">
        <v>350</v>
      </c>
      <c r="E125" s="7">
        <v>5.55</v>
      </c>
      <c r="F125" s="7"/>
      <c r="H125" s="2" t="s">
        <v>32</v>
      </c>
      <c r="I125" s="2" t="s">
        <v>724</v>
      </c>
      <c r="J125" s="2" t="s">
        <v>39</v>
      </c>
      <c r="K125" s="2" t="s">
        <v>25</v>
      </c>
      <c r="L125" s="7">
        <v>5.55</v>
      </c>
      <c r="M125" s="2" t="s">
        <v>26</v>
      </c>
      <c r="N125" s="2" t="s">
        <v>352</v>
      </c>
      <c r="O125" s="2" t="s">
        <v>350</v>
      </c>
      <c r="P125" s="2" t="s">
        <v>26</v>
      </c>
      <c r="Q125" s="2" t="s">
        <v>352</v>
      </c>
      <c r="R125" s="2"/>
      <c r="S125" s="2" t="s">
        <v>353</v>
      </c>
      <c r="T125" s="2"/>
      <c r="U125" s="2" t="s">
        <v>37</v>
      </c>
    </row>
    <row r="126" ht="16" customHeight="1" spans="1:21">
      <c r="A126" s="2" t="s">
        <v>356</v>
      </c>
      <c r="B126" s="2" t="s">
        <v>357</v>
      </c>
      <c r="C126" s="2" t="s">
        <v>358</v>
      </c>
      <c r="D126" s="2" t="s">
        <v>359</v>
      </c>
      <c r="E126" s="7">
        <v>0.07</v>
      </c>
      <c r="F126" s="7"/>
      <c r="H126" s="2" t="s">
        <v>32</v>
      </c>
      <c r="I126" s="2" t="s">
        <v>33</v>
      </c>
      <c r="J126" s="2" t="s">
        <v>47</v>
      </c>
      <c r="K126" s="2" t="s">
        <v>25</v>
      </c>
      <c r="L126" s="7">
        <v>0.07</v>
      </c>
      <c r="M126" s="2" t="s">
        <v>26</v>
      </c>
      <c r="N126" s="2" t="s">
        <v>48</v>
      </c>
      <c r="O126" s="2" t="s">
        <v>359</v>
      </c>
      <c r="P126" s="2" t="s">
        <v>26</v>
      </c>
      <c r="Q126" s="2" t="s">
        <v>48</v>
      </c>
      <c r="R126" s="2"/>
      <c r="S126" s="2" t="s">
        <v>360</v>
      </c>
      <c r="T126" s="2"/>
      <c r="U126" s="2" t="s">
        <v>37</v>
      </c>
    </row>
    <row r="127" ht="16" customHeight="1" spans="1:21">
      <c r="A127" s="2" t="s">
        <v>361</v>
      </c>
      <c r="B127" s="2" t="s">
        <v>357</v>
      </c>
      <c r="C127" s="2" t="s">
        <v>358</v>
      </c>
      <c r="D127" s="2" t="s">
        <v>359</v>
      </c>
      <c r="E127" s="7">
        <v>0.4</v>
      </c>
      <c r="F127" s="7"/>
      <c r="H127" s="2" t="s">
        <v>32</v>
      </c>
      <c r="I127" s="2" t="s">
        <v>33</v>
      </c>
      <c r="J127" s="2" t="s">
        <v>34</v>
      </c>
      <c r="K127" s="2" t="s">
        <v>25</v>
      </c>
      <c r="L127" s="7">
        <v>0.4</v>
      </c>
      <c r="M127" s="2" t="s">
        <v>26</v>
      </c>
      <c r="N127" s="2" t="s">
        <v>48</v>
      </c>
      <c r="O127" s="2" t="s">
        <v>359</v>
      </c>
      <c r="P127" s="2" t="s">
        <v>26</v>
      </c>
      <c r="Q127" s="2" t="s">
        <v>48</v>
      </c>
      <c r="R127" s="2"/>
      <c r="S127" s="2" t="s">
        <v>360</v>
      </c>
      <c r="T127" s="2"/>
      <c r="U127" s="2" t="s">
        <v>37</v>
      </c>
    </row>
    <row r="128" ht="16" customHeight="1" spans="1:21">
      <c r="A128" s="2" t="s">
        <v>362</v>
      </c>
      <c r="B128" s="2" t="s">
        <v>357</v>
      </c>
      <c r="C128" s="2" t="s">
        <v>358</v>
      </c>
      <c r="D128" s="2" t="s">
        <v>359</v>
      </c>
      <c r="E128" s="7">
        <v>2.49</v>
      </c>
      <c r="F128" s="7"/>
      <c r="H128" s="2" t="s">
        <v>32</v>
      </c>
      <c r="I128" s="2" t="s">
        <v>33</v>
      </c>
      <c r="J128" s="2" t="s">
        <v>39</v>
      </c>
      <c r="K128" s="2" t="s">
        <v>25</v>
      </c>
      <c r="L128" s="7">
        <v>2.49</v>
      </c>
      <c r="M128" s="2" t="s">
        <v>26</v>
      </c>
      <c r="N128" s="2" t="s">
        <v>48</v>
      </c>
      <c r="O128" s="2" t="s">
        <v>359</v>
      </c>
      <c r="P128" s="2" t="s">
        <v>26</v>
      </c>
      <c r="Q128" s="2" t="s">
        <v>48</v>
      </c>
      <c r="R128" s="2"/>
      <c r="S128" s="2" t="s">
        <v>360</v>
      </c>
      <c r="T128" s="2"/>
      <c r="U128" s="2" t="s">
        <v>37</v>
      </c>
    </row>
    <row r="129" ht="16" customHeight="1" spans="1:21">
      <c r="A129" s="2" t="s">
        <v>363</v>
      </c>
      <c r="B129" s="2" t="s">
        <v>364</v>
      </c>
      <c r="C129" s="2" t="s">
        <v>365</v>
      </c>
      <c r="D129" s="2" t="s">
        <v>366</v>
      </c>
      <c r="E129" s="7">
        <v>0.8</v>
      </c>
      <c r="F129" s="7"/>
      <c r="H129" s="2" t="s">
        <v>32</v>
      </c>
      <c r="I129" s="2" t="s">
        <v>33</v>
      </c>
      <c r="J129" s="2" t="s">
        <v>85</v>
      </c>
      <c r="K129" s="2" t="s">
        <v>25</v>
      </c>
      <c r="L129" s="7">
        <v>0.8</v>
      </c>
      <c r="M129" s="2" t="s">
        <v>26</v>
      </c>
      <c r="N129" s="2" t="s">
        <v>367</v>
      </c>
      <c r="O129" s="2" t="s">
        <v>366</v>
      </c>
      <c r="P129" s="2" t="s">
        <v>26</v>
      </c>
      <c r="Q129" s="2" t="s">
        <v>367</v>
      </c>
      <c r="R129" s="2"/>
      <c r="S129" s="2" t="s">
        <v>368</v>
      </c>
      <c r="T129" s="2"/>
      <c r="U129" s="2" t="s">
        <v>37</v>
      </c>
    </row>
    <row r="130" ht="16" customHeight="1" spans="1:21">
      <c r="A130" s="2" t="s">
        <v>369</v>
      </c>
      <c r="B130" s="2" t="s">
        <v>364</v>
      </c>
      <c r="C130" s="2" t="s">
        <v>365</v>
      </c>
      <c r="D130" s="2" t="s">
        <v>366</v>
      </c>
      <c r="E130" s="7">
        <v>0.4</v>
      </c>
      <c r="F130" s="7"/>
      <c r="H130" s="2" t="s">
        <v>32</v>
      </c>
      <c r="I130" s="2" t="s">
        <v>33</v>
      </c>
      <c r="J130" s="2" t="s">
        <v>34</v>
      </c>
      <c r="K130" s="2" t="s">
        <v>25</v>
      </c>
      <c r="L130" s="7">
        <v>0.4</v>
      </c>
      <c r="M130" s="2" t="s">
        <v>26</v>
      </c>
      <c r="N130" s="2" t="s">
        <v>367</v>
      </c>
      <c r="O130" s="2" t="s">
        <v>366</v>
      </c>
      <c r="P130" s="2" t="s">
        <v>26</v>
      </c>
      <c r="Q130" s="2" t="s">
        <v>367</v>
      </c>
      <c r="R130" s="2"/>
      <c r="S130" s="2" t="s">
        <v>368</v>
      </c>
      <c r="T130" s="2"/>
      <c r="U130" s="2" t="s">
        <v>37</v>
      </c>
    </row>
    <row r="131" ht="16" customHeight="1" spans="1:21">
      <c r="A131" s="2" t="s">
        <v>370</v>
      </c>
      <c r="B131" s="2" t="s">
        <v>364</v>
      </c>
      <c r="C131" s="2" t="s">
        <v>365</v>
      </c>
      <c r="D131" s="2" t="s">
        <v>366</v>
      </c>
      <c r="E131" s="7">
        <v>2.49</v>
      </c>
      <c r="F131" s="7"/>
      <c r="H131" s="2" t="s">
        <v>32</v>
      </c>
      <c r="I131" s="2" t="s">
        <v>33</v>
      </c>
      <c r="J131" s="2" t="s">
        <v>39</v>
      </c>
      <c r="K131" s="2" t="s">
        <v>25</v>
      </c>
      <c r="L131" s="7">
        <v>2.49</v>
      </c>
      <c r="M131" s="2" t="s">
        <v>26</v>
      </c>
      <c r="N131" s="2" t="s">
        <v>367</v>
      </c>
      <c r="O131" s="2" t="s">
        <v>366</v>
      </c>
      <c r="P131" s="2" t="s">
        <v>26</v>
      </c>
      <c r="Q131" s="2" t="s">
        <v>367</v>
      </c>
      <c r="R131" s="2"/>
      <c r="S131" s="2" t="s">
        <v>368</v>
      </c>
      <c r="T131" s="2"/>
      <c r="U131" s="2" t="s">
        <v>37</v>
      </c>
    </row>
    <row r="132" ht="16" customHeight="1" spans="1:21">
      <c r="A132" s="2" t="s">
        <v>371</v>
      </c>
      <c r="B132" s="2" t="s">
        <v>372</v>
      </c>
      <c r="C132" s="2" t="s">
        <v>373</v>
      </c>
      <c r="D132" s="2" t="s">
        <v>374</v>
      </c>
      <c r="E132" s="7">
        <v>0.8</v>
      </c>
      <c r="F132" s="7"/>
      <c r="H132" s="2" t="s">
        <v>32</v>
      </c>
      <c r="I132" s="2" t="s">
        <v>33</v>
      </c>
      <c r="J132" s="2" t="s">
        <v>85</v>
      </c>
      <c r="K132" s="2" t="s">
        <v>25</v>
      </c>
      <c r="L132" s="7">
        <v>0.8</v>
      </c>
      <c r="M132" s="2" t="s">
        <v>26</v>
      </c>
      <c r="N132" s="2" t="s">
        <v>35</v>
      </c>
      <c r="O132" s="2" t="s">
        <v>374</v>
      </c>
      <c r="P132" s="2" t="s">
        <v>26</v>
      </c>
      <c r="Q132" s="2" t="s">
        <v>35</v>
      </c>
      <c r="R132" s="2"/>
      <c r="S132" s="2" t="s">
        <v>375</v>
      </c>
      <c r="T132" s="2"/>
      <c r="U132" s="2" t="s">
        <v>37</v>
      </c>
    </row>
    <row r="133" ht="16" customHeight="1" spans="1:21">
      <c r="A133" s="2" t="s">
        <v>376</v>
      </c>
      <c r="B133" s="2" t="s">
        <v>372</v>
      </c>
      <c r="C133" s="2" t="s">
        <v>373</v>
      </c>
      <c r="D133" s="2" t="s">
        <v>374</v>
      </c>
      <c r="E133" s="7">
        <v>0.4</v>
      </c>
      <c r="F133" s="7"/>
      <c r="H133" s="2" t="s">
        <v>32</v>
      </c>
      <c r="I133" s="2" t="s">
        <v>33</v>
      </c>
      <c r="J133" s="2" t="s">
        <v>34</v>
      </c>
      <c r="K133" s="2" t="s">
        <v>25</v>
      </c>
      <c r="L133" s="7">
        <v>0.4</v>
      </c>
      <c r="M133" s="2" t="s">
        <v>26</v>
      </c>
      <c r="N133" s="2" t="s">
        <v>35</v>
      </c>
      <c r="O133" s="2" t="s">
        <v>374</v>
      </c>
      <c r="P133" s="2" t="s">
        <v>26</v>
      </c>
      <c r="Q133" s="2" t="s">
        <v>35</v>
      </c>
      <c r="R133" s="2"/>
      <c r="S133" s="2" t="s">
        <v>375</v>
      </c>
      <c r="T133" s="2"/>
      <c r="U133" s="2" t="s">
        <v>37</v>
      </c>
    </row>
    <row r="134" ht="16" customHeight="1" spans="1:21">
      <c r="A134" s="2" t="s">
        <v>377</v>
      </c>
      <c r="B134" s="2" t="s">
        <v>372</v>
      </c>
      <c r="C134" s="2" t="s">
        <v>373</v>
      </c>
      <c r="D134" s="2" t="s">
        <v>374</v>
      </c>
      <c r="E134" s="7">
        <v>2.49</v>
      </c>
      <c r="F134" s="7"/>
      <c r="H134" s="2" t="s">
        <v>32</v>
      </c>
      <c r="I134" s="2" t="s">
        <v>33</v>
      </c>
      <c r="J134" s="2" t="s">
        <v>39</v>
      </c>
      <c r="K134" s="2" t="s">
        <v>25</v>
      </c>
      <c r="L134" s="7">
        <v>2.49</v>
      </c>
      <c r="M134" s="2" t="s">
        <v>26</v>
      </c>
      <c r="N134" s="2" t="s">
        <v>35</v>
      </c>
      <c r="O134" s="2" t="s">
        <v>374</v>
      </c>
      <c r="P134" s="2" t="s">
        <v>26</v>
      </c>
      <c r="Q134" s="2" t="s">
        <v>35</v>
      </c>
      <c r="R134" s="2"/>
      <c r="S134" s="2" t="s">
        <v>375</v>
      </c>
      <c r="T134" s="2"/>
      <c r="U134" s="2" t="s">
        <v>37</v>
      </c>
    </row>
    <row r="135" ht="16" customHeight="1" spans="1:21">
      <c r="A135" s="2" t="s">
        <v>378</v>
      </c>
      <c r="B135" s="2" t="s">
        <v>379</v>
      </c>
      <c r="C135" s="2" t="s">
        <v>380</v>
      </c>
      <c r="D135" s="2" t="s">
        <v>381</v>
      </c>
      <c r="E135" s="7">
        <v>0.8</v>
      </c>
      <c r="F135" s="7"/>
      <c r="H135" s="2" t="s">
        <v>32</v>
      </c>
      <c r="I135" s="2" t="s">
        <v>33</v>
      </c>
      <c r="J135" s="2" t="s">
        <v>85</v>
      </c>
      <c r="K135" s="2" t="s">
        <v>25</v>
      </c>
      <c r="L135" s="7">
        <v>0.8</v>
      </c>
      <c r="M135" s="2" t="s">
        <v>26</v>
      </c>
      <c r="N135" s="2" t="s">
        <v>166</v>
      </c>
      <c r="O135" s="2" t="s">
        <v>381</v>
      </c>
      <c r="P135" s="2" t="s">
        <v>26</v>
      </c>
      <c r="Q135" s="2" t="s">
        <v>166</v>
      </c>
      <c r="R135" s="2"/>
      <c r="S135" s="2" t="s">
        <v>382</v>
      </c>
      <c r="T135" s="2"/>
      <c r="U135" s="2" t="s">
        <v>37</v>
      </c>
    </row>
    <row r="136" ht="16" customHeight="1" spans="1:21">
      <c r="A136" s="2" t="s">
        <v>383</v>
      </c>
      <c r="B136" s="2" t="s">
        <v>379</v>
      </c>
      <c r="C136" s="2" t="s">
        <v>380</v>
      </c>
      <c r="D136" s="2" t="s">
        <v>381</v>
      </c>
      <c r="E136" s="7">
        <v>0.07</v>
      </c>
      <c r="F136" s="7"/>
      <c r="H136" s="2" t="s">
        <v>32</v>
      </c>
      <c r="I136" s="2" t="s">
        <v>33</v>
      </c>
      <c r="J136" s="2" t="s">
        <v>47</v>
      </c>
      <c r="K136" s="2" t="s">
        <v>25</v>
      </c>
      <c r="L136" s="7">
        <v>0.07</v>
      </c>
      <c r="M136" s="2" t="s">
        <v>26</v>
      </c>
      <c r="N136" s="2" t="s">
        <v>166</v>
      </c>
      <c r="O136" s="2" t="s">
        <v>381</v>
      </c>
      <c r="P136" s="2" t="s">
        <v>26</v>
      </c>
      <c r="Q136" s="2" t="s">
        <v>166</v>
      </c>
      <c r="R136" s="2"/>
      <c r="S136" s="2" t="s">
        <v>382</v>
      </c>
      <c r="T136" s="2"/>
      <c r="U136" s="2" t="s">
        <v>37</v>
      </c>
    </row>
    <row r="137" ht="16" customHeight="1" spans="1:21">
      <c r="A137" s="2" t="s">
        <v>384</v>
      </c>
      <c r="B137" s="2" t="s">
        <v>379</v>
      </c>
      <c r="C137" s="2" t="s">
        <v>380</v>
      </c>
      <c r="D137" s="2" t="s">
        <v>381</v>
      </c>
      <c r="E137" s="7">
        <v>0.4</v>
      </c>
      <c r="F137" s="7"/>
      <c r="H137" s="2" t="s">
        <v>32</v>
      </c>
      <c r="I137" s="2" t="s">
        <v>33</v>
      </c>
      <c r="J137" s="2" t="s">
        <v>34</v>
      </c>
      <c r="K137" s="2" t="s">
        <v>25</v>
      </c>
      <c r="L137" s="7">
        <v>0.4</v>
      </c>
      <c r="M137" s="2" t="s">
        <v>26</v>
      </c>
      <c r="N137" s="2" t="s">
        <v>166</v>
      </c>
      <c r="O137" s="2" t="s">
        <v>381</v>
      </c>
      <c r="P137" s="2" t="s">
        <v>26</v>
      </c>
      <c r="Q137" s="2" t="s">
        <v>166</v>
      </c>
      <c r="R137" s="2"/>
      <c r="S137" s="2" t="s">
        <v>382</v>
      </c>
      <c r="T137" s="2"/>
      <c r="U137" s="2" t="s">
        <v>37</v>
      </c>
    </row>
    <row r="138" ht="16" customHeight="1" spans="1:21">
      <c r="A138" s="2" t="s">
        <v>385</v>
      </c>
      <c r="B138" s="2" t="s">
        <v>379</v>
      </c>
      <c r="C138" s="2" t="s">
        <v>380</v>
      </c>
      <c r="D138" s="2" t="s">
        <v>381</v>
      </c>
      <c r="E138" s="7">
        <v>2.49</v>
      </c>
      <c r="F138" s="7"/>
      <c r="H138" s="2" t="s">
        <v>32</v>
      </c>
      <c r="I138" s="2" t="s">
        <v>33</v>
      </c>
      <c r="J138" s="2" t="s">
        <v>39</v>
      </c>
      <c r="K138" s="2" t="s">
        <v>25</v>
      </c>
      <c r="L138" s="7">
        <v>2.49</v>
      </c>
      <c r="M138" s="2" t="s">
        <v>26</v>
      </c>
      <c r="N138" s="2" t="s">
        <v>166</v>
      </c>
      <c r="O138" s="2" t="s">
        <v>381</v>
      </c>
      <c r="P138" s="2" t="s">
        <v>26</v>
      </c>
      <c r="Q138" s="2" t="s">
        <v>166</v>
      </c>
      <c r="R138" s="2"/>
      <c r="S138" s="2" t="s">
        <v>382</v>
      </c>
      <c r="T138" s="2"/>
      <c r="U138" s="2" t="s">
        <v>37</v>
      </c>
    </row>
    <row r="139" ht="16" customHeight="1" spans="1:21">
      <c r="A139" s="2" t="s">
        <v>386</v>
      </c>
      <c r="B139" s="2" t="s">
        <v>387</v>
      </c>
      <c r="C139" s="2" t="s">
        <v>388</v>
      </c>
      <c r="D139" s="2" t="s">
        <v>389</v>
      </c>
      <c r="E139" s="7">
        <v>0.8</v>
      </c>
      <c r="F139" s="7"/>
      <c r="H139" s="2" t="s">
        <v>32</v>
      </c>
      <c r="I139" s="2" t="s">
        <v>33</v>
      </c>
      <c r="J139" s="2" t="s">
        <v>85</v>
      </c>
      <c r="K139" s="2" t="s">
        <v>25</v>
      </c>
      <c r="L139" s="7">
        <v>0.8</v>
      </c>
      <c r="M139" s="2" t="s">
        <v>26</v>
      </c>
      <c r="N139" s="2" t="s">
        <v>352</v>
      </c>
      <c r="O139" s="2" t="s">
        <v>389</v>
      </c>
      <c r="P139" s="2" t="s">
        <v>26</v>
      </c>
      <c r="Q139" s="2" t="s">
        <v>352</v>
      </c>
      <c r="R139" s="2"/>
      <c r="S139" s="2" t="s">
        <v>390</v>
      </c>
      <c r="T139" s="2"/>
      <c r="U139" s="2" t="s">
        <v>37</v>
      </c>
    </row>
    <row r="140" ht="16" customHeight="1" spans="1:21">
      <c r="A140" s="2" t="s">
        <v>391</v>
      </c>
      <c r="B140" s="2" t="s">
        <v>387</v>
      </c>
      <c r="C140" s="2" t="s">
        <v>388</v>
      </c>
      <c r="D140" s="2" t="s">
        <v>389</v>
      </c>
      <c r="E140" s="7">
        <v>0.98</v>
      </c>
      <c r="F140" s="7"/>
      <c r="H140" s="2" t="s">
        <v>32</v>
      </c>
      <c r="I140" s="2" t="s">
        <v>33</v>
      </c>
      <c r="J140" s="2" t="s">
        <v>47</v>
      </c>
      <c r="K140" s="2" t="s">
        <v>25</v>
      </c>
      <c r="L140" s="7">
        <v>0.98</v>
      </c>
      <c r="M140" s="2" t="s">
        <v>26</v>
      </c>
      <c r="N140" s="2" t="s">
        <v>352</v>
      </c>
      <c r="O140" s="2" t="s">
        <v>389</v>
      </c>
      <c r="P140" s="2" t="s">
        <v>26</v>
      </c>
      <c r="Q140" s="2" t="s">
        <v>352</v>
      </c>
      <c r="R140" s="2"/>
      <c r="S140" s="2" t="s">
        <v>390</v>
      </c>
      <c r="T140" s="2"/>
      <c r="U140" s="2" t="s">
        <v>37</v>
      </c>
    </row>
    <row r="141" ht="16" customHeight="1" spans="1:21">
      <c r="A141" s="2" t="s">
        <v>392</v>
      </c>
      <c r="B141" s="2" t="s">
        <v>387</v>
      </c>
      <c r="C141" s="2" t="s">
        <v>388</v>
      </c>
      <c r="D141" s="2" t="s">
        <v>389</v>
      </c>
      <c r="E141" s="7">
        <v>0.4</v>
      </c>
      <c r="F141" s="7"/>
      <c r="H141" s="2" t="s">
        <v>32</v>
      </c>
      <c r="I141" s="2" t="s">
        <v>33</v>
      </c>
      <c r="J141" s="2" t="s">
        <v>34</v>
      </c>
      <c r="K141" s="2" t="s">
        <v>25</v>
      </c>
      <c r="L141" s="7">
        <v>0.4</v>
      </c>
      <c r="M141" s="2" t="s">
        <v>26</v>
      </c>
      <c r="N141" s="2" t="s">
        <v>352</v>
      </c>
      <c r="O141" s="2" t="s">
        <v>389</v>
      </c>
      <c r="P141" s="2" t="s">
        <v>26</v>
      </c>
      <c r="Q141" s="2" t="s">
        <v>352</v>
      </c>
      <c r="R141" s="2"/>
      <c r="S141" s="2" t="s">
        <v>390</v>
      </c>
      <c r="T141" s="2"/>
      <c r="U141" s="2" t="s">
        <v>37</v>
      </c>
    </row>
    <row r="142" ht="16" customHeight="1" spans="1:21">
      <c r="A142" s="2" t="s">
        <v>393</v>
      </c>
      <c r="B142" s="2" t="s">
        <v>387</v>
      </c>
      <c r="C142" s="2" t="s">
        <v>388</v>
      </c>
      <c r="D142" s="2" t="s">
        <v>389</v>
      </c>
      <c r="E142" s="7">
        <v>3.36</v>
      </c>
      <c r="F142" s="7"/>
      <c r="H142" s="2" t="s">
        <v>32</v>
      </c>
      <c r="I142" s="2" t="s">
        <v>33</v>
      </c>
      <c r="J142" s="2" t="s">
        <v>39</v>
      </c>
      <c r="K142" s="2" t="s">
        <v>25</v>
      </c>
      <c r="L142" s="7">
        <v>3.36</v>
      </c>
      <c r="M142" s="2" t="s">
        <v>26</v>
      </c>
      <c r="N142" s="2" t="s">
        <v>352</v>
      </c>
      <c r="O142" s="2" t="s">
        <v>389</v>
      </c>
      <c r="P142" s="2" t="s">
        <v>26</v>
      </c>
      <c r="Q142" s="2" t="s">
        <v>352</v>
      </c>
      <c r="R142" s="2"/>
      <c r="S142" s="2" t="s">
        <v>390</v>
      </c>
      <c r="T142" s="2"/>
      <c r="U142" s="2" t="s">
        <v>37</v>
      </c>
    </row>
    <row r="143" ht="16" customHeight="1" spans="1:21">
      <c r="A143" s="2" t="s">
        <v>394</v>
      </c>
      <c r="B143" s="2" t="s">
        <v>395</v>
      </c>
      <c r="C143" s="2" t="s">
        <v>396</v>
      </c>
      <c r="D143" s="2" t="s">
        <v>397</v>
      </c>
      <c r="E143" s="7">
        <v>0.8</v>
      </c>
      <c r="F143" s="7"/>
      <c r="H143" s="2" t="s">
        <v>32</v>
      </c>
      <c r="I143" s="2" t="s">
        <v>33</v>
      </c>
      <c r="J143" s="2" t="s">
        <v>85</v>
      </c>
      <c r="K143" s="2" t="s">
        <v>25</v>
      </c>
      <c r="L143" s="7">
        <v>0.8</v>
      </c>
      <c r="M143" s="2" t="s">
        <v>26</v>
      </c>
      <c r="N143" s="2" t="s">
        <v>100</v>
      </c>
      <c r="O143" s="2" t="s">
        <v>397</v>
      </c>
      <c r="P143" s="2" t="s">
        <v>26</v>
      </c>
      <c r="Q143" s="2" t="s">
        <v>100</v>
      </c>
      <c r="R143" s="2"/>
      <c r="S143" s="2" t="s">
        <v>398</v>
      </c>
      <c r="T143" s="2"/>
      <c r="U143" s="2" t="s">
        <v>37</v>
      </c>
    </row>
    <row r="144" ht="16" customHeight="1" spans="1:21">
      <c r="A144" s="2" t="s">
        <v>399</v>
      </c>
      <c r="B144" s="2" t="s">
        <v>395</v>
      </c>
      <c r="C144" s="2" t="s">
        <v>396</v>
      </c>
      <c r="D144" s="2" t="s">
        <v>397</v>
      </c>
      <c r="E144" s="7">
        <v>0.07</v>
      </c>
      <c r="F144" s="7"/>
      <c r="H144" s="2" t="s">
        <v>32</v>
      </c>
      <c r="I144" s="2" t="s">
        <v>33</v>
      </c>
      <c r="J144" s="2" t="s">
        <v>47</v>
      </c>
      <c r="K144" s="2" t="s">
        <v>25</v>
      </c>
      <c r="L144" s="7">
        <v>0.07</v>
      </c>
      <c r="M144" s="2" t="s">
        <v>26</v>
      </c>
      <c r="N144" s="2" t="s">
        <v>100</v>
      </c>
      <c r="O144" s="2" t="s">
        <v>397</v>
      </c>
      <c r="P144" s="2" t="s">
        <v>26</v>
      </c>
      <c r="Q144" s="2" t="s">
        <v>100</v>
      </c>
      <c r="R144" s="2"/>
      <c r="S144" s="2" t="s">
        <v>398</v>
      </c>
      <c r="T144" s="2"/>
      <c r="U144" s="2" t="s">
        <v>37</v>
      </c>
    </row>
    <row r="145" ht="16" customHeight="1" spans="1:21">
      <c r="A145" s="2" t="s">
        <v>400</v>
      </c>
      <c r="B145" s="2" t="s">
        <v>395</v>
      </c>
      <c r="C145" s="2" t="s">
        <v>396</v>
      </c>
      <c r="D145" s="2" t="s">
        <v>397</v>
      </c>
      <c r="E145" s="7">
        <v>0.4</v>
      </c>
      <c r="F145" s="7"/>
      <c r="H145" s="2" t="s">
        <v>32</v>
      </c>
      <c r="I145" s="2" t="s">
        <v>33</v>
      </c>
      <c r="J145" s="2" t="s">
        <v>34</v>
      </c>
      <c r="K145" s="2" t="s">
        <v>25</v>
      </c>
      <c r="L145" s="7">
        <v>0.4</v>
      </c>
      <c r="M145" s="2" t="s">
        <v>26</v>
      </c>
      <c r="N145" s="2" t="s">
        <v>100</v>
      </c>
      <c r="O145" s="2" t="s">
        <v>397</v>
      </c>
      <c r="P145" s="2" t="s">
        <v>26</v>
      </c>
      <c r="Q145" s="2" t="s">
        <v>100</v>
      </c>
      <c r="R145" s="2"/>
      <c r="S145" s="2" t="s">
        <v>398</v>
      </c>
      <c r="T145" s="2"/>
      <c r="U145" s="2" t="s">
        <v>37</v>
      </c>
    </row>
    <row r="146" ht="16" customHeight="1" spans="1:21">
      <c r="A146" s="2" t="s">
        <v>401</v>
      </c>
      <c r="B146" s="2" t="s">
        <v>395</v>
      </c>
      <c r="C146" s="2" t="s">
        <v>396</v>
      </c>
      <c r="D146" s="2" t="s">
        <v>397</v>
      </c>
      <c r="E146" s="7">
        <v>2.49</v>
      </c>
      <c r="F146" s="7"/>
      <c r="H146" s="2" t="s">
        <v>32</v>
      </c>
      <c r="I146" s="2" t="s">
        <v>33</v>
      </c>
      <c r="J146" s="2" t="s">
        <v>39</v>
      </c>
      <c r="K146" s="2" t="s">
        <v>25</v>
      </c>
      <c r="L146" s="7">
        <v>2.49</v>
      </c>
      <c r="M146" s="2" t="s">
        <v>26</v>
      </c>
      <c r="N146" s="2" t="s">
        <v>100</v>
      </c>
      <c r="O146" s="2" t="s">
        <v>397</v>
      </c>
      <c r="P146" s="2" t="s">
        <v>26</v>
      </c>
      <c r="Q146" s="2" t="s">
        <v>100</v>
      </c>
      <c r="R146" s="2"/>
      <c r="S146" s="2" t="s">
        <v>398</v>
      </c>
      <c r="T146" s="2"/>
      <c r="U146" s="2" t="s">
        <v>37</v>
      </c>
    </row>
    <row r="147" ht="16" customHeight="1" spans="1:21">
      <c r="A147" s="2" t="s">
        <v>408</v>
      </c>
      <c r="B147" s="2" t="s">
        <v>409</v>
      </c>
      <c r="C147" s="2" t="s">
        <v>410</v>
      </c>
      <c r="D147" s="2" t="s">
        <v>411</v>
      </c>
      <c r="E147" s="7">
        <v>1.5</v>
      </c>
      <c r="F147" s="7"/>
      <c r="H147" s="2" t="s">
        <v>32</v>
      </c>
      <c r="I147" s="2" t="s">
        <v>33</v>
      </c>
      <c r="J147" s="2" t="s">
        <v>85</v>
      </c>
      <c r="K147" s="2" t="s">
        <v>25</v>
      </c>
      <c r="L147" s="7">
        <v>1.5</v>
      </c>
      <c r="M147" s="2" t="s">
        <v>26</v>
      </c>
      <c r="N147" s="2" t="s">
        <v>100</v>
      </c>
      <c r="O147" s="2" t="s">
        <v>411</v>
      </c>
      <c r="P147" s="2" t="s">
        <v>26</v>
      </c>
      <c r="Q147" s="2" t="s">
        <v>100</v>
      </c>
      <c r="R147" s="2"/>
      <c r="S147" s="2" t="s">
        <v>412</v>
      </c>
      <c r="T147" s="2"/>
      <c r="U147" s="2" t="s">
        <v>37</v>
      </c>
    </row>
    <row r="148" ht="16" customHeight="1" spans="1:21">
      <c r="A148" s="2" t="s">
        <v>413</v>
      </c>
      <c r="B148" s="2" t="s">
        <v>409</v>
      </c>
      <c r="C148" s="2" t="s">
        <v>410</v>
      </c>
      <c r="D148" s="2" t="s">
        <v>411</v>
      </c>
      <c r="E148" s="7">
        <v>0.07</v>
      </c>
      <c r="F148" s="7"/>
      <c r="H148" s="2" t="s">
        <v>32</v>
      </c>
      <c r="I148" s="2" t="s">
        <v>33</v>
      </c>
      <c r="J148" s="2" t="s">
        <v>47</v>
      </c>
      <c r="K148" s="2" t="s">
        <v>25</v>
      </c>
      <c r="L148" s="7">
        <v>0.07</v>
      </c>
      <c r="M148" s="2" t="s">
        <v>26</v>
      </c>
      <c r="N148" s="2" t="s">
        <v>100</v>
      </c>
      <c r="O148" s="2" t="s">
        <v>411</v>
      </c>
      <c r="P148" s="2" t="s">
        <v>26</v>
      </c>
      <c r="Q148" s="2" t="s">
        <v>100</v>
      </c>
      <c r="R148" s="2"/>
      <c r="S148" s="2" t="s">
        <v>412</v>
      </c>
      <c r="T148" s="2"/>
      <c r="U148" s="2" t="s">
        <v>37</v>
      </c>
    </row>
    <row r="149" ht="16" customHeight="1" spans="1:21">
      <c r="A149" s="2" t="s">
        <v>414</v>
      </c>
      <c r="B149" s="2" t="s">
        <v>409</v>
      </c>
      <c r="C149" s="2" t="s">
        <v>410</v>
      </c>
      <c r="D149" s="2" t="s">
        <v>411</v>
      </c>
      <c r="E149" s="7">
        <v>0.4</v>
      </c>
      <c r="F149" s="7"/>
      <c r="H149" s="2" t="s">
        <v>32</v>
      </c>
      <c r="I149" s="2" t="s">
        <v>33</v>
      </c>
      <c r="J149" s="2" t="s">
        <v>34</v>
      </c>
      <c r="K149" s="2" t="s">
        <v>25</v>
      </c>
      <c r="L149" s="7">
        <v>0.4</v>
      </c>
      <c r="M149" s="2" t="s">
        <v>26</v>
      </c>
      <c r="N149" s="2" t="s">
        <v>100</v>
      </c>
      <c r="O149" s="2" t="s">
        <v>411</v>
      </c>
      <c r="P149" s="2" t="s">
        <v>26</v>
      </c>
      <c r="Q149" s="2" t="s">
        <v>100</v>
      </c>
      <c r="R149" s="2"/>
      <c r="S149" s="2" t="s">
        <v>412</v>
      </c>
      <c r="T149" s="2"/>
      <c r="U149" s="2" t="s">
        <v>37</v>
      </c>
    </row>
    <row r="150" ht="16" customHeight="1" spans="1:21">
      <c r="A150" s="2" t="s">
        <v>415</v>
      </c>
      <c r="B150" s="2" t="s">
        <v>409</v>
      </c>
      <c r="C150" s="2" t="s">
        <v>410</v>
      </c>
      <c r="D150" s="2" t="s">
        <v>411</v>
      </c>
      <c r="E150" s="7">
        <v>2.49</v>
      </c>
      <c r="F150" s="7"/>
      <c r="H150" s="2" t="s">
        <v>32</v>
      </c>
      <c r="I150" s="2" t="s">
        <v>33</v>
      </c>
      <c r="J150" s="2" t="s">
        <v>39</v>
      </c>
      <c r="K150" s="2" t="s">
        <v>25</v>
      </c>
      <c r="L150" s="7">
        <v>2.49</v>
      </c>
      <c r="M150" s="2" t="s">
        <v>26</v>
      </c>
      <c r="N150" s="2" t="s">
        <v>100</v>
      </c>
      <c r="O150" s="2" t="s">
        <v>411</v>
      </c>
      <c r="P150" s="2" t="s">
        <v>26</v>
      </c>
      <c r="Q150" s="2" t="s">
        <v>100</v>
      </c>
      <c r="R150" s="2"/>
      <c r="S150" s="2" t="s">
        <v>412</v>
      </c>
      <c r="T150" s="2"/>
      <c r="U150" s="2" t="s">
        <v>37</v>
      </c>
    </row>
    <row r="151" ht="16" customHeight="1" spans="1:21">
      <c r="A151" s="2" t="s">
        <v>416</v>
      </c>
      <c r="B151" s="2" t="s">
        <v>417</v>
      </c>
      <c r="C151" s="2" t="s">
        <v>418</v>
      </c>
      <c r="D151" s="2" t="s">
        <v>419</v>
      </c>
      <c r="E151" s="7">
        <v>0.07</v>
      </c>
      <c r="F151" s="7"/>
      <c r="H151" s="2" t="s">
        <v>32</v>
      </c>
      <c r="I151" s="2" t="s">
        <v>33</v>
      </c>
      <c r="J151" s="2" t="s">
        <v>47</v>
      </c>
      <c r="K151" s="2" t="s">
        <v>25</v>
      </c>
      <c r="L151" s="7">
        <v>0.07</v>
      </c>
      <c r="M151" s="2" t="s">
        <v>26</v>
      </c>
      <c r="N151" s="2" t="s">
        <v>48</v>
      </c>
      <c r="O151" s="2" t="s">
        <v>419</v>
      </c>
      <c r="P151" s="2" t="s">
        <v>26</v>
      </c>
      <c r="Q151" s="2" t="s">
        <v>48</v>
      </c>
      <c r="R151" s="2"/>
      <c r="S151" s="2" t="s">
        <v>420</v>
      </c>
      <c r="T151" s="2"/>
      <c r="U151" s="2" t="s">
        <v>37</v>
      </c>
    </row>
    <row r="152" ht="16" customHeight="1" spans="1:21">
      <c r="A152" s="2" t="s">
        <v>421</v>
      </c>
      <c r="B152" s="2" t="s">
        <v>417</v>
      </c>
      <c r="C152" s="2" t="s">
        <v>418</v>
      </c>
      <c r="D152" s="2" t="s">
        <v>419</v>
      </c>
      <c r="E152" s="7">
        <v>0.4</v>
      </c>
      <c r="F152" s="7"/>
      <c r="H152" s="2" t="s">
        <v>32</v>
      </c>
      <c r="I152" s="2" t="s">
        <v>33</v>
      </c>
      <c r="J152" s="2" t="s">
        <v>34</v>
      </c>
      <c r="K152" s="2" t="s">
        <v>25</v>
      </c>
      <c r="L152" s="7">
        <v>0.4</v>
      </c>
      <c r="M152" s="2" t="s">
        <v>26</v>
      </c>
      <c r="N152" s="2" t="s">
        <v>48</v>
      </c>
      <c r="O152" s="2" t="s">
        <v>419</v>
      </c>
      <c r="P152" s="2" t="s">
        <v>26</v>
      </c>
      <c r="Q152" s="2" t="s">
        <v>48</v>
      </c>
      <c r="R152" s="2"/>
      <c r="S152" s="2" t="s">
        <v>420</v>
      </c>
      <c r="T152" s="2"/>
      <c r="U152" s="2" t="s">
        <v>37</v>
      </c>
    </row>
    <row r="153" ht="16" customHeight="1" spans="1:21">
      <c r="A153" s="2" t="s">
        <v>422</v>
      </c>
      <c r="B153" s="2" t="s">
        <v>417</v>
      </c>
      <c r="C153" s="2" t="s">
        <v>418</v>
      </c>
      <c r="D153" s="2" t="s">
        <v>419</v>
      </c>
      <c r="E153" s="7">
        <v>2.49</v>
      </c>
      <c r="F153" s="7"/>
      <c r="H153" s="2" t="s">
        <v>32</v>
      </c>
      <c r="I153" s="2" t="s">
        <v>33</v>
      </c>
      <c r="J153" s="2" t="s">
        <v>39</v>
      </c>
      <c r="K153" s="2" t="s">
        <v>25</v>
      </c>
      <c r="L153" s="7">
        <v>2.49</v>
      </c>
      <c r="M153" s="2" t="s">
        <v>26</v>
      </c>
      <c r="N153" s="2" t="s">
        <v>48</v>
      </c>
      <c r="O153" s="2" t="s">
        <v>419</v>
      </c>
      <c r="P153" s="2" t="s">
        <v>26</v>
      </c>
      <c r="Q153" s="2" t="s">
        <v>48</v>
      </c>
      <c r="R153" s="2"/>
      <c r="S153" s="2" t="s">
        <v>420</v>
      </c>
      <c r="T153" s="2"/>
      <c r="U153" s="2" t="s">
        <v>37</v>
      </c>
    </row>
    <row r="154" ht="16" customHeight="1" spans="1:21">
      <c r="A154" s="2" t="s">
        <v>423</v>
      </c>
      <c r="B154" s="2" t="s">
        <v>424</v>
      </c>
      <c r="C154" s="2" t="s">
        <v>425</v>
      </c>
      <c r="D154" s="2" t="s">
        <v>426</v>
      </c>
      <c r="E154" s="7">
        <v>0.4</v>
      </c>
      <c r="F154" s="7"/>
      <c r="H154" s="2" t="s">
        <v>32</v>
      </c>
      <c r="I154" s="2" t="s">
        <v>33</v>
      </c>
      <c r="J154" s="2" t="s">
        <v>34</v>
      </c>
      <c r="K154" s="2" t="s">
        <v>25</v>
      </c>
      <c r="L154" s="7">
        <v>0.4</v>
      </c>
      <c r="M154" s="2" t="s">
        <v>26</v>
      </c>
      <c r="N154" s="2" t="s">
        <v>35</v>
      </c>
      <c r="O154" s="2" t="s">
        <v>426</v>
      </c>
      <c r="P154" s="2" t="s">
        <v>26</v>
      </c>
      <c r="Q154" s="2" t="s">
        <v>35</v>
      </c>
      <c r="R154" s="2"/>
      <c r="S154" s="2" t="s">
        <v>427</v>
      </c>
      <c r="T154" s="2"/>
      <c r="U154" s="2" t="s">
        <v>37</v>
      </c>
    </row>
    <row r="155" ht="16" customHeight="1" spans="1:21">
      <c r="A155" s="2" t="s">
        <v>428</v>
      </c>
      <c r="B155" s="2" t="s">
        <v>424</v>
      </c>
      <c r="C155" s="2" t="s">
        <v>425</v>
      </c>
      <c r="D155" s="2" t="s">
        <v>426</v>
      </c>
      <c r="E155" s="7">
        <v>2.49</v>
      </c>
      <c r="F155" s="7"/>
      <c r="H155" s="2" t="s">
        <v>32</v>
      </c>
      <c r="I155" s="2" t="s">
        <v>33</v>
      </c>
      <c r="J155" s="2" t="s">
        <v>39</v>
      </c>
      <c r="K155" s="2" t="s">
        <v>25</v>
      </c>
      <c r="L155" s="7">
        <v>2.49</v>
      </c>
      <c r="M155" s="2" t="s">
        <v>26</v>
      </c>
      <c r="N155" s="2" t="s">
        <v>35</v>
      </c>
      <c r="O155" s="2" t="s">
        <v>426</v>
      </c>
      <c r="P155" s="2" t="s">
        <v>26</v>
      </c>
      <c r="Q155" s="2" t="s">
        <v>35</v>
      </c>
      <c r="R155" s="2"/>
      <c r="S155" s="2" t="s">
        <v>427</v>
      </c>
      <c r="T155" s="2"/>
      <c r="U155" s="2" t="s">
        <v>37</v>
      </c>
    </row>
    <row r="156" ht="16" customHeight="1" spans="1:21">
      <c r="A156" s="2" t="s">
        <v>429</v>
      </c>
      <c r="B156" s="2" t="s">
        <v>430</v>
      </c>
      <c r="C156" s="2" t="s">
        <v>431</v>
      </c>
      <c r="D156" s="2" t="s">
        <v>432</v>
      </c>
      <c r="E156" s="7">
        <v>0.4</v>
      </c>
      <c r="F156" s="7"/>
      <c r="H156" s="2" t="s">
        <v>32</v>
      </c>
      <c r="I156" s="2" t="s">
        <v>33</v>
      </c>
      <c r="J156" s="2" t="s">
        <v>34</v>
      </c>
      <c r="K156" s="2" t="s">
        <v>25</v>
      </c>
      <c r="L156" s="7">
        <v>0.4</v>
      </c>
      <c r="M156" s="2" t="s">
        <v>26</v>
      </c>
      <c r="N156" s="2" t="s">
        <v>35</v>
      </c>
      <c r="O156" s="2" t="s">
        <v>432</v>
      </c>
      <c r="P156" s="2" t="s">
        <v>26</v>
      </c>
      <c r="Q156" s="2" t="s">
        <v>35</v>
      </c>
      <c r="R156" s="2"/>
      <c r="S156" s="2" t="s">
        <v>433</v>
      </c>
      <c r="T156" s="2"/>
      <c r="U156" s="2" t="s">
        <v>37</v>
      </c>
    </row>
    <row r="157" ht="16" customHeight="1" spans="1:21">
      <c r="A157" s="2" t="s">
        <v>434</v>
      </c>
      <c r="B157" s="2" t="s">
        <v>430</v>
      </c>
      <c r="C157" s="2" t="s">
        <v>431</v>
      </c>
      <c r="D157" s="2" t="s">
        <v>432</v>
      </c>
      <c r="E157" s="7">
        <v>2.49</v>
      </c>
      <c r="F157" s="7"/>
      <c r="H157" s="2" t="s">
        <v>32</v>
      </c>
      <c r="I157" s="2" t="s">
        <v>33</v>
      </c>
      <c r="J157" s="2" t="s">
        <v>39</v>
      </c>
      <c r="K157" s="2" t="s">
        <v>25</v>
      </c>
      <c r="L157" s="7">
        <v>2.49</v>
      </c>
      <c r="M157" s="2" t="s">
        <v>26</v>
      </c>
      <c r="N157" s="2" t="s">
        <v>35</v>
      </c>
      <c r="O157" s="2" t="s">
        <v>432</v>
      </c>
      <c r="P157" s="2" t="s">
        <v>26</v>
      </c>
      <c r="Q157" s="2" t="s">
        <v>35</v>
      </c>
      <c r="R157" s="2"/>
      <c r="S157" s="2" t="s">
        <v>433</v>
      </c>
      <c r="T157" s="2"/>
      <c r="U157" s="2" t="s">
        <v>37</v>
      </c>
    </row>
    <row r="158" ht="16" customHeight="1" spans="1:21">
      <c r="A158" s="2" t="s">
        <v>438</v>
      </c>
      <c r="B158" s="2" t="s">
        <v>439</v>
      </c>
      <c r="C158" s="2" t="s">
        <v>440</v>
      </c>
      <c r="D158" s="2" t="s">
        <v>441</v>
      </c>
      <c r="E158" s="7">
        <v>0.4</v>
      </c>
      <c r="F158" s="7"/>
      <c r="H158" s="2" t="s">
        <v>32</v>
      </c>
      <c r="I158" s="2" t="s">
        <v>33</v>
      </c>
      <c r="J158" s="2" t="s">
        <v>34</v>
      </c>
      <c r="K158" s="2" t="s">
        <v>25</v>
      </c>
      <c r="L158" s="7">
        <v>0.4</v>
      </c>
      <c r="M158" s="2" t="s">
        <v>26</v>
      </c>
      <c r="N158" s="2" t="s">
        <v>35</v>
      </c>
      <c r="O158" s="2" t="s">
        <v>441</v>
      </c>
      <c r="P158" s="2" t="s">
        <v>26</v>
      </c>
      <c r="Q158" s="2" t="s">
        <v>35</v>
      </c>
      <c r="R158" s="2"/>
      <c r="S158" s="2" t="s">
        <v>442</v>
      </c>
      <c r="T158" s="2"/>
      <c r="U158" s="2" t="s">
        <v>37</v>
      </c>
    </row>
    <row r="159" ht="16" customHeight="1" spans="1:21">
      <c r="A159" s="2" t="s">
        <v>443</v>
      </c>
      <c r="B159" s="2" t="s">
        <v>439</v>
      </c>
      <c r="C159" s="2" t="s">
        <v>440</v>
      </c>
      <c r="D159" s="2" t="s">
        <v>441</v>
      </c>
      <c r="E159" s="7">
        <v>2.49</v>
      </c>
      <c r="F159" s="7"/>
      <c r="H159" s="2" t="s">
        <v>32</v>
      </c>
      <c r="I159" s="2" t="s">
        <v>33</v>
      </c>
      <c r="J159" s="2" t="s">
        <v>39</v>
      </c>
      <c r="K159" s="2" t="s">
        <v>25</v>
      </c>
      <c r="L159" s="7">
        <v>2.49</v>
      </c>
      <c r="M159" s="2" t="s">
        <v>26</v>
      </c>
      <c r="N159" s="2" t="s">
        <v>35</v>
      </c>
      <c r="O159" s="2" t="s">
        <v>441</v>
      </c>
      <c r="P159" s="2" t="s">
        <v>26</v>
      </c>
      <c r="Q159" s="2" t="s">
        <v>35</v>
      </c>
      <c r="R159" s="2"/>
      <c r="S159" s="2" t="s">
        <v>442</v>
      </c>
      <c r="T159" s="2"/>
      <c r="U159" s="2" t="s">
        <v>37</v>
      </c>
    </row>
    <row r="160" ht="16" customHeight="1" spans="1:21">
      <c r="A160" s="2" t="s">
        <v>444</v>
      </c>
      <c r="B160" s="2" t="s">
        <v>445</v>
      </c>
      <c r="C160" s="2" t="s">
        <v>446</v>
      </c>
      <c r="D160" s="2" t="s">
        <v>447</v>
      </c>
      <c r="E160" s="7">
        <v>0.8</v>
      </c>
      <c r="F160" s="7"/>
      <c r="H160" s="2" t="s">
        <v>32</v>
      </c>
      <c r="I160" s="2" t="s">
        <v>33</v>
      </c>
      <c r="J160" s="2" t="s">
        <v>85</v>
      </c>
      <c r="K160" s="2" t="s">
        <v>25</v>
      </c>
      <c r="L160" s="7">
        <v>0.8</v>
      </c>
      <c r="M160" s="2" t="s">
        <v>26</v>
      </c>
      <c r="N160" s="2" t="s">
        <v>56</v>
      </c>
      <c r="O160" s="2" t="s">
        <v>447</v>
      </c>
      <c r="P160" s="2" t="s">
        <v>26</v>
      </c>
      <c r="Q160" s="2" t="s">
        <v>56</v>
      </c>
      <c r="R160" s="2"/>
      <c r="S160" s="2" t="s">
        <v>448</v>
      </c>
      <c r="T160" s="2"/>
      <c r="U160" s="2" t="s">
        <v>37</v>
      </c>
    </row>
    <row r="161" ht="16" customHeight="1" spans="1:21">
      <c r="A161" s="2" t="s">
        <v>449</v>
      </c>
      <c r="B161" s="2" t="s">
        <v>445</v>
      </c>
      <c r="C161" s="2" t="s">
        <v>446</v>
      </c>
      <c r="D161" s="2" t="s">
        <v>447</v>
      </c>
      <c r="E161" s="7">
        <v>0.07</v>
      </c>
      <c r="F161" s="7"/>
      <c r="H161" s="2" t="s">
        <v>32</v>
      </c>
      <c r="I161" s="2" t="s">
        <v>33</v>
      </c>
      <c r="J161" s="2" t="s">
        <v>47</v>
      </c>
      <c r="K161" s="2" t="s">
        <v>25</v>
      </c>
      <c r="L161" s="7">
        <v>0.07</v>
      </c>
      <c r="M161" s="2" t="s">
        <v>26</v>
      </c>
      <c r="N161" s="2" t="s">
        <v>56</v>
      </c>
      <c r="O161" s="2" t="s">
        <v>447</v>
      </c>
      <c r="P161" s="2" t="s">
        <v>26</v>
      </c>
      <c r="Q161" s="2" t="s">
        <v>56</v>
      </c>
      <c r="R161" s="2"/>
      <c r="S161" s="2" t="s">
        <v>448</v>
      </c>
      <c r="T161" s="2"/>
      <c r="U161" s="2" t="s">
        <v>37</v>
      </c>
    </row>
    <row r="162" ht="16" customHeight="1" spans="1:21">
      <c r="A162" s="2" t="s">
        <v>450</v>
      </c>
      <c r="B162" s="2" t="s">
        <v>445</v>
      </c>
      <c r="C162" s="2" t="s">
        <v>446</v>
      </c>
      <c r="D162" s="2" t="s">
        <v>447</v>
      </c>
      <c r="E162" s="7">
        <v>0.4</v>
      </c>
      <c r="F162" s="7"/>
      <c r="H162" s="2" t="s">
        <v>32</v>
      </c>
      <c r="I162" s="2" t="s">
        <v>33</v>
      </c>
      <c r="J162" s="2" t="s">
        <v>34</v>
      </c>
      <c r="K162" s="2" t="s">
        <v>25</v>
      </c>
      <c r="L162" s="7">
        <v>0.4</v>
      </c>
      <c r="M162" s="2" t="s">
        <v>26</v>
      </c>
      <c r="N162" s="2" t="s">
        <v>56</v>
      </c>
      <c r="O162" s="2" t="s">
        <v>447</v>
      </c>
      <c r="P162" s="2" t="s">
        <v>26</v>
      </c>
      <c r="Q162" s="2" t="s">
        <v>56</v>
      </c>
      <c r="R162" s="2"/>
      <c r="S162" s="2" t="s">
        <v>448</v>
      </c>
      <c r="T162" s="2"/>
      <c r="U162" s="2" t="s">
        <v>37</v>
      </c>
    </row>
    <row r="163" ht="16" customHeight="1" spans="1:21">
      <c r="A163" s="2" t="s">
        <v>451</v>
      </c>
      <c r="B163" s="2" t="s">
        <v>445</v>
      </c>
      <c r="C163" s="2" t="s">
        <v>446</v>
      </c>
      <c r="D163" s="2" t="s">
        <v>447</v>
      </c>
      <c r="E163" s="7">
        <v>2.49</v>
      </c>
      <c r="F163" s="7"/>
      <c r="H163" s="2" t="s">
        <v>32</v>
      </c>
      <c r="I163" s="2" t="s">
        <v>33</v>
      </c>
      <c r="J163" s="2" t="s">
        <v>39</v>
      </c>
      <c r="K163" s="2" t="s">
        <v>25</v>
      </c>
      <c r="L163" s="7">
        <v>2.49</v>
      </c>
      <c r="M163" s="2" t="s">
        <v>26</v>
      </c>
      <c r="N163" s="2" t="s">
        <v>56</v>
      </c>
      <c r="O163" s="2" t="s">
        <v>447</v>
      </c>
      <c r="P163" s="2" t="s">
        <v>26</v>
      </c>
      <c r="Q163" s="2" t="s">
        <v>56</v>
      </c>
      <c r="R163" s="2"/>
      <c r="S163" s="2" t="s">
        <v>448</v>
      </c>
      <c r="T163" s="2"/>
      <c r="U163" s="2" t="s">
        <v>37</v>
      </c>
    </row>
    <row r="164" ht="16" customHeight="1" spans="1:21">
      <c r="A164" s="2" t="s">
        <v>452</v>
      </c>
      <c r="B164" s="2" t="s">
        <v>453</v>
      </c>
      <c r="C164" s="2" t="s">
        <v>454</v>
      </c>
      <c r="D164" s="2" t="s">
        <v>455</v>
      </c>
      <c r="E164" s="7">
        <v>0.4</v>
      </c>
      <c r="F164" s="7"/>
      <c r="H164" s="2" t="s">
        <v>32</v>
      </c>
      <c r="I164" s="2" t="s">
        <v>33</v>
      </c>
      <c r="J164" s="2" t="s">
        <v>34</v>
      </c>
      <c r="K164" s="2" t="s">
        <v>25</v>
      </c>
      <c r="L164" s="7">
        <v>0.4</v>
      </c>
      <c r="M164" s="2" t="s">
        <v>26</v>
      </c>
      <c r="N164" s="2" t="s">
        <v>192</v>
      </c>
      <c r="O164" s="2" t="s">
        <v>455</v>
      </c>
      <c r="P164" s="2" t="s">
        <v>26</v>
      </c>
      <c r="Q164" s="2" t="s">
        <v>192</v>
      </c>
      <c r="R164" s="2"/>
      <c r="S164" s="2" t="s">
        <v>456</v>
      </c>
      <c r="T164" s="2"/>
      <c r="U164" s="2" t="s">
        <v>37</v>
      </c>
    </row>
    <row r="165" ht="16" customHeight="1" spans="1:21">
      <c r="A165" s="2" t="s">
        <v>457</v>
      </c>
      <c r="B165" s="2" t="s">
        <v>453</v>
      </c>
      <c r="C165" s="2" t="s">
        <v>454</v>
      </c>
      <c r="D165" s="2" t="s">
        <v>455</v>
      </c>
      <c r="E165" s="7">
        <v>2.49</v>
      </c>
      <c r="F165" s="7"/>
      <c r="H165" s="2" t="s">
        <v>32</v>
      </c>
      <c r="I165" s="2" t="s">
        <v>33</v>
      </c>
      <c r="J165" s="2" t="s">
        <v>39</v>
      </c>
      <c r="K165" s="2" t="s">
        <v>25</v>
      </c>
      <c r="L165" s="7">
        <v>2.49</v>
      </c>
      <c r="M165" s="2" t="s">
        <v>26</v>
      </c>
      <c r="N165" s="2" t="s">
        <v>192</v>
      </c>
      <c r="O165" s="2" t="s">
        <v>455</v>
      </c>
      <c r="P165" s="2" t="s">
        <v>26</v>
      </c>
      <c r="Q165" s="2" t="s">
        <v>192</v>
      </c>
      <c r="R165" s="2"/>
      <c r="S165" s="2" t="s">
        <v>456</v>
      </c>
      <c r="T165" s="2"/>
      <c r="U165" s="2" t="s">
        <v>37</v>
      </c>
    </row>
    <row r="166" ht="16" customHeight="1" spans="1:21">
      <c r="A166" s="2" t="s">
        <v>461</v>
      </c>
      <c r="B166" s="2" t="s">
        <v>462</v>
      </c>
      <c r="C166" s="2" t="s">
        <v>463</v>
      </c>
      <c r="D166" s="2" t="s">
        <v>464</v>
      </c>
      <c r="E166" s="7">
        <v>1.5</v>
      </c>
      <c r="F166" s="7"/>
      <c r="H166" s="2" t="s">
        <v>32</v>
      </c>
      <c r="I166" s="2" t="s">
        <v>33</v>
      </c>
      <c r="J166" s="2" t="s">
        <v>85</v>
      </c>
      <c r="K166" s="2" t="s">
        <v>25</v>
      </c>
      <c r="L166" s="7">
        <v>1.5</v>
      </c>
      <c r="M166" s="2" t="s">
        <v>26</v>
      </c>
      <c r="N166" s="2" t="s">
        <v>117</v>
      </c>
      <c r="O166" s="2" t="s">
        <v>464</v>
      </c>
      <c r="P166" s="2" t="s">
        <v>26</v>
      </c>
      <c r="Q166" s="2" t="s">
        <v>117</v>
      </c>
      <c r="R166" s="2"/>
      <c r="S166" s="2" t="s">
        <v>465</v>
      </c>
      <c r="T166" s="2"/>
      <c r="U166" s="2" t="s">
        <v>37</v>
      </c>
    </row>
    <row r="167" ht="16" customHeight="1" spans="1:21">
      <c r="A167" s="2" t="s">
        <v>466</v>
      </c>
      <c r="B167" s="2" t="s">
        <v>462</v>
      </c>
      <c r="C167" s="2" t="s">
        <v>463</v>
      </c>
      <c r="D167" s="2" t="s">
        <v>464</v>
      </c>
      <c r="E167" s="7">
        <v>0.3</v>
      </c>
      <c r="F167" s="7"/>
      <c r="H167" s="2" t="s">
        <v>32</v>
      </c>
      <c r="I167" s="2" t="s">
        <v>33</v>
      </c>
      <c r="J167" s="2" t="s">
        <v>89</v>
      </c>
      <c r="K167" s="2" t="s">
        <v>25</v>
      </c>
      <c r="L167" s="7">
        <v>0.3</v>
      </c>
      <c r="M167" s="2" t="s">
        <v>26</v>
      </c>
      <c r="N167" s="2" t="s">
        <v>117</v>
      </c>
      <c r="O167" s="2" t="s">
        <v>464</v>
      </c>
      <c r="P167" s="2" t="s">
        <v>26</v>
      </c>
      <c r="Q167" s="2" t="s">
        <v>117</v>
      </c>
      <c r="R167" s="2"/>
      <c r="S167" s="2" t="s">
        <v>465</v>
      </c>
      <c r="T167" s="2"/>
      <c r="U167" s="2" t="s">
        <v>37</v>
      </c>
    </row>
    <row r="168" ht="16" customHeight="1" spans="1:21">
      <c r="A168" s="2" t="s">
        <v>467</v>
      </c>
      <c r="B168" s="2" t="s">
        <v>462</v>
      </c>
      <c r="C168" s="2" t="s">
        <v>463</v>
      </c>
      <c r="D168" s="2" t="s">
        <v>464</v>
      </c>
      <c r="E168" s="7">
        <v>0.07</v>
      </c>
      <c r="F168" s="7"/>
      <c r="H168" s="2" t="s">
        <v>32</v>
      </c>
      <c r="I168" s="2" t="s">
        <v>33</v>
      </c>
      <c r="J168" s="2" t="s">
        <v>47</v>
      </c>
      <c r="K168" s="2" t="s">
        <v>25</v>
      </c>
      <c r="L168" s="7">
        <v>0.07</v>
      </c>
      <c r="M168" s="2" t="s">
        <v>26</v>
      </c>
      <c r="N168" s="2" t="s">
        <v>117</v>
      </c>
      <c r="O168" s="2" t="s">
        <v>464</v>
      </c>
      <c r="P168" s="2" t="s">
        <v>26</v>
      </c>
      <c r="Q168" s="2" t="s">
        <v>117</v>
      </c>
      <c r="R168" s="2"/>
      <c r="S168" s="2" t="s">
        <v>465</v>
      </c>
      <c r="T168" s="2"/>
      <c r="U168" s="2" t="s">
        <v>37</v>
      </c>
    </row>
    <row r="169" ht="16" customHeight="1" spans="1:21">
      <c r="A169" s="2" t="s">
        <v>468</v>
      </c>
      <c r="B169" s="2" t="s">
        <v>462</v>
      </c>
      <c r="C169" s="2" t="s">
        <v>463</v>
      </c>
      <c r="D169" s="2" t="s">
        <v>464</v>
      </c>
      <c r="E169" s="7">
        <v>0.4</v>
      </c>
      <c r="F169" s="7"/>
      <c r="H169" s="2" t="s">
        <v>32</v>
      </c>
      <c r="I169" s="2" t="s">
        <v>33</v>
      </c>
      <c r="J169" s="2" t="s">
        <v>34</v>
      </c>
      <c r="K169" s="2" t="s">
        <v>25</v>
      </c>
      <c r="L169" s="7">
        <v>0.4</v>
      </c>
      <c r="M169" s="2" t="s">
        <v>26</v>
      </c>
      <c r="N169" s="2" t="s">
        <v>117</v>
      </c>
      <c r="O169" s="2" t="s">
        <v>464</v>
      </c>
      <c r="P169" s="2" t="s">
        <v>26</v>
      </c>
      <c r="Q169" s="2" t="s">
        <v>117</v>
      </c>
      <c r="R169" s="2"/>
      <c r="S169" s="2" t="s">
        <v>465</v>
      </c>
      <c r="T169" s="2"/>
      <c r="U169" s="2" t="s">
        <v>37</v>
      </c>
    </row>
    <row r="170" ht="16" customHeight="1" spans="1:21">
      <c r="A170" s="2" t="s">
        <v>469</v>
      </c>
      <c r="B170" s="2" t="s">
        <v>462</v>
      </c>
      <c r="C170" s="2" t="s">
        <v>463</v>
      </c>
      <c r="D170" s="2" t="s">
        <v>464</v>
      </c>
      <c r="E170" s="7">
        <v>2.49</v>
      </c>
      <c r="F170" s="7"/>
      <c r="H170" s="2" t="s">
        <v>32</v>
      </c>
      <c r="I170" s="2" t="s">
        <v>33</v>
      </c>
      <c r="J170" s="2" t="s">
        <v>39</v>
      </c>
      <c r="K170" s="2" t="s">
        <v>25</v>
      </c>
      <c r="L170" s="7">
        <v>2.49</v>
      </c>
      <c r="M170" s="2" t="s">
        <v>26</v>
      </c>
      <c r="N170" s="2" t="s">
        <v>117</v>
      </c>
      <c r="O170" s="2" t="s">
        <v>464</v>
      </c>
      <c r="P170" s="2" t="s">
        <v>26</v>
      </c>
      <c r="Q170" s="2" t="s">
        <v>117</v>
      </c>
      <c r="R170" s="2"/>
      <c r="S170" s="2" t="s">
        <v>465</v>
      </c>
      <c r="T170" s="2"/>
      <c r="U170" s="2" t="s">
        <v>37</v>
      </c>
    </row>
    <row r="171" ht="16" customHeight="1" spans="1:21">
      <c r="A171" s="2" t="s">
        <v>470</v>
      </c>
      <c r="B171" s="2" t="s">
        <v>471</v>
      </c>
      <c r="C171" s="2" t="s">
        <v>472</v>
      </c>
      <c r="D171" s="2" t="s">
        <v>473</v>
      </c>
      <c r="E171" s="7">
        <v>0.4</v>
      </c>
      <c r="F171" s="7"/>
      <c r="H171" s="2" t="s">
        <v>32</v>
      </c>
      <c r="I171" s="2" t="s">
        <v>33</v>
      </c>
      <c r="J171" s="2" t="s">
        <v>34</v>
      </c>
      <c r="K171" s="2" t="s">
        <v>25</v>
      </c>
      <c r="L171" s="7">
        <v>0.4</v>
      </c>
      <c r="M171" s="2" t="s">
        <v>26</v>
      </c>
      <c r="N171" s="2" t="s">
        <v>35</v>
      </c>
      <c r="O171" s="2" t="s">
        <v>473</v>
      </c>
      <c r="P171" s="2" t="s">
        <v>26</v>
      </c>
      <c r="Q171" s="2" t="s">
        <v>35</v>
      </c>
      <c r="R171" s="2"/>
      <c r="S171" s="2" t="s">
        <v>474</v>
      </c>
      <c r="T171" s="2"/>
      <c r="U171" s="2" t="s">
        <v>37</v>
      </c>
    </row>
    <row r="172" ht="16" customHeight="1" spans="1:21">
      <c r="A172" s="2" t="s">
        <v>475</v>
      </c>
      <c r="B172" s="2" t="s">
        <v>471</v>
      </c>
      <c r="C172" s="2" t="s">
        <v>472</v>
      </c>
      <c r="D172" s="2" t="s">
        <v>473</v>
      </c>
      <c r="E172" s="7">
        <v>2.49</v>
      </c>
      <c r="F172" s="7"/>
      <c r="H172" s="2" t="s">
        <v>32</v>
      </c>
      <c r="I172" s="2" t="s">
        <v>33</v>
      </c>
      <c r="J172" s="2" t="s">
        <v>39</v>
      </c>
      <c r="K172" s="2" t="s">
        <v>25</v>
      </c>
      <c r="L172" s="7">
        <v>2.49</v>
      </c>
      <c r="M172" s="2" t="s">
        <v>26</v>
      </c>
      <c r="N172" s="2" t="s">
        <v>35</v>
      </c>
      <c r="O172" s="2" t="s">
        <v>473</v>
      </c>
      <c r="P172" s="2" t="s">
        <v>26</v>
      </c>
      <c r="Q172" s="2" t="s">
        <v>35</v>
      </c>
      <c r="R172" s="2"/>
      <c r="S172" s="2" t="s">
        <v>474</v>
      </c>
      <c r="T172" s="2"/>
      <c r="U172" s="2" t="s">
        <v>37</v>
      </c>
    </row>
    <row r="173" ht="16" customHeight="1" spans="1:21">
      <c r="A173" s="2" t="s">
        <v>476</v>
      </c>
      <c r="B173" s="2" t="s">
        <v>477</v>
      </c>
      <c r="C173" s="2" t="s">
        <v>478</v>
      </c>
      <c r="D173" s="2" t="s">
        <v>479</v>
      </c>
      <c r="E173" s="7">
        <v>0.4</v>
      </c>
      <c r="F173" s="7"/>
      <c r="H173" s="2" t="s">
        <v>32</v>
      </c>
      <c r="I173" s="2" t="s">
        <v>33</v>
      </c>
      <c r="J173" s="2" t="s">
        <v>34</v>
      </c>
      <c r="K173" s="2" t="s">
        <v>25</v>
      </c>
      <c r="L173" s="7">
        <v>0.4</v>
      </c>
      <c r="M173" s="2" t="s">
        <v>26</v>
      </c>
      <c r="N173" s="2" t="s">
        <v>35</v>
      </c>
      <c r="O173" s="2" t="s">
        <v>479</v>
      </c>
      <c r="P173" s="2" t="s">
        <v>26</v>
      </c>
      <c r="Q173" s="2" t="s">
        <v>35</v>
      </c>
      <c r="R173" s="2"/>
      <c r="S173" s="2" t="s">
        <v>480</v>
      </c>
      <c r="T173" s="2"/>
      <c r="U173" s="2" t="s">
        <v>37</v>
      </c>
    </row>
    <row r="174" ht="16" customHeight="1" spans="1:21">
      <c r="A174" s="2" t="s">
        <v>481</v>
      </c>
      <c r="B174" s="2" t="s">
        <v>477</v>
      </c>
      <c r="C174" s="2" t="s">
        <v>478</v>
      </c>
      <c r="D174" s="2" t="s">
        <v>479</v>
      </c>
      <c r="E174" s="7">
        <v>2.49</v>
      </c>
      <c r="F174" s="7"/>
      <c r="H174" s="2" t="s">
        <v>32</v>
      </c>
      <c r="I174" s="2" t="s">
        <v>33</v>
      </c>
      <c r="J174" s="2" t="s">
        <v>39</v>
      </c>
      <c r="K174" s="2" t="s">
        <v>25</v>
      </c>
      <c r="L174" s="7">
        <v>2.49</v>
      </c>
      <c r="M174" s="2" t="s">
        <v>26</v>
      </c>
      <c r="N174" s="2" t="s">
        <v>35</v>
      </c>
      <c r="O174" s="2" t="s">
        <v>479</v>
      </c>
      <c r="P174" s="2" t="s">
        <v>26</v>
      </c>
      <c r="Q174" s="2" t="s">
        <v>35</v>
      </c>
      <c r="R174" s="2"/>
      <c r="S174" s="2" t="s">
        <v>480</v>
      </c>
      <c r="T174" s="2"/>
      <c r="U174" s="2" t="s">
        <v>37</v>
      </c>
    </row>
    <row r="175" ht="16" customHeight="1" spans="1:21">
      <c r="A175" s="2" t="s">
        <v>482</v>
      </c>
      <c r="B175" s="2" t="s">
        <v>483</v>
      </c>
      <c r="C175" s="2" t="s">
        <v>484</v>
      </c>
      <c r="D175" s="2" t="s">
        <v>485</v>
      </c>
      <c r="E175" s="7">
        <v>0.4</v>
      </c>
      <c r="F175" s="7"/>
      <c r="H175" s="2" t="s">
        <v>32</v>
      </c>
      <c r="I175" s="2" t="s">
        <v>33</v>
      </c>
      <c r="J175" s="2" t="s">
        <v>34</v>
      </c>
      <c r="K175" s="2" t="s">
        <v>25</v>
      </c>
      <c r="L175" s="7">
        <v>0.4</v>
      </c>
      <c r="M175" s="2" t="s">
        <v>26</v>
      </c>
      <c r="N175" s="2" t="s">
        <v>35</v>
      </c>
      <c r="O175" s="2" t="s">
        <v>485</v>
      </c>
      <c r="P175" s="2" t="s">
        <v>26</v>
      </c>
      <c r="Q175" s="2" t="s">
        <v>35</v>
      </c>
      <c r="R175" s="2"/>
      <c r="S175" s="2" t="s">
        <v>486</v>
      </c>
      <c r="T175" s="2"/>
      <c r="U175" s="2" t="s">
        <v>37</v>
      </c>
    </row>
    <row r="176" ht="16" customHeight="1" spans="1:21">
      <c r="A176" s="2" t="s">
        <v>487</v>
      </c>
      <c r="B176" s="2" t="s">
        <v>483</v>
      </c>
      <c r="C176" s="2" t="s">
        <v>484</v>
      </c>
      <c r="D176" s="2" t="s">
        <v>485</v>
      </c>
      <c r="E176" s="7">
        <v>2.49</v>
      </c>
      <c r="F176" s="7"/>
      <c r="H176" s="2" t="s">
        <v>32</v>
      </c>
      <c r="I176" s="2" t="s">
        <v>33</v>
      </c>
      <c r="J176" s="2" t="s">
        <v>39</v>
      </c>
      <c r="K176" s="2" t="s">
        <v>25</v>
      </c>
      <c r="L176" s="7">
        <v>2.49</v>
      </c>
      <c r="M176" s="2" t="s">
        <v>26</v>
      </c>
      <c r="N176" s="2" t="s">
        <v>35</v>
      </c>
      <c r="O176" s="2" t="s">
        <v>485</v>
      </c>
      <c r="P176" s="2" t="s">
        <v>26</v>
      </c>
      <c r="Q176" s="2" t="s">
        <v>35</v>
      </c>
      <c r="R176" s="2"/>
      <c r="S176" s="2" t="s">
        <v>486</v>
      </c>
      <c r="T176" s="2"/>
      <c r="U176" s="2" t="s">
        <v>37</v>
      </c>
    </row>
    <row r="177" ht="16" customHeight="1" spans="1:21">
      <c r="A177" s="2" t="s">
        <v>488</v>
      </c>
      <c r="B177" s="2" t="s">
        <v>489</v>
      </c>
      <c r="C177" s="2" t="s">
        <v>490</v>
      </c>
      <c r="D177" s="2" t="s">
        <v>491</v>
      </c>
      <c r="E177" s="7">
        <v>0.4</v>
      </c>
      <c r="F177" s="7"/>
      <c r="H177" s="2" t="s">
        <v>32</v>
      </c>
      <c r="I177" s="2" t="s">
        <v>33</v>
      </c>
      <c r="J177" s="2" t="s">
        <v>34</v>
      </c>
      <c r="K177" s="2" t="s">
        <v>25</v>
      </c>
      <c r="L177" s="7">
        <v>0.4</v>
      </c>
      <c r="M177" s="2" t="s">
        <v>26</v>
      </c>
      <c r="N177" s="2" t="s">
        <v>35</v>
      </c>
      <c r="O177" s="2" t="s">
        <v>491</v>
      </c>
      <c r="P177" s="2" t="s">
        <v>26</v>
      </c>
      <c r="Q177" s="2" t="s">
        <v>35</v>
      </c>
      <c r="R177" s="2"/>
      <c r="S177" s="2" t="s">
        <v>492</v>
      </c>
      <c r="T177" s="2"/>
      <c r="U177" s="2" t="s">
        <v>37</v>
      </c>
    </row>
    <row r="178" ht="16" customHeight="1" spans="1:21">
      <c r="A178" s="2" t="s">
        <v>493</v>
      </c>
      <c r="B178" s="2" t="s">
        <v>489</v>
      </c>
      <c r="C178" s="2" t="s">
        <v>490</v>
      </c>
      <c r="D178" s="2" t="s">
        <v>491</v>
      </c>
      <c r="E178" s="7">
        <v>2.49</v>
      </c>
      <c r="F178" s="7"/>
      <c r="H178" s="2" t="s">
        <v>32</v>
      </c>
      <c r="I178" s="2" t="s">
        <v>33</v>
      </c>
      <c r="J178" s="2" t="s">
        <v>39</v>
      </c>
      <c r="K178" s="2" t="s">
        <v>25</v>
      </c>
      <c r="L178" s="7">
        <v>2.49</v>
      </c>
      <c r="M178" s="2" t="s">
        <v>26</v>
      </c>
      <c r="N178" s="2" t="s">
        <v>35</v>
      </c>
      <c r="O178" s="2" t="s">
        <v>491</v>
      </c>
      <c r="P178" s="2" t="s">
        <v>26</v>
      </c>
      <c r="Q178" s="2" t="s">
        <v>35</v>
      </c>
      <c r="R178" s="2"/>
      <c r="S178" s="2" t="s">
        <v>492</v>
      </c>
      <c r="T178" s="2"/>
      <c r="U178" s="2" t="s">
        <v>37</v>
      </c>
    </row>
    <row r="179" ht="16" customHeight="1" spans="1:21">
      <c r="A179" s="2" t="s">
        <v>494</v>
      </c>
      <c r="B179" s="2" t="s">
        <v>495</v>
      </c>
      <c r="C179" s="2" t="s">
        <v>496</v>
      </c>
      <c r="D179" s="2" t="s">
        <v>497</v>
      </c>
      <c r="E179" s="7">
        <v>0.07</v>
      </c>
      <c r="F179" s="7"/>
      <c r="H179" s="2" t="s">
        <v>32</v>
      </c>
      <c r="I179" s="2" t="s">
        <v>33</v>
      </c>
      <c r="J179" s="2" t="s">
        <v>47</v>
      </c>
      <c r="K179" s="2" t="s">
        <v>25</v>
      </c>
      <c r="L179" s="7">
        <v>0.07</v>
      </c>
      <c r="M179" s="2" t="s">
        <v>26</v>
      </c>
      <c r="N179" s="2" t="s">
        <v>48</v>
      </c>
      <c r="O179" s="2" t="s">
        <v>497</v>
      </c>
      <c r="P179" s="2" t="s">
        <v>26</v>
      </c>
      <c r="Q179" s="2" t="s">
        <v>48</v>
      </c>
      <c r="R179" s="2"/>
      <c r="S179" s="2" t="s">
        <v>498</v>
      </c>
      <c r="T179" s="2"/>
      <c r="U179" s="2" t="s">
        <v>37</v>
      </c>
    </row>
    <row r="180" ht="16" customHeight="1" spans="1:21">
      <c r="A180" s="2" t="s">
        <v>499</v>
      </c>
      <c r="B180" s="2" t="s">
        <v>495</v>
      </c>
      <c r="C180" s="2" t="s">
        <v>496</v>
      </c>
      <c r="D180" s="2" t="s">
        <v>497</v>
      </c>
      <c r="E180" s="7">
        <v>0.4</v>
      </c>
      <c r="F180" s="7"/>
      <c r="H180" s="2" t="s">
        <v>32</v>
      </c>
      <c r="I180" s="2" t="s">
        <v>33</v>
      </c>
      <c r="J180" s="2" t="s">
        <v>34</v>
      </c>
      <c r="K180" s="2" t="s">
        <v>25</v>
      </c>
      <c r="L180" s="7">
        <v>0.4</v>
      </c>
      <c r="M180" s="2" t="s">
        <v>26</v>
      </c>
      <c r="N180" s="2" t="s">
        <v>48</v>
      </c>
      <c r="O180" s="2" t="s">
        <v>497</v>
      </c>
      <c r="P180" s="2" t="s">
        <v>26</v>
      </c>
      <c r="Q180" s="2" t="s">
        <v>48</v>
      </c>
      <c r="R180" s="2"/>
      <c r="S180" s="2" t="s">
        <v>498</v>
      </c>
      <c r="T180" s="2"/>
      <c r="U180" s="2" t="s">
        <v>37</v>
      </c>
    </row>
    <row r="181" ht="16" customHeight="1" spans="1:21">
      <c r="A181" s="2" t="s">
        <v>500</v>
      </c>
      <c r="B181" s="2" t="s">
        <v>495</v>
      </c>
      <c r="C181" s="2" t="s">
        <v>496</v>
      </c>
      <c r="D181" s="2" t="s">
        <v>497</v>
      </c>
      <c r="E181" s="7">
        <v>2.49</v>
      </c>
      <c r="F181" s="7"/>
      <c r="H181" s="2" t="s">
        <v>32</v>
      </c>
      <c r="I181" s="2" t="s">
        <v>33</v>
      </c>
      <c r="J181" s="2" t="s">
        <v>39</v>
      </c>
      <c r="K181" s="2" t="s">
        <v>25</v>
      </c>
      <c r="L181" s="7">
        <v>2.49</v>
      </c>
      <c r="M181" s="2" t="s">
        <v>26</v>
      </c>
      <c r="N181" s="2" t="s">
        <v>48</v>
      </c>
      <c r="O181" s="2" t="s">
        <v>497</v>
      </c>
      <c r="P181" s="2" t="s">
        <v>26</v>
      </c>
      <c r="Q181" s="2" t="s">
        <v>48</v>
      </c>
      <c r="R181" s="2"/>
      <c r="S181" s="2" t="s">
        <v>498</v>
      </c>
      <c r="T181" s="2"/>
      <c r="U181" s="2" t="s">
        <v>37</v>
      </c>
    </row>
    <row r="182" ht="16" customHeight="1" spans="1:21">
      <c r="A182" s="2" t="s">
        <v>501</v>
      </c>
      <c r="B182" s="2" t="s">
        <v>502</v>
      </c>
      <c r="C182" s="2" t="s">
        <v>503</v>
      </c>
      <c r="D182" s="2" t="s">
        <v>504</v>
      </c>
      <c r="E182" s="7">
        <v>0.07</v>
      </c>
      <c r="F182" s="7"/>
      <c r="H182" s="2" t="s">
        <v>32</v>
      </c>
      <c r="I182" s="2" t="s">
        <v>33</v>
      </c>
      <c r="J182" s="2" t="s">
        <v>47</v>
      </c>
      <c r="K182" s="2" t="s">
        <v>25</v>
      </c>
      <c r="L182" s="7">
        <v>0.07</v>
      </c>
      <c r="M182" s="2" t="s">
        <v>26</v>
      </c>
      <c r="N182" s="2" t="s">
        <v>100</v>
      </c>
      <c r="O182" s="2" t="s">
        <v>504</v>
      </c>
      <c r="P182" s="2" t="s">
        <v>26</v>
      </c>
      <c r="Q182" s="2" t="s">
        <v>100</v>
      </c>
      <c r="R182" s="2"/>
      <c r="S182" s="2" t="s">
        <v>505</v>
      </c>
      <c r="T182" s="2"/>
      <c r="U182" s="2" t="s">
        <v>37</v>
      </c>
    </row>
    <row r="183" ht="16" customHeight="1" spans="1:21">
      <c r="A183" s="2" t="s">
        <v>506</v>
      </c>
      <c r="B183" s="2" t="s">
        <v>502</v>
      </c>
      <c r="C183" s="2" t="s">
        <v>503</v>
      </c>
      <c r="D183" s="2" t="s">
        <v>504</v>
      </c>
      <c r="E183" s="7">
        <v>0.4</v>
      </c>
      <c r="F183" s="7"/>
      <c r="H183" s="2" t="s">
        <v>32</v>
      </c>
      <c r="I183" s="2" t="s">
        <v>33</v>
      </c>
      <c r="J183" s="2" t="s">
        <v>34</v>
      </c>
      <c r="K183" s="2" t="s">
        <v>25</v>
      </c>
      <c r="L183" s="7">
        <v>0.4</v>
      </c>
      <c r="M183" s="2" t="s">
        <v>26</v>
      </c>
      <c r="N183" s="2" t="s">
        <v>100</v>
      </c>
      <c r="O183" s="2" t="s">
        <v>504</v>
      </c>
      <c r="P183" s="2" t="s">
        <v>26</v>
      </c>
      <c r="Q183" s="2" t="s">
        <v>100</v>
      </c>
      <c r="R183" s="2"/>
      <c r="S183" s="2" t="s">
        <v>505</v>
      </c>
      <c r="T183" s="2"/>
      <c r="U183" s="2" t="s">
        <v>37</v>
      </c>
    </row>
    <row r="184" ht="16" customHeight="1" spans="1:21">
      <c r="A184" s="2" t="s">
        <v>507</v>
      </c>
      <c r="B184" s="2" t="s">
        <v>502</v>
      </c>
      <c r="C184" s="2" t="s">
        <v>503</v>
      </c>
      <c r="D184" s="2" t="s">
        <v>504</v>
      </c>
      <c r="E184" s="7">
        <v>2.49</v>
      </c>
      <c r="F184" s="7"/>
      <c r="H184" s="2" t="s">
        <v>32</v>
      </c>
      <c r="I184" s="2" t="s">
        <v>33</v>
      </c>
      <c r="J184" s="2" t="s">
        <v>39</v>
      </c>
      <c r="K184" s="2" t="s">
        <v>25</v>
      </c>
      <c r="L184" s="7">
        <v>2.49</v>
      </c>
      <c r="M184" s="2" t="s">
        <v>26</v>
      </c>
      <c r="N184" s="2" t="s">
        <v>100</v>
      </c>
      <c r="O184" s="2" t="s">
        <v>504</v>
      </c>
      <c r="P184" s="2" t="s">
        <v>26</v>
      </c>
      <c r="Q184" s="2" t="s">
        <v>100</v>
      </c>
      <c r="R184" s="2"/>
      <c r="S184" s="2" t="s">
        <v>505</v>
      </c>
      <c r="T184" s="2"/>
      <c r="U184" s="2" t="s">
        <v>37</v>
      </c>
    </row>
    <row r="185" ht="16" customHeight="1" spans="1:21">
      <c r="A185" s="2" t="s">
        <v>508</v>
      </c>
      <c r="B185" s="2" t="s">
        <v>509</v>
      </c>
      <c r="C185" s="2" t="s">
        <v>510</v>
      </c>
      <c r="D185" s="2" t="s">
        <v>511</v>
      </c>
      <c r="E185" s="7">
        <v>1.5</v>
      </c>
      <c r="F185" s="7"/>
      <c r="H185" s="2" t="s">
        <v>32</v>
      </c>
      <c r="I185" s="2" t="s">
        <v>33</v>
      </c>
      <c r="J185" s="2" t="s">
        <v>85</v>
      </c>
      <c r="K185" s="2" t="s">
        <v>25</v>
      </c>
      <c r="L185" s="7">
        <v>1.5</v>
      </c>
      <c r="M185" s="2" t="s">
        <v>26</v>
      </c>
      <c r="N185" s="2" t="s">
        <v>56</v>
      </c>
      <c r="O185" s="2" t="s">
        <v>511</v>
      </c>
      <c r="P185" s="2" t="s">
        <v>26</v>
      </c>
      <c r="Q185" s="2" t="s">
        <v>56</v>
      </c>
      <c r="R185" s="2"/>
      <c r="S185" s="2" t="s">
        <v>512</v>
      </c>
      <c r="T185" s="2"/>
      <c r="U185" s="2" t="s">
        <v>37</v>
      </c>
    </row>
    <row r="186" ht="16" customHeight="1" spans="1:21">
      <c r="A186" s="2" t="s">
        <v>513</v>
      </c>
      <c r="B186" s="2" t="s">
        <v>509</v>
      </c>
      <c r="C186" s="2" t="s">
        <v>510</v>
      </c>
      <c r="D186" s="2" t="s">
        <v>511</v>
      </c>
      <c r="E186" s="7">
        <v>0.07</v>
      </c>
      <c r="F186" s="7"/>
      <c r="H186" s="2" t="s">
        <v>32</v>
      </c>
      <c r="I186" s="2" t="s">
        <v>33</v>
      </c>
      <c r="J186" s="2" t="s">
        <v>47</v>
      </c>
      <c r="K186" s="2" t="s">
        <v>25</v>
      </c>
      <c r="L186" s="7">
        <v>0.07</v>
      </c>
      <c r="M186" s="2" t="s">
        <v>26</v>
      </c>
      <c r="N186" s="2" t="s">
        <v>56</v>
      </c>
      <c r="O186" s="2" t="s">
        <v>511</v>
      </c>
      <c r="P186" s="2" t="s">
        <v>26</v>
      </c>
      <c r="Q186" s="2" t="s">
        <v>56</v>
      </c>
      <c r="R186" s="2"/>
      <c r="S186" s="2" t="s">
        <v>512</v>
      </c>
      <c r="T186" s="2"/>
      <c r="U186" s="2" t="s">
        <v>37</v>
      </c>
    </row>
    <row r="187" ht="16" customHeight="1" spans="1:21">
      <c r="A187" s="2" t="s">
        <v>514</v>
      </c>
      <c r="B187" s="2" t="s">
        <v>509</v>
      </c>
      <c r="C187" s="2" t="s">
        <v>510</v>
      </c>
      <c r="D187" s="2" t="s">
        <v>511</v>
      </c>
      <c r="E187" s="7">
        <v>0.4</v>
      </c>
      <c r="F187" s="7"/>
      <c r="H187" s="2" t="s">
        <v>32</v>
      </c>
      <c r="I187" s="2" t="s">
        <v>33</v>
      </c>
      <c r="J187" s="2" t="s">
        <v>34</v>
      </c>
      <c r="K187" s="2" t="s">
        <v>25</v>
      </c>
      <c r="L187" s="7">
        <v>0.4</v>
      </c>
      <c r="M187" s="2" t="s">
        <v>26</v>
      </c>
      <c r="N187" s="2" t="s">
        <v>56</v>
      </c>
      <c r="O187" s="2" t="s">
        <v>511</v>
      </c>
      <c r="P187" s="2" t="s">
        <v>26</v>
      </c>
      <c r="Q187" s="2" t="s">
        <v>56</v>
      </c>
      <c r="R187" s="2"/>
      <c r="S187" s="2" t="s">
        <v>512</v>
      </c>
      <c r="T187" s="2"/>
      <c r="U187" s="2" t="s">
        <v>37</v>
      </c>
    </row>
    <row r="188" ht="16" customHeight="1" spans="1:21">
      <c r="A188" s="2" t="s">
        <v>515</v>
      </c>
      <c r="B188" s="2" t="s">
        <v>509</v>
      </c>
      <c r="C188" s="2" t="s">
        <v>510</v>
      </c>
      <c r="D188" s="2" t="s">
        <v>511</v>
      </c>
      <c r="E188" s="7">
        <v>2.49</v>
      </c>
      <c r="F188" s="7"/>
      <c r="H188" s="2" t="s">
        <v>32</v>
      </c>
      <c r="I188" s="2" t="s">
        <v>33</v>
      </c>
      <c r="J188" s="2" t="s">
        <v>39</v>
      </c>
      <c r="K188" s="2" t="s">
        <v>25</v>
      </c>
      <c r="L188" s="7">
        <v>2.49</v>
      </c>
      <c r="M188" s="2" t="s">
        <v>26</v>
      </c>
      <c r="N188" s="2" t="s">
        <v>56</v>
      </c>
      <c r="O188" s="2" t="s">
        <v>511</v>
      </c>
      <c r="P188" s="2" t="s">
        <v>26</v>
      </c>
      <c r="Q188" s="2" t="s">
        <v>56</v>
      </c>
      <c r="R188" s="2"/>
      <c r="S188" s="2" t="s">
        <v>512</v>
      </c>
      <c r="T188" s="2"/>
      <c r="U188" s="2" t="s">
        <v>37</v>
      </c>
    </row>
    <row r="189" ht="16" customHeight="1" spans="1:21">
      <c r="A189" s="2" t="s">
        <v>516</v>
      </c>
      <c r="B189" s="2" t="s">
        <v>517</v>
      </c>
      <c r="C189" s="2" t="s">
        <v>518</v>
      </c>
      <c r="D189" s="2" t="s">
        <v>519</v>
      </c>
      <c r="E189" s="7">
        <v>1.5</v>
      </c>
      <c r="F189" s="7"/>
      <c r="H189" s="2" t="s">
        <v>32</v>
      </c>
      <c r="I189" s="2" t="s">
        <v>33</v>
      </c>
      <c r="J189" s="2" t="s">
        <v>85</v>
      </c>
      <c r="K189" s="2" t="s">
        <v>25</v>
      </c>
      <c r="L189" s="7">
        <v>1.5</v>
      </c>
      <c r="M189" s="2" t="s">
        <v>26</v>
      </c>
      <c r="N189" s="2" t="s">
        <v>56</v>
      </c>
      <c r="O189" s="2" t="s">
        <v>519</v>
      </c>
      <c r="P189" s="2" t="s">
        <v>26</v>
      </c>
      <c r="Q189" s="2" t="s">
        <v>56</v>
      </c>
      <c r="R189" s="2"/>
      <c r="S189" s="2" t="s">
        <v>520</v>
      </c>
      <c r="T189" s="2"/>
      <c r="U189" s="2" t="s">
        <v>37</v>
      </c>
    </row>
    <row r="190" ht="16" customHeight="1" spans="1:21">
      <c r="A190" s="2" t="s">
        <v>521</v>
      </c>
      <c r="B190" s="2" t="s">
        <v>517</v>
      </c>
      <c r="C190" s="2" t="s">
        <v>518</v>
      </c>
      <c r="D190" s="2" t="s">
        <v>519</v>
      </c>
      <c r="E190" s="7">
        <v>0.07</v>
      </c>
      <c r="F190" s="7"/>
      <c r="H190" s="2" t="s">
        <v>32</v>
      </c>
      <c r="I190" s="2" t="s">
        <v>33</v>
      </c>
      <c r="J190" s="2" t="s">
        <v>47</v>
      </c>
      <c r="K190" s="2" t="s">
        <v>25</v>
      </c>
      <c r="L190" s="7">
        <v>0.07</v>
      </c>
      <c r="M190" s="2" t="s">
        <v>26</v>
      </c>
      <c r="N190" s="2" t="s">
        <v>56</v>
      </c>
      <c r="O190" s="2" t="s">
        <v>519</v>
      </c>
      <c r="P190" s="2" t="s">
        <v>26</v>
      </c>
      <c r="Q190" s="2" t="s">
        <v>56</v>
      </c>
      <c r="R190" s="2"/>
      <c r="S190" s="2" t="s">
        <v>520</v>
      </c>
      <c r="T190" s="2"/>
      <c r="U190" s="2" t="s">
        <v>37</v>
      </c>
    </row>
    <row r="191" ht="16" customHeight="1" spans="1:21">
      <c r="A191" s="2" t="s">
        <v>522</v>
      </c>
      <c r="B191" s="2" t="s">
        <v>517</v>
      </c>
      <c r="C191" s="2" t="s">
        <v>518</v>
      </c>
      <c r="D191" s="2" t="s">
        <v>519</v>
      </c>
      <c r="E191" s="7">
        <v>0.4</v>
      </c>
      <c r="F191" s="7"/>
      <c r="H191" s="2" t="s">
        <v>32</v>
      </c>
      <c r="I191" s="2" t="s">
        <v>33</v>
      </c>
      <c r="J191" s="2" t="s">
        <v>34</v>
      </c>
      <c r="K191" s="2" t="s">
        <v>25</v>
      </c>
      <c r="L191" s="7">
        <v>0.4</v>
      </c>
      <c r="M191" s="2" t="s">
        <v>26</v>
      </c>
      <c r="N191" s="2" t="s">
        <v>56</v>
      </c>
      <c r="O191" s="2" t="s">
        <v>519</v>
      </c>
      <c r="P191" s="2" t="s">
        <v>26</v>
      </c>
      <c r="Q191" s="2" t="s">
        <v>56</v>
      </c>
      <c r="R191" s="2"/>
      <c r="S191" s="2" t="s">
        <v>520</v>
      </c>
      <c r="T191" s="2"/>
      <c r="U191" s="2" t="s">
        <v>37</v>
      </c>
    </row>
    <row r="192" ht="16" customHeight="1" spans="1:21">
      <c r="A192" s="2" t="s">
        <v>523</v>
      </c>
      <c r="B192" s="2" t="s">
        <v>517</v>
      </c>
      <c r="C192" s="2" t="s">
        <v>518</v>
      </c>
      <c r="D192" s="2" t="s">
        <v>519</v>
      </c>
      <c r="E192" s="7">
        <v>2.49</v>
      </c>
      <c r="F192" s="7"/>
      <c r="H192" s="2" t="s">
        <v>32</v>
      </c>
      <c r="I192" s="2" t="s">
        <v>33</v>
      </c>
      <c r="J192" s="2" t="s">
        <v>39</v>
      </c>
      <c r="K192" s="2" t="s">
        <v>25</v>
      </c>
      <c r="L192" s="7">
        <v>2.49</v>
      </c>
      <c r="M192" s="2" t="s">
        <v>26</v>
      </c>
      <c r="N192" s="2" t="s">
        <v>56</v>
      </c>
      <c r="O192" s="2" t="s">
        <v>519</v>
      </c>
      <c r="P192" s="2" t="s">
        <v>26</v>
      </c>
      <c r="Q192" s="2" t="s">
        <v>56</v>
      </c>
      <c r="R192" s="2"/>
      <c r="S192" s="2" t="s">
        <v>520</v>
      </c>
      <c r="T192" s="2"/>
      <c r="U192" s="2" t="s">
        <v>37</v>
      </c>
    </row>
    <row r="193" ht="16" customHeight="1" spans="1:21">
      <c r="A193" s="2" t="s">
        <v>524</v>
      </c>
      <c r="B193" s="2" t="s">
        <v>525</v>
      </c>
      <c r="C193" s="2" t="s">
        <v>526</v>
      </c>
      <c r="D193" s="2" t="s">
        <v>527</v>
      </c>
      <c r="E193" s="7">
        <v>1</v>
      </c>
      <c r="F193" s="7"/>
      <c r="H193" s="2" t="s">
        <v>32</v>
      </c>
      <c r="I193" s="2" t="s">
        <v>33</v>
      </c>
      <c r="J193" s="2" t="s">
        <v>85</v>
      </c>
      <c r="K193" s="2" t="s">
        <v>25</v>
      </c>
      <c r="L193" s="7">
        <v>1</v>
      </c>
      <c r="M193" s="2" t="s">
        <v>26</v>
      </c>
      <c r="N193" s="2" t="s">
        <v>295</v>
      </c>
      <c r="O193" s="2" t="s">
        <v>527</v>
      </c>
      <c r="P193" s="2" t="s">
        <v>26</v>
      </c>
      <c r="Q193" s="2" t="s">
        <v>295</v>
      </c>
      <c r="R193" s="2"/>
      <c r="S193" s="2" t="s">
        <v>528</v>
      </c>
      <c r="T193" s="2"/>
      <c r="U193" s="2" t="s">
        <v>37</v>
      </c>
    </row>
    <row r="194" ht="16" customHeight="1" spans="1:21">
      <c r="A194" s="2" t="s">
        <v>529</v>
      </c>
      <c r="B194" s="2" t="s">
        <v>525</v>
      </c>
      <c r="C194" s="2" t="s">
        <v>526</v>
      </c>
      <c r="D194" s="2" t="s">
        <v>527</v>
      </c>
      <c r="E194" s="7">
        <v>0.4</v>
      </c>
      <c r="F194" s="7"/>
      <c r="H194" s="2" t="s">
        <v>32</v>
      </c>
      <c r="I194" s="2" t="s">
        <v>33</v>
      </c>
      <c r="J194" s="2" t="s">
        <v>34</v>
      </c>
      <c r="K194" s="2" t="s">
        <v>25</v>
      </c>
      <c r="L194" s="7">
        <v>0.4</v>
      </c>
      <c r="M194" s="2" t="s">
        <v>26</v>
      </c>
      <c r="N194" s="2" t="s">
        <v>295</v>
      </c>
      <c r="O194" s="2" t="s">
        <v>527</v>
      </c>
      <c r="P194" s="2" t="s">
        <v>26</v>
      </c>
      <c r="Q194" s="2" t="s">
        <v>295</v>
      </c>
      <c r="R194" s="2"/>
      <c r="S194" s="2" t="s">
        <v>528</v>
      </c>
      <c r="T194" s="2"/>
      <c r="U194" s="2" t="s">
        <v>37</v>
      </c>
    </row>
    <row r="195" ht="16" customHeight="1" spans="1:21">
      <c r="A195" s="2" t="s">
        <v>530</v>
      </c>
      <c r="B195" s="2" t="s">
        <v>525</v>
      </c>
      <c r="C195" s="2" t="s">
        <v>526</v>
      </c>
      <c r="D195" s="2" t="s">
        <v>527</v>
      </c>
      <c r="E195" s="7">
        <v>2.49</v>
      </c>
      <c r="F195" s="7"/>
      <c r="H195" s="2" t="s">
        <v>32</v>
      </c>
      <c r="I195" s="2" t="s">
        <v>33</v>
      </c>
      <c r="J195" s="2" t="s">
        <v>39</v>
      </c>
      <c r="K195" s="2" t="s">
        <v>25</v>
      </c>
      <c r="L195" s="7">
        <v>2.49</v>
      </c>
      <c r="M195" s="2" t="s">
        <v>26</v>
      </c>
      <c r="N195" s="2" t="s">
        <v>295</v>
      </c>
      <c r="O195" s="2" t="s">
        <v>527</v>
      </c>
      <c r="P195" s="2" t="s">
        <v>26</v>
      </c>
      <c r="Q195" s="2" t="s">
        <v>295</v>
      </c>
      <c r="R195" s="2"/>
      <c r="S195" s="2" t="s">
        <v>528</v>
      </c>
      <c r="T195" s="2"/>
      <c r="U195" s="2" t="s">
        <v>37</v>
      </c>
    </row>
    <row r="196" ht="16" customHeight="1" spans="1:21">
      <c r="A196" s="2" t="s">
        <v>531</v>
      </c>
      <c r="B196" s="2" t="s">
        <v>532</v>
      </c>
      <c r="C196" s="2" t="s">
        <v>533</v>
      </c>
      <c r="D196" s="2" t="s">
        <v>534</v>
      </c>
      <c r="E196" s="7">
        <v>0.4</v>
      </c>
      <c r="F196" s="7"/>
      <c r="H196" s="2" t="s">
        <v>32</v>
      </c>
      <c r="I196" s="2" t="s">
        <v>33</v>
      </c>
      <c r="J196" s="2" t="s">
        <v>34</v>
      </c>
      <c r="K196" s="2" t="s">
        <v>25</v>
      </c>
      <c r="L196" s="7">
        <v>0.4</v>
      </c>
      <c r="M196" s="2" t="s">
        <v>26</v>
      </c>
      <c r="N196" s="2" t="s">
        <v>35</v>
      </c>
      <c r="O196" s="2" t="s">
        <v>534</v>
      </c>
      <c r="P196" s="2" t="s">
        <v>26</v>
      </c>
      <c r="Q196" s="2" t="s">
        <v>35</v>
      </c>
      <c r="R196" s="2"/>
      <c r="S196" s="2" t="s">
        <v>535</v>
      </c>
      <c r="T196" s="2"/>
      <c r="U196" s="2" t="s">
        <v>37</v>
      </c>
    </row>
    <row r="197" ht="16" customHeight="1" spans="1:21">
      <c r="A197" s="2" t="s">
        <v>536</v>
      </c>
      <c r="B197" s="2" t="s">
        <v>532</v>
      </c>
      <c r="C197" s="2" t="s">
        <v>533</v>
      </c>
      <c r="D197" s="2" t="s">
        <v>534</v>
      </c>
      <c r="E197" s="7">
        <v>2.49</v>
      </c>
      <c r="F197" s="7"/>
      <c r="H197" s="2" t="s">
        <v>32</v>
      </c>
      <c r="I197" s="2" t="s">
        <v>33</v>
      </c>
      <c r="J197" s="2" t="s">
        <v>39</v>
      </c>
      <c r="K197" s="2" t="s">
        <v>25</v>
      </c>
      <c r="L197" s="7">
        <v>2.49</v>
      </c>
      <c r="M197" s="2" t="s">
        <v>26</v>
      </c>
      <c r="N197" s="2" t="s">
        <v>35</v>
      </c>
      <c r="O197" s="2" t="s">
        <v>534</v>
      </c>
      <c r="P197" s="2" t="s">
        <v>26</v>
      </c>
      <c r="Q197" s="2" t="s">
        <v>35</v>
      </c>
      <c r="R197" s="2"/>
      <c r="S197" s="2" t="s">
        <v>535</v>
      </c>
      <c r="T197" s="2"/>
      <c r="U197" s="2" t="s">
        <v>37</v>
      </c>
    </row>
    <row r="198" ht="16" customHeight="1" spans="1:21">
      <c r="A198" s="2" t="s">
        <v>537</v>
      </c>
      <c r="B198" s="2" t="s">
        <v>538</v>
      </c>
      <c r="C198" s="2" t="s">
        <v>539</v>
      </c>
      <c r="D198" s="2" t="s">
        <v>540</v>
      </c>
      <c r="E198" s="7">
        <v>0.4</v>
      </c>
      <c r="F198" s="7"/>
      <c r="H198" s="2" t="s">
        <v>32</v>
      </c>
      <c r="I198" s="2" t="s">
        <v>33</v>
      </c>
      <c r="J198" s="2" t="s">
        <v>34</v>
      </c>
      <c r="K198" s="2" t="s">
        <v>25</v>
      </c>
      <c r="L198" s="7">
        <v>0.4</v>
      </c>
      <c r="M198" s="2" t="s">
        <v>26</v>
      </c>
      <c r="N198" s="2" t="s">
        <v>35</v>
      </c>
      <c r="O198" s="2" t="s">
        <v>540</v>
      </c>
      <c r="P198" s="2" t="s">
        <v>26</v>
      </c>
      <c r="Q198" s="2" t="s">
        <v>35</v>
      </c>
      <c r="R198" s="2"/>
      <c r="S198" s="2" t="s">
        <v>541</v>
      </c>
      <c r="T198" s="2"/>
      <c r="U198" s="2" t="s">
        <v>37</v>
      </c>
    </row>
    <row r="199" ht="16" customHeight="1" spans="1:21">
      <c r="A199" s="2" t="s">
        <v>542</v>
      </c>
      <c r="B199" s="2" t="s">
        <v>538</v>
      </c>
      <c r="C199" s="2" t="s">
        <v>539</v>
      </c>
      <c r="D199" s="2" t="s">
        <v>540</v>
      </c>
      <c r="E199" s="7">
        <v>2.49</v>
      </c>
      <c r="F199" s="7"/>
      <c r="H199" s="2" t="s">
        <v>32</v>
      </c>
      <c r="I199" s="2" t="s">
        <v>33</v>
      </c>
      <c r="J199" s="2" t="s">
        <v>39</v>
      </c>
      <c r="K199" s="2" t="s">
        <v>25</v>
      </c>
      <c r="L199" s="7">
        <v>2.49</v>
      </c>
      <c r="M199" s="2" t="s">
        <v>26</v>
      </c>
      <c r="N199" s="2" t="s">
        <v>35</v>
      </c>
      <c r="O199" s="2" t="s">
        <v>540</v>
      </c>
      <c r="P199" s="2" t="s">
        <v>26</v>
      </c>
      <c r="Q199" s="2" t="s">
        <v>35</v>
      </c>
      <c r="R199" s="2"/>
      <c r="S199" s="2" t="s">
        <v>541</v>
      </c>
      <c r="T199" s="2"/>
      <c r="U199" s="2" t="s">
        <v>37</v>
      </c>
    </row>
    <row r="200" ht="16" customHeight="1" spans="1:21">
      <c r="A200" s="2" t="s">
        <v>543</v>
      </c>
      <c r="B200" s="2" t="s">
        <v>544</v>
      </c>
      <c r="C200" s="2" t="s">
        <v>545</v>
      </c>
      <c r="D200" s="2" t="s">
        <v>546</v>
      </c>
      <c r="E200" s="7">
        <v>1</v>
      </c>
      <c r="F200" s="7"/>
      <c r="H200" s="2" t="s">
        <v>32</v>
      </c>
      <c r="I200" s="2" t="s">
        <v>33</v>
      </c>
      <c r="J200" s="2" t="s">
        <v>85</v>
      </c>
      <c r="K200" s="2" t="s">
        <v>25</v>
      </c>
      <c r="L200" s="7">
        <v>1</v>
      </c>
      <c r="M200" s="2" t="s">
        <v>26</v>
      </c>
      <c r="N200" s="2" t="s">
        <v>295</v>
      </c>
      <c r="O200" s="2" t="s">
        <v>546</v>
      </c>
      <c r="P200" s="2" t="s">
        <v>26</v>
      </c>
      <c r="Q200" s="2" t="s">
        <v>295</v>
      </c>
      <c r="R200" s="2"/>
      <c r="S200" s="2" t="s">
        <v>547</v>
      </c>
      <c r="T200" s="2"/>
      <c r="U200" s="2" t="s">
        <v>37</v>
      </c>
    </row>
    <row r="201" ht="16" customHeight="1" spans="1:21">
      <c r="A201" s="2" t="s">
        <v>548</v>
      </c>
      <c r="B201" s="2" t="s">
        <v>544</v>
      </c>
      <c r="C201" s="2" t="s">
        <v>545</v>
      </c>
      <c r="D201" s="2" t="s">
        <v>546</v>
      </c>
      <c r="E201" s="7">
        <v>0.4</v>
      </c>
      <c r="F201" s="7"/>
      <c r="H201" s="2" t="s">
        <v>32</v>
      </c>
      <c r="I201" s="2" t="s">
        <v>33</v>
      </c>
      <c r="J201" s="2" t="s">
        <v>34</v>
      </c>
      <c r="K201" s="2" t="s">
        <v>25</v>
      </c>
      <c r="L201" s="7">
        <v>0.4</v>
      </c>
      <c r="M201" s="2" t="s">
        <v>26</v>
      </c>
      <c r="N201" s="2" t="s">
        <v>295</v>
      </c>
      <c r="O201" s="2" t="s">
        <v>546</v>
      </c>
      <c r="P201" s="2" t="s">
        <v>26</v>
      </c>
      <c r="Q201" s="2" t="s">
        <v>295</v>
      </c>
      <c r="R201" s="2"/>
      <c r="S201" s="2" t="s">
        <v>547</v>
      </c>
      <c r="T201" s="2"/>
      <c r="U201" s="2" t="s">
        <v>37</v>
      </c>
    </row>
    <row r="202" ht="16" customHeight="1" spans="1:21">
      <c r="A202" s="2" t="s">
        <v>549</v>
      </c>
      <c r="B202" s="2" t="s">
        <v>544</v>
      </c>
      <c r="C202" s="2" t="s">
        <v>545</v>
      </c>
      <c r="D202" s="2" t="s">
        <v>546</v>
      </c>
      <c r="E202" s="7">
        <v>2.49</v>
      </c>
      <c r="F202" s="7"/>
      <c r="H202" s="2" t="s">
        <v>32</v>
      </c>
      <c r="I202" s="2" t="s">
        <v>33</v>
      </c>
      <c r="J202" s="2" t="s">
        <v>39</v>
      </c>
      <c r="K202" s="2" t="s">
        <v>25</v>
      </c>
      <c r="L202" s="7">
        <v>2.49</v>
      </c>
      <c r="M202" s="2" t="s">
        <v>26</v>
      </c>
      <c r="N202" s="2" t="s">
        <v>295</v>
      </c>
      <c r="O202" s="2" t="s">
        <v>546</v>
      </c>
      <c r="P202" s="2" t="s">
        <v>26</v>
      </c>
      <c r="Q202" s="2" t="s">
        <v>295</v>
      </c>
      <c r="R202" s="2"/>
      <c r="S202" s="2" t="s">
        <v>547</v>
      </c>
      <c r="T202" s="2"/>
      <c r="U202" s="2" t="s">
        <v>37</v>
      </c>
    </row>
    <row r="203" ht="16" customHeight="1" spans="1:21">
      <c r="A203" s="2" t="s">
        <v>562</v>
      </c>
      <c r="B203" s="2" t="s">
        <v>563</v>
      </c>
      <c r="C203" s="2" t="s">
        <v>564</v>
      </c>
      <c r="D203" s="2" t="s">
        <v>565</v>
      </c>
      <c r="E203" s="7">
        <v>1.5</v>
      </c>
      <c r="F203" s="7"/>
      <c r="H203" s="2" t="s">
        <v>32</v>
      </c>
      <c r="I203" s="2" t="s">
        <v>33</v>
      </c>
      <c r="J203" s="2" t="s">
        <v>85</v>
      </c>
      <c r="K203" s="2" t="s">
        <v>25</v>
      </c>
      <c r="L203" s="7">
        <v>1.5</v>
      </c>
      <c r="M203" s="2" t="s">
        <v>26</v>
      </c>
      <c r="N203" s="2" t="s">
        <v>56</v>
      </c>
      <c r="O203" s="2" t="s">
        <v>565</v>
      </c>
      <c r="P203" s="2" t="s">
        <v>26</v>
      </c>
      <c r="Q203" s="2" t="s">
        <v>56</v>
      </c>
      <c r="R203" s="2"/>
      <c r="S203" s="2" t="s">
        <v>566</v>
      </c>
      <c r="T203" s="2"/>
      <c r="U203" s="2" t="s">
        <v>37</v>
      </c>
    </row>
    <row r="204" ht="16" customHeight="1" spans="1:21">
      <c r="A204" s="2" t="s">
        <v>567</v>
      </c>
      <c r="B204" s="2" t="s">
        <v>563</v>
      </c>
      <c r="C204" s="2" t="s">
        <v>564</v>
      </c>
      <c r="D204" s="2" t="s">
        <v>565</v>
      </c>
      <c r="E204" s="7">
        <v>0.07</v>
      </c>
      <c r="F204" s="7"/>
      <c r="H204" s="2" t="s">
        <v>32</v>
      </c>
      <c r="I204" s="2" t="s">
        <v>33</v>
      </c>
      <c r="J204" s="2" t="s">
        <v>47</v>
      </c>
      <c r="K204" s="2" t="s">
        <v>25</v>
      </c>
      <c r="L204" s="7">
        <v>0.07</v>
      </c>
      <c r="M204" s="2" t="s">
        <v>26</v>
      </c>
      <c r="N204" s="2" t="s">
        <v>56</v>
      </c>
      <c r="O204" s="2" t="s">
        <v>565</v>
      </c>
      <c r="P204" s="2" t="s">
        <v>26</v>
      </c>
      <c r="Q204" s="2" t="s">
        <v>56</v>
      </c>
      <c r="R204" s="2"/>
      <c r="S204" s="2" t="s">
        <v>566</v>
      </c>
      <c r="T204" s="2"/>
      <c r="U204" s="2" t="s">
        <v>37</v>
      </c>
    </row>
    <row r="205" ht="16" customHeight="1" spans="1:21">
      <c r="A205" s="2" t="s">
        <v>568</v>
      </c>
      <c r="B205" s="2" t="s">
        <v>563</v>
      </c>
      <c r="C205" s="2" t="s">
        <v>564</v>
      </c>
      <c r="D205" s="2" t="s">
        <v>565</v>
      </c>
      <c r="E205" s="7">
        <v>0.4</v>
      </c>
      <c r="F205" s="7"/>
      <c r="H205" s="2" t="s">
        <v>32</v>
      </c>
      <c r="I205" s="2" t="s">
        <v>33</v>
      </c>
      <c r="J205" s="2" t="s">
        <v>34</v>
      </c>
      <c r="K205" s="2" t="s">
        <v>25</v>
      </c>
      <c r="L205" s="7">
        <v>0.4</v>
      </c>
      <c r="M205" s="2" t="s">
        <v>26</v>
      </c>
      <c r="N205" s="2" t="s">
        <v>56</v>
      </c>
      <c r="O205" s="2" t="s">
        <v>565</v>
      </c>
      <c r="P205" s="2" t="s">
        <v>26</v>
      </c>
      <c r="Q205" s="2" t="s">
        <v>56</v>
      </c>
      <c r="R205" s="2"/>
      <c r="S205" s="2" t="s">
        <v>566</v>
      </c>
      <c r="T205" s="2"/>
      <c r="U205" s="2" t="s">
        <v>37</v>
      </c>
    </row>
    <row r="206" ht="16" customHeight="1" spans="1:21">
      <c r="A206" s="2" t="s">
        <v>569</v>
      </c>
      <c r="B206" s="2" t="s">
        <v>563</v>
      </c>
      <c r="C206" s="2" t="s">
        <v>564</v>
      </c>
      <c r="D206" s="2" t="s">
        <v>565</v>
      </c>
      <c r="E206" s="7">
        <v>2.49</v>
      </c>
      <c r="F206" s="7"/>
      <c r="H206" s="2" t="s">
        <v>32</v>
      </c>
      <c r="I206" s="2" t="s">
        <v>33</v>
      </c>
      <c r="J206" s="2" t="s">
        <v>39</v>
      </c>
      <c r="K206" s="2" t="s">
        <v>25</v>
      </c>
      <c r="L206" s="7">
        <v>2.49</v>
      </c>
      <c r="M206" s="2" t="s">
        <v>26</v>
      </c>
      <c r="N206" s="2" t="s">
        <v>56</v>
      </c>
      <c r="O206" s="2" t="s">
        <v>565</v>
      </c>
      <c r="P206" s="2" t="s">
        <v>26</v>
      </c>
      <c r="Q206" s="2" t="s">
        <v>56</v>
      </c>
      <c r="R206" s="2"/>
      <c r="S206" s="2" t="s">
        <v>566</v>
      </c>
      <c r="T206" s="2"/>
      <c r="U206" s="2" t="s">
        <v>37</v>
      </c>
    </row>
    <row r="207" ht="16" customHeight="1" spans="1:21">
      <c r="A207" s="2" t="s">
        <v>570</v>
      </c>
      <c r="B207" s="2" t="s">
        <v>571</v>
      </c>
      <c r="C207" s="2" t="s">
        <v>572</v>
      </c>
      <c r="D207" s="2" t="s">
        <v>573</v>
      </c>
      <c r="E207" s="7">
        <v>1.5</v>
      </c>
      <c r="F207" s="7"/>
      <c r="H207" s="2" t="s">
        <v>32</v>
      </c>
      <c r="I207" s="2" t="s">
        <v>33</v>
      </c>
      <c r="J207" s="2" t="s">
        <v>85</v>
      </c>
      <c r="K207" s="2" t="s">
        <v>25</v>
      </c>
      <c r="L207" s="7">
        <v>1.5</v>
      </c>
      <c r="M207" s="2" t="s">
        <v>26</v>
      </c>
      <c r="N207" s="2" t="s">
        <v>56</v>
      </c>
      <c r="O207" s="2" t="s">
        <v>573</v>
      </c>
      <c r="P207" s="2" t="s">
        <v>26</v>
      </c>
      <c r="Q207" s="2" t="s">
        <v>56</v>
      </c>
      <c r="R207" s="2"/>
      <c r="S207" s="2" t="s">
        <v>574</v>
      </c>
      <c r="T207" s="2"/>
      <c r="U207" s="2" t="s">
        <v>37</v>
      </c>
    </row>
    <row r="208" ht="16" customHeight="1" spans="1:21">
      <c r="A208" s="2" t="s">
        <v>575</v>
      </c>
      <c r="B208" s="2" t="s">
        <v>571</v>
      </c>
      <c r="C208" s="2" t="s">
        <v>572</v>
      </c>
      <c r="D208" s="2" t="s">
        <v>573</v>
      </c>
      <c r="E208" s="7">
        <v>0.07</v>
      </c>
      <c r="F208" s="7"/>
      <c r="H208" s="2" t="s">
        <v>32</v>
      </c>
      <c r="I208" s="2" t="s">
        <v>33</v>
      </c>
      <c r="J208" s="2" t="s">
        <v>47</v>
      </c>
      <c r="K208" s="2" t="s">
        <v>25</v>
      </c>
      <c r="L208" s="7">
        <v>0.07</v>
      </c>
      <c r="M208" s="2" t="s">
        <v>26</v>
      </c>
      <c r="N208" s="2" t="s">
        <v>56</v>
      </c>
      <c r="O208" s="2" t="s">
        <v>573</v>
      </c>
      <c r="P208" s="2" t="s">
        <v>26</v>
      </c>
      <c r="Q208" s="2" t="s">
        <v>56</v>
      </c>
      <c r="R208" s="2"/>
      <c r="S208" s="2" t="s">
        <v>574</v>
      </c>
      <c r="T208" s="2"/>
      <c r="U208" s="2" t="s">
        <v>37</v>
      </c>
    </row>
    <row r="209" ht="16" customHeight="1" spans="1:21">
      <c r="A209" s="2" t="s">
        <v>576</v>
      </c>
      <c r="B209" s="2" t="s">
        <v>571</v>
      </c>
      <c r="C209" s="2" t="s">
        <v>572</v>
      </c>
      <c r="D209" s="2" t="s">
        <v>573</v>
      </c>
      <c r="E209" s="7">
        <v>0.4</v>
      </c>
      <c r="F209" s="7"/>
      <c r="H209" s="2" t="s">
        <v>32</v>
      </c>
      <c r="I209" s="2" t="s">
        <v>33</v>
      </c>
      <c r="J209" s="2" t="s">
        <v>34</v>
      </c>
      <c r="K209" s="2" t="s">
        <v>25</v>
      </c>
      <c r="L209" s="7">
        <v>0.4</v>
      </c>
      <c r="M209" s="2" t="s">
        <v>26</v>
      </c>
      <c r="N209" s="2" t="s">
        <v>56</v>
      </c>
      <c r="O209" s="2" t="s">
        <v>573</v>
      </c>
      <c r="P209" s="2" t="s">
        <v>26</v>
      </c>
      <c r="Q209" s="2" t="s">
        <v>56</v>
      </c>
      <c r="R209" s="2"/>
      <c r="S209" s="2" t="s">
        <v>574</v>
      </c>
      <c r="T209" s="2"/>
      <c r="U209" s="2" t="s">
        <v>37</v>
      </c>
    </row>
    <row r="210" ht="16" customHeight="1" spans="1:21">
      <c r="A210" s="2" t="s">
        <v>577</v>
      </c>
      <c r="B210" s="2" t="s">
        <v>571</v>
      </c>
      <c r="C210" s="2" t="s">
        <v>572</v>
      </c>
      <c r="D210" s="2" t="s">
        <v>573</v>
      </c>
      <c r="E210" s="7">
        <v>2.49</v>
      </c>
      <c r="F210" s="7"/>
      <c r="H210" s="2" t="s">
        <v>32</v>
      </c>
      <c r="I210" s="2" t="s">
        <v>33</v>
      </c>
      <c r="J210" s="2" t="s">
        <v>39</v>
      </c>
      <c r="K210" s="2" t="s">
        <v>25</v>
      </c>
      <c r="L210" s="7">
        <v>2.49</v>
      </c>
      <c r="M210" s="2" t="s">
        <v>26</v>
      </c>
      <c r="N210" s="2" t="s">
        <v>56</v>
      </c>
      <c r="O210" s="2" t="s">
        <v>573</v>
      </c>
      <c r="P210" s="2" t="s">
        <v>26</v>
      </c>
      <c r="Q210" s="2" t="s">
        <v>56</v>
      </c>
      <c r="R210" s="2"/>
      <c r="S210" s="2" t="s">
        <v>574</v>
      </c>
      <c r="T210" s="2"/>
      <c r="U210" s="2" t="s">
        <v>37</v>
      </c>
    </row>
    <row r="211" ht="16" customHeight="1" spans="1:21">
      <c r="A211" s="2" t="s">
        <v>584</v>
      </c>
      <c r="B211" s="2" t="s">
        <v>585</v>
      </c>
      <c r="C211" s="2" t="s">
        <v>586</v>
      </c>
      <c r="D211" s="2" t="s">
        <v>587</v>
      </c>
      <c r="E211" s="7">
        <v>0.8</v>
      </c>
      <c r="F211" s="7"/>
      <c r="H211" s="2" t="s">
        <v>32</v>
      </c>
      <c r="I211" s="2" t="s">
        <v>33</v>
      </c>
      <c r="J211" s="2" t="s">
        <v>85</v>
      </c>
      <c r="K211" s="2" t="s">
        <v>25</v>
      </c>
      <c r="L211" s="7">
        <v>0.8</v>
      </c>
      <c r="M211" s="2" t="s">
        <v>26</v>
      </c>
      <c r="N211" s="2" t="s">
        <v>588</v>
      </c>
      <c r="O211" s="2" t="s">
        <v>587</v>
      </c>
      <c r="P211" s="2" t="s">
        <v>26</v>
      </c>
      <c r="Q211" s="2" t="s">
        <v>588</v>
      </c>
      <c r="R211" s="2"/>
      <c r="S211" s="2" t="s">
        <v>589</v>
      </c>
      <c r="T211" s="2"/>
      <c r="U211" s="2" t="s">
        <v>37</v>
      </c>
    </row>
    <row r="212" ht="16" customHeight="1" spans="1:21">
      <c r="A212" s="2" t="s">
        <v>590</v>
      </c>
      <c r="B212" s="2" t="s">
        <v>585</v>
      </c>
      <c r="C212" s="2" t="s">
        <v>586</v>
      </c>
      <c r="D212" s="2" t="s">
        <v>587</v>
      </c>
      <c r="E212" s="7">
        <v>0.07</v>
      </c>
      <c r="F212" s="7"/>
      <c r="H212" s="2" t="s">
        <v>32</v>
      </c>
      <c r="I212" s="2" t="s">
        <v>33</v>
      </c>
      <c r="J212" s="2" t="s">
        <v>47</v>
      </c>
      <c r="K212" s="2" t="s">
        <v>25</v>
      </c>
      <c r="L212" s="7">
        <v>0.07</v>
      </c>
      <c r="M212" s="2" t="s">
        <v>26</v>
      </c>
      <c r="N212" s="2" t="s">
        <v>588</v>
      </c>
      <c r="O212" s="2" t="s">
        <v>587</v>
      </c>
      <c r="P212" s="2" t="s">
        <v>26</v>
      </c>
      <c r="Q212" s="2" t="s">
        <v>588</v>
      </c>
      <c r="R212" s="2"/>
      <c r="S212" s="2" t="s">
        <v>589</v>
      </c>
      <c r="T212" s="2"/>
      <c r="U212" s="2" t="s">
        <v>37</v>
      </c>
    </row>
    <row r="213" ht="16" customHeight="1" spans="1:21">
      <c r="A213" s="2" t="s">
        <v>591</v>
      </c>
      <c r="B213" s="2" t="s">
        <v>585</v>
      </c>
      <c r="C213" s="2" t="s">
        <v>586</v>
      </c>
      <c r="D213" s="2" t="s">
        <v>587</v>
      </c>
      <c r="E213" s="7">
        <v>0.4</v>
      </c>
      <c r="F213" s="7"/>
      <c r="H213" s="2" t="s">
        <v>32</v>
      </c>
      <c r="I213" s="2" t="s">
        <v>33</v>
      </c>
      <c r="J213" s="2" t="s">
        <v>34</v>
      </c>
      <c r="K213" s="2" t="s">
        <v>25</v>
      </c>
      <c r="L213" s="7">
        <v>0.4</v>
      </c>
      <c r="M213" s="2" t="s">
        <v>26</v>
      </c>
      <c r="N213" s="2" t="s">
        <v>588</v>
      </c>
      <c r="O213" s="2" t="s">
        <v>587</v>
      </c>
      <c r="P213" s="2" t="s">
        <v>26</v>
      </c>
      <c r="Q213" s="2" t="s">
        <v>588</v>
      </c>
      <c r="R213" s="2"/>
      <c r="S213" s="2" t="s">
        <v>589</v>
      </c>
      <c r="T213" s="2"/>
      <c r="U213" s="2" t="s">
        <v>37</v>
      </c>
    </row>
    <row r="214" ht="16" customHeight="1" spans="1:21">
      <c r="A214" s="2" t="s">
        <v>592</v>
      </c>
      <c r="B214" s="2" t="s">
        <v>585</v>
      </c>
      <c r="C214" s="2" t="s">
        <v>586</v>
      </c>
      <c r="D214" s="2" t="s">
        <v>587</v>
      </c>
      <c r="E214" s="7">
        <v>2.49</v>
      </c>
      <c r="F214" s="7"/>
      <c r="H214" s="2" t="s">
        <v>32</v>
      </c>
      <c r="I214" s="2" t="s">
        <v>33</v>
      </c>
      <c r="J214" s="2" t="s">
        <v>39</v>
      </c>
      <c r="K214" s="2" t="s">
        <v>25</v>
      </c>
      <c r="L214" s="7">
        <v>2.49</v>
      </c>
      <c r="M214" s="2" t="s">
        <v>26</v>
      </c>
      <c r="N214" s="2" t="s">
        <v>588</v>
      </c>
      <c r="O214" s="2" t="s">
        <v>587</v>
      </c>
      <c r="P214" s="2" t="s">
        <v>26</v>
      </c>
      <c r="Q214" s="2" t="s">
        <v>588</v>
      </c>
      <c r="R214" s="2"/>
      <c r="S214" s="2" t="s">
        <v>589</v>
      </c>
      <c r="T214" s="2"/>
      <c r="U214" s="2" t="s">
        <v>37</v>
      </c>
    </row>
    <row r="215" ht="16" customHeight="1" spans="1:21">
      <c r="A215" s="2" t="s">
        <v>596</v>
      </c>
      <c r="B215" s="2" t="s">
        <v>597</v>
      </c>
      <c r="C215" s="2" t="s">
        <v>598</v>
      </c>
      <c r="D215" s="2" t="s">
        <v>599</v>
      </c>
      <c r="E215" s="7">
        <v>0.8</v>
      </c>
      <c r="F215" s="7"/>
      <c r="H215" s="2" t="s">
        <v>32</v>
      </c>
      <c r="I215" s="2" t="s">
        <v>33</v>
      </c>
      <c r="J215" s="2" t="s">
        <v>85</v>
      </c>
      <c r="K215" s="2" t="s">
        <v>25</v>
      </c>
      <c r="L215" s="7">
        <v>0.8</v>
      </c>
      <c r="M215" s="2" t="s">
        <v>26</v>
      </c>
      <c r="N215" s="2" t="s">
        <v>600</v>
      </c>
      <c r="O215" s="2" t="s">
        <v>599</v>
      </c>
      <c r="P215" s="2" t="s">
        <v>26</v>
      </c>
      <c r="Q215" s="2" t="s">
        <v>600</v>
      </c>
      <c r="R215" s="2"/>
      <c r="S215" s="2" t="s">
        <v>601</v>
      </c>
      <c r="T215" s="2"/>
      <c r="U215" s="2" t="s">
        <v>37</v>
      </c>
    </row>
    <row r="216" ht="16" customHeight="1" spans="1:21">
      <c r="A216" s="2" t="s">
        <v>602</v>
      </c>
      <c r="B216" s="2" t="s">
        <v>597</v>
      </c>
      <c r="C216" s="2" t="s">
        <v>598</v>
      </c>
      <c r="D216" s="2" t="s">
        <v>599</v>
      </c>
      <c r="E216" s="7">
        <v>0.4</v>
      </c>
      <c r="F216" s="7"/>
      <c r="H216" s="2" t="s">
        <v>32</v>
      </c>
      <c r="I216" s="2" t="s">
        <v>33</v>
      </c>
      <c r="J216" s="2" t="s">
        <v>34</v>
      </c>
      <c r="K216" s="2" t="s">
        <v>25</v>
      </c>
      <c r="L216" s="7">
        <v>0.4</v>
      </c>
      <c r="M216" s="2" t="s">
        <v>26</v>
      </c>
      <c r="N216" s="2" t="s">
        <v>600</v>
      </c>
      <c r="O216" s="2" t="s">
        <v>599</v>
      </c>
      <c r="P216" s="2" t="s">
        <v>26</v>
      </c>
      <c r="Q216" s="2" t="s">
        <v>600</v>
      </c>
      <c r="R216" s="2"/>
      <c r="S216" s="2" t="s">
        <v>601</v>
      </c>
      <c r="T216" s="2"/>
      <c r="U216" s="2" t="s">
        <v>37</v>
      </c>
    </row>
    <row r="217" ht="16" customHeight="1" spans="1:21">
      <c r="A217" s="2" t="s">
        <v>603</v>
      </c>
      <c r="B217" s="2" t="s">
        <v>597</v>
      </c>
      <c r="C217" s="2" t="s">
        <v>598</v>
      </c>
      <c r="D217" s="2" t="s">
        <v>599</v>
      </c>
      <c r="E217" s="7">
        <v>2.49</v>
      </c>
      <c r="F217" s="7"/>
      <c r="H217" s="2" t="s">
        <v>32</v>
      </c>
      <c r="I217" s="2" t="s">
        <v>33</v>
      </c>
      <c r="J217" s="2" t="s">
        <v>39</v>
      </c>
      <c r="K217" s="2" t="s">
        <v>25</v>
      </c>
      <c r="L217" s="7">
        <v>2.49</v>
      </c>
      <c r="M217" s="2" t="s">
        <v>26</v>
      </c>
      <c r="N217" s="2" t="s">
        <v>600</v>
      </c>
      <c r="O217" s="2" t="s">
        <v>599</v>
      </c>
      <c r="P217" s="2" t="s">
        <v>26</v>
      </c>
      <c r="Q217" s="2" t="s">
        <v>600</v>
      </c>
      <c r="R217" s="2"/>
      <c r="S217" s="2" t="s">
        <v>601</v>
      </c>
      <c r="T217" s="2"/>
      <c r="U217" s="2" t="s">
        <v>37</v>
      </c>
    </row>
    <row r="218" ht="16" customHeight="1" spans="1:21">
      <c r="A218" s="2" t="s">
        <v>604</v>
      </c>
      <c r="B218" s="2" t="s">
        <v>605</v>
      </c>
      <c r="C218" s="2" t="s">
        <v>606</v>
      </c>
      <c r="D218" s="2" t="s">
        <v>607</v>
      </c>
      <c r="E218" s="7">
        <v>0.8</v>
      </c>
      <c r="F218" s="7"/>
      <c r="H218" s="2" t="s">
        <v>32</v>
      </c>
      <c r="I218" s="2" t="s">
        <v>33</v>
      </c>
      <c r="J218" s="2" t="s">
        <v>85</v>
      </c>
      <c r="K218" s="2" t="s">
        <v>25</v>
      </c>
      <c r="L218" s="7">
        <v>0.8</v>
      </c>
      <c r="M218" s="2" t="s">
        <v>26</v>
      </c>
      <c r="N218" s="2" t="s">
        <v>56</v>
      </c>
      <c r="O218" s="2" t="s">
        <v>607</v>
      </c>
      <c r="P218" s="2" t="s">
        <v>26</v>
      </c>
      <c r="Q218" s="2" t="s">
        <v>56</v>
      </c>
      <c r="R218" s="2"/>
      <c r="S218" s="2" t="s">
        <v>608</v>
      </c>
      <c r="T218" s="2"/>
      <c r="U218" s="2" t="s">
        <v>37</v>
      </c>
    </row>
    <row r="219" ht="16" customHeight="1" spans="1:21">
      <c r="A219" s="2" t="s">
        <v>609</v>
      </c>
      <c r="B219" s="2" t="s">
        <v>605</v>
      </c>
      <c r="C219" s="2" t="s">
        <v>606</v>
      </c>
      <c r="D219" s="2" t="s">
        <v>607</v>
      </c>
      <c r="E219" s="7">
        <v>0.07</v>
      </c>
      <c r="F219" s="7"/>
      <c r="H219" s="2" t="s">
        <v>32</v>
      </c>
      <c r="I219" s="2" t="s">
        <v>33</v>
      </c>
      <c r="J219" s="2" t="s">
        <v>47</v>
      </c>
      <c r="K219" s="2" t="s">
        <v>25</v>
      </c>
      <c r="L219" s="7">
        <v>0.07</v>
      </c>
      <c r="M219" s="2" t="s">
        <v>26</v>
      </c>
      <c r="N219" s="2" t="s">
        <v>56</v>
      </c>
      <c r="O219" s="2" t="s">
        <v>607</v>
      </c>
      <c r="P219" s="2" t="s">
        <v>26</v>
      </c>
      <c r="Q219" s="2" t="s">
        <v>56</v>
      </c>
      <c r="R219" s="2"/>
      <c r="S219" s="2" t="s">
        <v>608</v>
      </c>
      <c r="T219" s="2"/>
      <c r="U219" s="2" t="s">
        <v>37</v>
      </c>
    </row>
    <row r="220" ht="16" customHeight="1" spans="1:21">
      <c r="A220" s="2" t="s">
        <v>610</v>
      </c>
      <c r="B220" s="2" t="s">
        <v>605</v>
      </c>
      <c r="C220" s="2" t="s">
        <v>606</v>
      </c>
      <c r="D220" s="2" t="s">
        <v>607</v>
      </c>
      <c r="E220" s="7">
        <v>0.4</v>
      </c>
      <c r="F220" s="7"/>
      <c r="H220" s="2" t="s">
        <v>32</v>
      </c>
      <c r="I220" s="2" t="s">
        <v>33</v>
      </c>
      <c r="J220" s="2" t="s">
        <v>34</v>
      </c>
      <c r="K220" s="2" t="s">
        <v>25</v>
      </c>
      <c r="L220" s="7">
        <v>0.4</v>
      </c>
      <c r="M220" s="2" t="s">
        <v>26</v>
      </c>
      <c r="N220" s="2" t="s">
        <v>56</v>
      </c>
      <c r="O220" s="2" t="s">
        <v>607</v>
      </c>
      <c r="P220" s="2" t="s">
        <v>26</v>
      </c>
      <c r="Q220" s="2" t="s">
        <v>56</v>
      </c>
      <c r="R220" s="2"/>
      <c r="S220" s="2" t="s">
        <v>608</v>
      </c>
      <c r="T220" s="2"/>
      <c r="U220" s="2" t="s">
        <v>37</v>
      </c>
    </row>
    <row r="221" ht="16" customHeight="1" spans="1:21">
      <c r="A221" s="2" t="s">
        <v>611</v>
      </c>
      <c r="B221" s="2" t="s">
        <v>605</v>
      </c>
      <c r="C221" s="2" t="s">
        <v>606</v>
      </c>
      <c r="D221" s="2" t="s">
        <v>607</v>
      </c>
      <c r="E221" s="7">
        <v>2.49</v>
      </c>
      <c r="F221" s="7"/>
      <c r="H221" s="2" t="s">
        <v>32</v>
      </c>
      <c r="I221" s="2" t="s">
        <v>33</v>
      </c>
      <c r="J221" s="2" t="s">
        <v>39</v>
      </c>
      <c r="K221" s="2" t="s">
        <v>25</v>
      </c>
      <c r="L221" s="7">
        <v>2.49</v>
      </c>
      <c r="M221" s="2" t="s">
        <v>26</v>
      </c>
      <c r="N221" s="2" t="s">
        <v>56</v>
      </c>
      <c r="O221" s="2" t="s">
        <v>607</v>
      </c>
      <c r="P221" s="2" t="s">
        <v>26</v>
      </c>
      <c r="Q221" s="2" t="s">
        <v>56</v>
      </c>
      <c r="R221" s="2"/>
      <c r="S221" s="2" t="s">
        <v>608</v>
      </c>
      <c r="T221" s="2"/>
      <c r="U221" s="2" t="s">
        <v>37</v>
      </c>
    </row>
    <row r="222" ht="16" customHeight="1" spans="1:21">
      <c r="A222" s="2" t="s">
        <v>621</v>
      </c>
      <c r="B222" s="2" t="s">
        <v>622</v>
      </c>
      <c r="C222" s="2" t="s">
        <v>623</v>
      </c>
      <c r="D222" s="2" t="s">
        <v>624</v>
      </c>
      <c r="E222" s="7">
        <v>0.07</v>
      </c>
      <c r="F222" s="7"/>
      <c r="H222" s="2" t="s">
        <v>32</v>
      </c>
      <c r="I222" s="2" t="s">
        <v>33</v>
      </c>
      <c r="J222" s="2" t="s">
        <v>47</v>
      </c>
      <c r="K222" s="2" t="s">
        <v>25</v>
      </c>
      <c r="L222" s="7">
        <v>0.07</v>
      </c>
      <c r="M222" s="2" t="s">
        <v>26</v>
      </c>
      <c r="N222" s="2" t="s">
        <v>588</v>
      </c>
      <c r="O222" s="2" t="s">
        <v>624</v>
      </c>
      <c r="P222" s="2" t="s">
        <v>26</v>
      </c>
      <c r="Q222" s="2" t="s">
        <v>588</v>
      </c>
      <c r="R222" s="2"/>
      <c r="S222" s="2" t="s">
        <v>625</v>
      </c>
      <c r="T222" s="2"/>
      <c r="U222" s="2" t="s">
        <v>37</v>
      </c>
    </row>
    <row r="223" ht="16" customHeight="1" spans="1:21">
      <c r="A223" s="2" t="s">
        <v>626</v>
      </c>
      <c r="B223" s="2" t="s">
        <v>622</v>
      </c>
      <c r="C223" s="2" t="s">
        <v>623</v>
      </c>
      <c r="D223" s="2" t="s">
        <v>624</v>
      </c>
      <c r="E223" s="7">
        <v>0.4</v>
      </c>
      <c r="F223" s="7"/>
      <c r="H223" s="2" t="s">
        <v>32</v>
      </c>
      <c r="I223" s="2" t="s">
        <v>33</v>
      </c>
      <c r="J223" s="2" t="s">
        <v>34</v>
      </c>
      <c r="K223" s="2" t="s">
        <v>25</v>
      </c>
      <c r="L223" s="7">
        <v>0.4</v>
      </c>
      <c r="M223" s="2" t="s">
        <v>26</v>
      </c>
      <c r="N223" s="2" t="s">
        <v>588</v>
      </c>
      <c r="O223" s="2" t="s">
        <v>624</v>
      </c>
      <c r="P223" s="2" t="s">
        <v>26</v>
      </c>
      <c r="Q223" s="2" t="s">
        <v>588</v>
      </c>
      <c r="R223" s="2"/>
      <c r="S223" s="2" t="s">
        <v>625</v>
      </c>
      <c r="T223" s="2"/>
      <c r="U223" s="2" t="s">
        <v>37</v>
      </c>
    </row>
    <row r="224" ht="16" customHeight="1" spans="1:21">
      <c r="A224" s="2" t="s">
        <v>627</v>
      </c>
      <c r="B224" s="2" t="s">
        <v>622</v>
      </c>
      <c r="C224" s="2" t="s">
        <v>623</v>
      </c>
      <c r="D224" s="2" t="s">
        <v>624</v>
      </c>
      <c r="E224" s="7">
        <v>2.49</v>
      </c>
      <c r="F224" s="7"/>
      <c r="H224" s="2" t="s">
        <v>32</v>
      </c>
      <c r="I224" s="2" t="s">
        <v>33</v>
      </c>
      <c r="J224" s="2" t="s">
        <v>39</v>
      </c>
      <c r="K224" s="2" t="s">
        <v>25</v>
      </c>
      <c r="L224" s="7">
        <v>2.49</v>
      </c>
      <c r="M224" s="2" t="s">
        <v>26</v>
      </c>
      <c r="N224" s="2" t="s">
        <v>588</v>
      </c>
      <c r="O224" s="2" t="s">
        <v>624</v>
      </c>
      <c r="P224" s="2" t="s">
        <v>26</v>
      </c>
      <c r="Q224" s="2" t="s">
        <v>588</v>
      </c>
      <c r="R224" s="2"/>
      <c r="S224" s="2" t="s">
        <v>625</v>
      </c>
      <c r="T224" s="2"/>
      <c r="U224" s="2" t="s">
        <v>37</v>
      </c>
    </row>
    <row r="225" ht="16" customHeight="1" spans="1:21">
      <c r="A225" s="2" t="s">
        <v>628</v>
      </c>
      <c r="B225" s="2" t="s">
        <v>629</v>
      </c>
      <c r="C225" s="2" t="s">
        <v>630</v>
      </c>
      <c r="D225" s="2" t="s">
        <v>631</v>
      </c>
      <c r="E225" s="7">
        <v>0.4</v>
      </c>
      <c r="F225" s="7"/>
      <c r="H225" s="2" t="s">
        <v>32</v>
      </c>
      <c r="I225" s="2" t="s">
        <v>33</v>
      </c>
      <c r="J225" s="2" t="s">
        <v>34</v>
      </c>
      <c r="K225" s="2" t="s">
        <v>25</v>
      </c>
      <c r="L225" s="7">
        <v>0.4</v>
      </c>
      <c r="M225" s="2" t="s">
        <v>26</v>
      </c>
      <c r="N225" s="2" t="s">
        <v>35</v>
      </c>
      <c r="O225" s="2" t="s">
        <v>631</v>
      </c>
      <c r="P225" s="2" t="s">
        <v>26</v>
      </c>
      <c r="Q225" s="2" t="s">
        <v>35</v>
      </c>
      <c r="R225" s="2"/>
      <c r="S225" s="2" t="s">
        <v>632</v>
      </c>
      <c r="T225" s="2"/>
      <c r="U225" s="2" t="s">
        <v>37</v>
      </c>
    </row>
    <row r="226" ht="16" customHeight="1" spans="1:21">
      <c r="A226" s="2" t="s">
        <v>633</v>
      </c>
      <c r="B226" s="2" t="s">
        <v>629</v>
      </c>
      <c r="C226" s="2" t="s">
        <v>630</v>
      </c>
      <c r="D226" s="2" t="s">
        <v>631</v>
      </c>
      <c r="E226" s="7">
        <v>2.49</v>
      </c>
      <c r="F226" s="7"/>
      <c r="H226" s="2" t="s">
        <v>32</v>
      </c>
      <c r="I226" s="2" t="s">
        <v>33</v>
      </c>
      <c r="J226" s="2" t="s">
        <v>39</v>
      </c>
      <c r="K226" s="2" t="s">
        <v>25</v>
      </c>
      <c r="L226" s="7">
        <v>2.49</v>
      </c>
      <c r="M226" s="2" t="s">
        <v>26</v>
      </c>
      <c r="N226" s="2" t="s">
        <v>35</v>
      </c>
      <c r="O226" s="2" t="s">
        <v>631</v>
      </c>
      <c r="P226" s="2" t="s">
        <v>26</v>
      </c>
      <c r="Q226" s="2" t="s">
        <v>35</v>
      </c>
      <c r="R226" s="2"/>
      <c r="S226" s="2" t="s">
        <v>632</v>
      </c>
      <c r="T226" s="2"/>
      <c r="U226" s="2" t="s">
        <v>37</v>
      </c>
    </row>
    <row r="227" ht="16" customHeight="1" spans="1:21">
      <c r="A227" s="2" t="s">
        <v>637</v>
      </c>
      <c r="B227" s="2" t="s">
        <v>638</v>
      </c>
      <c r="C227" s="2" t="s">
        <v>639</v>
      </c>
      <c r="D227" s="2" t="s">
        <v>640</v>
      </c>
      <c r="E227" s="7">
        <v>0.4</v>
      </c>
      <c r="F227" s="7"/>
      <c r="H227" s="2" t="s">
        <v>32</v>
      </c>
      <c r="I227" s="2" t="s">
        <v>33</v>
      </c>
      <c r="J227" s="2" t="s">
        <v>34</v>
      </c>
      <c r="K227" s="2" t="s">
        <v>25</v>
      </c>
      <c r="L227" s="7">
        <v>0.4</v>
      </c>
      <c r="M227" s="2" t="s">
        <v>26</v>
      </c>
      <c r="N227" s="2" t="s">
        <v>35</v>
      </c>
      <c r="O227" s="2" t="s">
        <v>640</v>
      </c>
      <c r="P227" s="2" t="s">
        <v>26</v>
      </c>
      <c r="Q227" s="2" t="s">
        <v>35</v>
      </c>
      <c r="R227" s="2"/>
      <c r="S227" s="2" t="s">
        <v>641</v>
      </c>
      <c r="T227" s="2"/>
      <c r="U227" s="2" t="s">
        <v>37</v>
      </c>
    </row>
    <row r="228" ht="16" customHeight="1" spans="1:21">
      <c r="A228" s="2" t="s">
        <v>642</v>
      </c>
      <c r="B228" s="2" t="s">
        <v>638</v>
      </c>
      <c r="C228" s="2" t="s">
        <v>639</v>
      </c>
      <c r="D228" s="2" t="s">
        <v>640</v>
      </c>
      <c r="E228" s="7">
        <v>2.49</v>
      </c>
      <c r="F228" s="7"/>
      <c r="H228" s="2" t="s">
        <v>32</v>
      </c>
      <c r="I228" s="2" t="s">
        <v>33</v>
      </c>
      <c r="J228" s="2" t="s">
        <v>39</v>
      </c>
      <c r="K228" s="2" t="s">
        <v>25</v>
      </c>
      <c r="L228" s="7">
        <v>2.49</v>
      </c>
      <c r="M228" s="2" t="s">
        <v>26</v>
      </c>
      <c r="N228" s="2" t="s">
        <v>35</v>
      </c>
      <c r="O228" s="2" t="s">
        <v>640</v>
      </c>
      <c r="P228" s="2" t="s">
        <v>26</v>
      </c>
      <c r="Q228" s="2" t="s">
        <v>35</v>
      </c>
      <c r="R228" s="2"/>
      <c r="S228" s="2" t="s">
        <v>641</v>
      </c>
      <c r="T228" s="2"/>
      <c r="U228" s="2" t="s">
        <v>37</v>
      </c>
    </row>
    <row r="229" ht="16" customHeight="1" spans="1:21">
      <c r="A229" s="2" t="s">
        <v>643</v>
      </c>
      <c r="B229" s="2" t="s">
        <v>644</v>
      </c>
      <c r="C229" s="2" t="s">
        <v>645</v>
      </c>
      <c r="D229" s="2" t="s">
        <v>646</v>
      </c>
      <c r="E229" s="7">
        <v>1.5</v>
      </c>
      <c r="F229" s="7"/>
      <c r="H229" s="2" t="s">
        <v>32</v>
      </c>
      <c r="I229" s="2" t="s">
        <v>33</v>
      </c>
      <c r="J229" s="2" t="s">
        <v>85</v>
      </c>
      <c r="K229" s="2" t="s">
        <v>25</v>
      </c>
      <c r="L229" s="7">
        <v>1.5</v>
      </c>
      <c r="M229" s="2" t="s">
        <v>26</v>
      </c>
      <c r="N229" s="2" t="s">
        <v>100</v>
      </c>
      <c r="O229" s="2" t="s">
        <v>646</v>
      </c>
      <c r="P229" s="2" t="s">
        <v>26</v>
      </c>
      <c r="Q229" s="2" t="s">
        <v>100</v>
      </c>
      <c r="R229" s="2"/>
      <c r="S229" s="2" t="s">
        <v>647</v>
      </c>
      <c r="T229" s="2"/>
      <c r="U229" s="2" t="s">
        <v>37</v>
      </c>
    </row>
    <row r="230" ht="16" customHeight="1" spans="1:21">
      <c r="A230" s="2" t="s">
        <v>648</v>
      </c>
      <c r="B230" s="2" t="s">
        <v>644</v>
      </c>
      <c r="C230" s="2" t="s">
        <v>645</v>
      </c>
      <c r="D230" s="2" t="s">
        <v>646</v>
      </c>
      <c r="E230" s="7">
        <v>0.07</v>
      </c>
      <c r="F230" s="7"/>
      <c r="H230" s="2" t="s">
        <v>32</v>
      </c>
      <c r="I230" s="2" t="s">
        <v>33</v>
      </c>
      <c r="J230" s="2" t="s">
        <v>47</v>
      </c>
      <c r="K230" s="2" t="s">
        <v>25</v>
      </c>
      <c r="L230" s="7">
        <v>0.07</v>
      </c>
      <c r="M230" s="2" t="s">
        <v>26</v>
      </c>
      <c r="N230" s="2" t="s">
        <v>100</v>
      </c>
      <c r="O230" s="2" t="s">
        <v>646</v>
      </c>
      <c r="P230" s="2" t="s">
        <v>26</v>
      </c>
      <c r="Q230" s="2" t="s">
        <v>100</v>
      </c>
      <c r="R230" s="2"/>
      <c r="S230" s="2" t="s">
        <v>647</v>
      </c>
      <c r="T230" s="2"/>
      <c r="U230" s="2" t="s">
        <v>37</v>
      </c>
    </row>
    <row r="231" ht="16" customHeight="1" spans="1:21">
      <c r="A231" s="2" t="s">
        <v>649</v>
      </c>
      <c r="B231" s="2" t="s">
        <v>644</v>
      </c>
      <c r="C231" s="2" t="s">
        <v>645</v>
      </c>
      <c r="D231" s="2" t="s">
        <v>646</v>
      </c>
      <c r="E231" s="7">
        <v>0.4</v>
      </c>
      <c r="F231" s="7"/>
      <c r="H231" s="2" t="s">
        <v>32</v>
      </c>
      <c r="I231" s="2" t="s">
        <v>33</v>
      </c>
      <c r="J231" s="2" t="s">
        <v>34</v>
      </c>
      <c r="K231" s="2" t="s">
        <v>25</v>
      </c>
      <c r="L231" s="7">
        <v>0.4</v>
      </c>
      <c r="M231" s="2" t="s">
        <v>26</v>
      </c>
      <c r="N231" s="2" t="s">
        <v>100</v>
      </c>
      <c r="O231" s="2" t="s">
        <v>646</v>
      </c>
      <c r="P231" s="2" t="s">
        <v>26</v>
      </c>
      <c r="Q231" s="2" t="s">
        <v>100</v>
      </c>
      <c r="R231" s="2"/>
      <c r="S231" s="2" t="s">
        <v>647</v>
      </c>
      <c r="T231" s="2"/>
      <c r="U231" s="2" t="s">
        <v>37</v>
      </c>
    </row>
    <row r="232" ht="16" customHeight="1" spans="1:21">
      <c r="A232" s="2" t="s">
        <v>650</v>
      </c>
      <c r="B232" s="2" t="s">
        <v>644</v>
      </c>
      <c r="C232" s="2" t="s">
        <v>645</v>
      </c>
      <c r="D232" s="2" t="s">
        <v>646</v>
      </c>
      <c r="E232" s="7">
        <v>2.49</v>
      </c>
      <c r="F232" s="7"/>
      <c r="H232" s="2" t="s">
        <v>32</v>
      </c>
      <c r="I232" s="2" t="s">
        <v>33</v>
      </c>
      <c r="J232" s="2" t="s">
        <v>39</v>
      </c>
      <c r="K232" s="2" t="s">
        <v>25</v>
      </c>
      <c r="L232" s="7">
        <v>2.49</v>
      </c>
      <c r="M232" s="2" t="s">
        <v>26</v>
      </c>
      <c r="N232" s="2" t="s">
        <v>100</v>
      </c>
      <c r="O232" s="2" t="s">
        <v>646</v>
      </c>
      <c r="P232" s="2" t="s">
        <v>26</v>
      </c>
      <c r="Q232" s="2" t="s">
        <v>100</v>
      </c>
      <c r="R232" s="2"/>
      <c r="S232" s="2" t="s">
        <v>647</v>
      </c>
      <c r="T232" s="2"/>
      <c r="U232" s="2" t="s">
        <v>37</v>
      </c>
    </row>
    <row r="233" ht="16" customHeight="1" spans="1:21">
      <c r="A233" s="2" t="s">
        <v>651</v>
      </c>
      <c r="B233" s="2" t="s">
        <v>652</v>
      </c>
      <c r="C233" s="2" t="s">
        <v>653</v>
      </c>
      <c r="D233" s="2" t="s">
        <v>654</v>
      </c>
      <c r="E233" s="7">
        <v>1</v>
      </c>
      <c r="F233" s="7"/>
      <c r="H233" s="2" t="s">
        <v>32</v>
      </c>
      <c r="I233" s="2" t="s">
        <v>33</v>
      </c>
      <c r="J233" s="2" t="s">
        <v>85</v>
      </c>
      <c r="K233" s="2" t="s">
        <v>25</v>
      </c>
      <c r="L233" s="7">
        <v>1</v>
      </c>
      <c r="M233" s="2" t="s">
        <v>26</v>
      </c>
      <c r="N233" s="2" t="s">
        <v>295</v>
      </c>
      <c r="O233" s="2" t="s">
        <v>654</v>
      </c>
      <c r="P233" s="2" t="s">
        <v>26</v>
      </c>
      <c r="Q233" s="2" t="s">
        <v>295</v>
      </c>
      <c r="R233" s="2"/>
      <c r="S233" s="2" t="s">
        <v>655</v>
      </c>
      <c r="T233" s="2"/>
      <c r="U233" s="2" t="s">
        <v>37</v>
      </c>
    </row>
    <row r="234" ht="16" customHeight="1" spans="1:21">
      <c r="A234" s="2" t="s">
        <v>656</v>
      </c>
      <c r="B234" s="2" t="s">
        <v>652</v>
      </c>
      <c r="C234" s="2" t="s">
        <v>653</v>
      </c>
      <c r="D234" s="2" t="s">
        <v>654</v>
      </c>
      <c r="E234" s="7">
        <v>0.4</v>
      </c>
      <c r="F234" s="7"/>
      <c r="H234" s="2" t="s">
        <v>32</v>
      </c>
      <c r="I234" s="2" t="s">
        <v>33</v>
      </c>
      <c r="J234" s="2" t="s">
        <v>34</v>
      </c>
      <c r="K234" s="2" t="s">
        <v>25</v>
      </c>
      <c r="L234" s="7">
        <v>0.4</v>
      </c>
      <c r="M234" s="2" t="s">
        <v>26</v>
      </c>
      <c r="N234" s="2" t="s">
        <v>295</v>
      </c>
      <c r="O234" s="2" t="s">
        <v>654</v>
      </c>
      <c r="P234" s="2" t="s">
        <v>26</v>
      </c>
      <c r="Q234" s="2" t="s">
        <v>295</v>
      </c>
      <c r="R234" s="2"/>
      <c r="S234" s="2" t="s">
        <v>655</v>
      </c>
      <c r="T234" s="2"/>
      <c r="U234" s="2" t="s">
        <v>37</v>
      </c>
    </row>
    <row r="235" ht="16" customHeight="1" spans="1:21">
      <c r="A235" s="2" t="s">
        <v>657</v>
      </c>
      <c r="B235" s="2" t="s">
        <v>652</v>
      </c>
      <c r="C235" s="2" t="s">
        <v>653</v>
      </c>
      <c r="D235" s="2" t="s">
        <v>654</v>
      </c>
      <c r="E235" s="7">
        <v>2.49</v>
      </c>
      <c r="F235" s="7"/>
      <c r="H235" s="2" t="s">
        <v>32</v>
      </c>
      <c r="I235" s="2" t="s">
        <v>33</v>
      </c>
      <c r="J235" s="2" t="s">
        <v>39</v>
      </c>
      <c r="K235" s="2" t="s">
        <v>25</v>
      </c>
      <c r="L235" s="7">
        <v>2.49</v>
      </c>
      <c r="M235" s="2" t="s">
        <v>26</v>
      </c>
      <c r="N235" s="2" t="s">
        <v>295</v>
      </c>
      <c r="O235" s="2" t="s">
        <v>654</v>
      </c>
      <c r="P235" s="2" t="s">
        <v>26</v>
      </c>
      <c r="Q235" s="2" t="s">
        <v>295</v>
      </c>
      <c r="R235" s="2"/>
      <c r="S235" s="2" t="s">
        <v>655</v>
      </c>
      <c r="T235" s="2"/>
      <c r="U235" s="2" t="s">
        <v>37</v>
      </c>
    </row>
    <row r="236" ht="16" customHeight="1" spans="1:21">
      <c r="A236" s="2" t="s">
        <v>661</v>
      </c>
      <c r="B236" s="2" t="s">
        <v>662</v>
      </c>
      <c r="C236" s="2" t="s">
        <v>663</v>
      </c>
      <c r="D236" s="2" t="s">
        <v>664</v>
      </c>
      <c r="E236" s="7">
        <v>1.5</v>
      </c>
      <c r="F236" s="7"/>
      <c r="H236" s="2" t="s">
        <v>32</v>
      </c>
      <c r="I236" s="2" t="s">
        <v>33</v>
      </c>
      <c r="J236" s="2" t="s">
        <v>85</v>
      </c>
      <c r="K236" s="2" t="s">
        <v>25</v>
      </c>
      <c r="L236" s="7">
        <v>1.5</v>
      </c>
      <c r="M236" s="2" t="s">
        <v>26</v>
      </c>
      <c r="N236" s="2" t="s">
        <v>100</v>
      </c>
      <c r="O236" s="2" t="s">
        <v>664</v>
      </c>
      <c r="P236" s="2" t="s">
        <v>26</v>
      </c>
      <c r="Q236" s="2" t="s">
        <v>100</v>
      </c>
      <c r="R236" s="2"/>
      <c r="S236" s="2" t="s">
        <v>665</v>
      </c>
      <c r="T236" s="2"/>
      <c r="U236" s="2" t="s">
        <v>37</v>
      </c>
    </row>
    <row r="237" ht="16" customHeight="1" spans="1:21">
      <c r="A237" s="2" t="s">
        <v>666</v>
      </c>
      <c r="B237" s="2" t="s">
        <v>662</v>
      </c>
      <c r="C237" s="2" t="s">
        <v>663</v>
      </c>
      <c r="D237" s="2" t="s">
        <v>664</v>
      </c>
      <c r="E237" s="7">
        <v>0.07</v>
      </c>
      <c r="F237" s="7"/>
      <c r="H237" s="2" t="s">
        <v>32</v>
      </c>
      <c r="I237" s="2" t="s">
        <v>33</v>
      </c>
      <c r="J237" s="2" t="s">
        <v>47</v>
      </c>
      <c r="K237" s="2" t="s">
        <v>25</v>
      </c>
      <c r="L237" s="7">
        <v>0.07</v>
      </c>
      <c r="M237" s="2" t="s">
        <v>26</v>
      </c>
      <c r="N237" s="2" t="s">
        <v>100</v>
      </c>
      <c r="O237" s="2" t="s">
        <v>664</v>
      </c>
      <c r="P237" s="2" t="s">
        <v>26</v>
      </c>
      <c r="Q237" s="2" t="s">
        <v>100</v>
      </c>
      <c r="R237" s="2"/>
      <c r="S237" s="2" t="s">
        <v>665</v>
      </c>
      <c r="T237" s="2"/>
      <c r="U237" s="2" t="s">
        <v>37</v>
      </c>
    </row>
    <row r="238" ht="16" customHeight="1" spans="1:21">
      <c r="A238" s="2" t="s">
        <v>667</v>
      </c>
      <c r="B238" s="2" t="s">
        <v>662</v>
      </c>
      <c r="C238" s="2" t="s">
        <v>663</v>
      </c>
      <c r="D238" s="2" t="s">
        <v>664</v>
      </c>
      <c r="E238" s="7">
        <v>0.4</v>
      </c>
      <c r="F238" s="7"/>
      <c r="H238" s="2" t="s">
        <v>32</v>
      </c>
      <c r="I238" s="2" t="s">
        <v>33</v>
      </c>
      <c r="J238" s="2" t="s">
        <v>34</v>
      </c>
      <c r="K238" s="2" t="s">
        <v>25</v>
      </c>
      <c r="L238" s="7">
        <v>0.4</v>
      </c>
      <c r="M238" s="2" t="s">
        <v>26</v>
      </c>
      <c r="N238" s="2" t="s">
        <v>100</v>
      </c>
      <c r="O238" s="2" t="s">
        <v>664</v>
      </c>
      <c r="P238" s="2" t="s">
        <v>26</v>
      </c>
      <c r="Q238" s="2" t="s">
        <v>100</v>
      </c>
      <c r="R238" s="2"/>
      <c r="S238" s="2" t="s">
        <v>665</v>
      </c>
      <c r="T238" s="2"/>
      <c r="U238" s="2" t="s">
        <v>37</v>
      </c>
    </row>
    <row r="239" ht="16" customHeight="1" spans="1:21">
      <c r="A239" s="2" t="s">
        <v>668</v>
      </c>
      <c r="B239" s="2" t="s">
        <v>662</v>
      </c>
      <c r="C239" s="2" t="s">
        <v>663</v>
      </c>
      <c r="D239" s="2" t="s">
        <v>664</v>
      </c>
      <c r="E239" s="7">
        <v>2.49</v>
      </c>
      <c r="F239" s="7"/>
      <c r="H239" s="2" t="s">
        <v>32</v>
      </c>
      <c r="I239" s="2" t="s">
        <v>33</v>
      </c>
      <c r="J239" s="2" t="s">
        <v>39</v>
      </c>
      <c r="K239" s="2" t="s">
        <v>25</v>
      </c>
      <c r="L239" s="7">
        <v>2.49</v>
      </c>
      <c r="M239" s="2" t="s">
        <v>26</v>
      </c>
      <c r="N239" s="2" t="s">
        <v>100</v>
      </c>
      <c r="O239" s="2" t="s">
        <v>664</v>
      </c>
      <c r="P239" s="2" t="s">
        <v>26</v>
      </c>
      <c r="Q239" s="2" t="s">
        <v>100</v>
      </c>
      <c r="R239" s="2"/>
      <c r="S239" s="2" t="s">
        <v>665</v>
      </c>
      <c r="T239" s="2"/>
      <c r="U239" s="2" t="s">
        <v>37</v>
      </c>
    </row>
    <row r="240" ht="16" customHeight="1" spans="1:21">
      <c r="A240" s="2" t="s">
        <v>669</v>
      </c>
      <c r="B240" s="2" t="s">
        <v>670</v>
      </c>
      <c r="C240" s="2" t="s">
        <v>671</v>
      </c>
      <c r="D240" s="2" t="s">
        <v>672</v>
      </c>
      <c r="E240" s="7">
        <v>0.07</v>
      </c>
      <c r="F240" s="7"/>
      <c r="H240" s="2" t="s">
        <v>32</v>
      </c>
      <c r="I240" s="2" t="s">
        <v>33</v>
      </c>
      <c r="J240" s="2" t="s">
        <v>47</v>
      </c>
      <c r="K240" s="2" t="s">
        <v>25</v>
      </c>
      <c r="L240" s="7">
        <v>0.07</v>
      </c>
      <c r="M240" s="2" t="s">
        <v>26</v>
      </c>
      <c r="N240" s="2" t="s">
        <v>48</v>
      </c>
      <c r="O240" s="2" t="s">
        <v>672</v>
      </c>
      <c r="P240" s="2" t="s">
        <v>26</v>
      </c>
      <c r="Q240" s="2" t="s">
        <v>48</v>
      </c>
      <c r="R240" s="2"/>
      <c r="S240" s="2" t="s">
        <v>673</v>
      </c>
      <c r="T240" s="2"/>
      <c r="U240" s="2" t="s">
        <v>37</v>
      </c>
    </row>
    <row r="241" ht="16" customHeight="1" spans="1:21">
      <c r="A241" s="2" t="s">
        <v>674</v>
      </c>
      <c r="B241" s="2" t="s">
        <v>670</v>
      </c>
      <c r="C241" s="2" t="s">
        <v>671</v>
      </c>
      <c r="D241" s="2" t="s">
        <v>672</v>
      </c>
      <c r="E241" s="7">
        <v>0.4</v>
      </c>
      <c r="F241" s="7"/>
      <c r="H241" s="2" t="s">
        <v>32</v>
      </c>
      <c r="I241" s="2" t="s">
        <v>33</v>
      </c>
      <c r="J241" s="2" t="s">
        <v>34</v>
      </c>
      <c r="K241" s="2" t="s">
        <v>25</v>
      </c>
      <c r="L241" s="7">
        <v>0.4</v>
      </c>
      <c r="M241" s="2" t="s">
        <v>26</v>
      </c>
      <c r="N241" s="2" t="s">
        <v>48</v>
      </c>
      <c r="O241" s="2" t="s">
        <v>672</v>
      </c>
      <c r="P241" s="2" t="s">
        <v>26</v>
      </c>
      <c r="Q241" s="2" t="s">
        <v>48</v>
      </c>
      <c r="R241" s="2"/>
      <c r="S241" s="2" t="s">
        <v>673</v>
      </c>
      <c r="T241" s="2"/>
      <c r="U241" s="2" t="s">
        <v>37</v>
      </c>
    </row>
    <row r="242" ht="16" customHeight="1" spans="1:21">
      <c r="A242" s="2" t="s">
        <v>675</v>
      </c>
      <c r="B242" s="2" t="s">
        <v>670</v>
      </c>
      <c r="C242" s="2" t="s">
        <v>671</v>
      </c>
      <c r="D242" s="2" t="s">
        <v>672</v>
      </c>
      <c r="E242" s="7">
        <v>2.49</v>
      </c>
      <c r="F242" s="7"/>
      <c r="H242" s="2" t="s">
        <v>32</v>
      </c>
      <c r="I242" s="2" t="s">
        <v>33</v>
      </c>
      <c r="J242" s="2" t="s">
        <v>39</v>
      </c>
      <c r="K242" s="2" t="s">
        <v>25</v>
      </c>
      <c r="L242" s="7">
        <v>2.49</v>
      </c>
      <c r="M242" s="2" t="s">
        <v>26</v>
      </c>
      <c r="N242" s="2" t="s">
        <v>48</v>
      </c>
      <c r="O242" s="2" t="s">
        <v>672</v>
      </c>
      <c r="P242" s="2" t="s">
        <v>26</v>
      </c>
      <c r="Q242" s="2" t="s">
        <v>48</v>
      </c>
      <c r="R242" s="2"/>
      <c r="S242" s="2" t="s">
        <v>673</v>
      </c>
      <c r="T242" s="2"/>
      <c r="U242" s="2" t="s">
        <v>37</v>
      </c>
    </row>
    <row r="243" ht="16" customHeight="1" spans="1:21">
      <c r="A243" s="2" t="s">
        <v>676</v>
      </c>
      <c r="B243" s="2" t="s">
        <v>677</v>
      </c>
      <c r="C243" s="2" t="s">
        <v>678</v>
      </c>
      <c r="D243" s="2" t="s">
        <v>679</v>
      </c>
      <c r="E243" s="7">
        <v>1.5</v>
      </c>
      <c r="F243" s="7"/>
      <c r="H243" s="2" t="s">
        <v>32</v>
      </c>
      <c r="I243" s="2" t="s">
        <v>33</v>
      </c>
      <c r="J243" s="2" t="s">
        <v>85</v>
      </c>
      <c r="K243" s="2" t="s">
        <v>25</v>
      </c>
      <c r="L243" s="7">
        <v>1.5</v>
      </c>
      <c r="M243" s="2" t="s">
        <v>26</v>
      </c>
      <c r="N243" s="2" t="s">
        <v>680</v>
      </c>
      <c r="O243" s="2" t="s">
        <v>679</v>
      </c>
      <c r="P243" s="2" t="s">
        <v>26</v>
      </c>
      <c r="Q243" s="2" t="s">
        <v>680</v>
      </c>
      <c r="R243" s="2"/>
      <c r="S243" s="2" t="s">
        <v>681</v>
      </c>
      <c r="T243" s="2"/>
      <c r="U243" s="2" t="s">
        <v>37</v>
      </c>
    </row>
    <row r="244" ht="16" customHeight="1" spans="1:21">
      <c r="A244" s="2" t="s">
        <v>682</v>
      </c>
      <c r="B244" s="2" t="s">
        <v>677</v>
      </c>
      <c r="C244" s="2" t="s">
        <v>678</v>
      </c>
      <c r="D244" s="2" t="s">
        <v>679</v>
      </c>
      <c r="E244" s="7">
        <v>0.6</v>
      </c>
      <c r="F244" s="7"/>
      <c r="H244" s="2" t="s">
        <v>32</v>
      </c>
      <c r="I244" s="2" t="s">
        <v>33</v>
      </c>
      <c r="J244" s="2" t="s">
        <v>89</v>
      </c>
      <c r="K244" s="2" t="s">
        <v>25</v>
      </c>
      <c r="L244" s="7">
        <v>0.6</v>
      </c>
      <c r="M244" s="2" t="s">
        <v>26</v>
      </c>
      <c r="N244" s="2" t="s">
        <v>680</v>
      </c>
      <c r="O244" s="2" t="s">
        <v>679</v>
      </c>
      <c r="P244" s="2" t="s">
        <v>26</v>
      </c>
      <c r="Q244" s="2" t="s">
        <v>680</v>
      </c>
      <c r="R244" s="2"/>
      <c r="S244" s="2" t="s">
        <v>681</v>
      </c>
      <c r="T244" s="2"/>
      <c r="U244" s="2" t="s">
        <v>37</v>
      </c>
    </row>
    <row r="245" ht="16" customHeight="1" spans="1:21">
      <c r="A245" s="2" t="s">
        <v>683</v>
      </c>
      <c r="B245" s="2" t="s">
        <v>677</v>
      </c>
      <c r="C245" s="2" t="s">
        <v>678</v>
      </c>
      <c r="D245" s="2" t="s">
        <v>679</v>
      </c>
      <c r="E245" s="7">
        <v>0.14</v>
      </c>
      <c r="F245" s="7"/>
      <c r="H245" s="2" t="s">
        <v>32</v>
      </c>
      <c r="I245" s="2" t="s">
        <v>33</v>
      </c>
      <c r="J245" s="2" t="s">
        <v>47</v>
      </c>
      <c r="K245" s="2" t="s">
        <v>25</v>
      </c>
      <c r="L245" s="7">
        <v>0.14</v>
      </c>
      <c r="M245" s="2" t="s">
        <v>26</v>
      </c>
      <c r="N245" s="2" t="s">
        <v>680</v>
      </c>
      <c r="O245" s="2" t="s">
        <v>679</v>
      </c>
      <c r="P245" s="2" t="s">
        <v>26</v>
      </c>
      <c r="Q245" s="2" t="s">
        <v>680</v>
      </c>
      <c r="R245" s="2"/>
      <c r="S245" s="2" t="s">
        <v>681</v>
      </c>
      <c r="T245" s="2"/>
      <c r="U245" s="2" t="s">
        <v>37</v>
      </c>
    </row>
    <row r="246" ht="16" customHeight="1" spans="1:21">
      <c r="A246" s="2" t="s">
        <v>684</v>
      </c>
      <c r="B246" s="2" t="s">
        <v>677</v>
      </c>
      <c r="C246" s="2" t="s">
        <v>678</v>
      </c>
      <c r="D246" s="2" t="s">
        <v>679</v>
      </c>
      <c r="E246" s="7">
        <v>0.4</v>
      </c>
      <c r="F246" s="7"/>
      <c r="H246" s="2" t="s">
        <v>32</v>
      </c>
      <c r="I246" s="2" t="s">
        <v>33</v>
      </c>
      <c r="J246" s="2" t="s">
        <v>34</v>
      </c>
      <c r="K246" s="2" t="s">
        <v>25</v>
      </c>
      <c r="L246" s="7">
        <v>0.4</v>
      </c>
      <c r="M246" s="2" t="s">
        <v>26</v>
      </c>
      <c r="N246" s="2" t="s">
        <v>680</v>
      </c>
      <c r="O246" s="2" t="s">
        <v>679</v>
      </c>
      <c r="P246" s="2" t="s">
        <v>26</v>
      </c>
      <c r="Q246" s="2" t="s">
        <v>680</v>
      </c>
      <c r="R246" s="2"/>
      <c r="S246" s="2" t="s">
        <v>681</v>
      </c>
      <c r="T246" s="2"/>
      <c r="U246" s="2" t="s">
        <v>37</v>
      </c>
    </row>
    <row r="247" ht="16" customHeight="1" spans="1:21">
      <c r="A247" s="2" t="s">
        <v>685</v>
      </c>
      <c r="B247" s="2" t="s">
        <v>677</v>
      </c>
      <c r="C247" s="2" t="s">
        <v>678</v>
      </c>
      <c r="D247" s="2" t="s">
        <v>679</v>
      </c>
      <c r="E247" s="7">
        <v>2.86</v>
      </c>
      <c r="F247" s="7"/>
      <c r="H247" s="2" t="s">
        <v>32</v>
      </c>
      <c r="I247" s="2" t="s">
        <v>33</v>
      </c>
      <c r="J247" s="2" t="s">
        <v>39</v>
      </c>
      <c r="K247" s="2" t="s">
        <v>25</v>
      </c>
      <c r="L247" s="7">
        <v>2.86</v>
      </c>
      <c r="M247" s="2" t="s">
        <v>26</v>
      </c>
      <c r="N247" s="2" t="s">
        <v>680</v>
      </c>
      <c r="O247" s="2" t="s">
        <v>679</v>
      </c>
      <c r="P247" s="2" t="s">
        <v>26</v>
      </c>
      <c r="Q247" s="2" t="s">
        <v>680</v>
      </c>
      <c r="R247" s="2"/>
      <c r="S247" s="2" t="s">
        <v>681</v>
      </c>
      <c r="T247" s="2"/>
      <c r="U247" s="2" t="s">
        <v>37</v>
      </c>
    </row>
    <row r="248" ht="16" customHeight="1" spans="1:21">
      <c r="A248" s="2" t="s">
        <v>689</v>
      </c>
      <c r="B248" s="2" t="s">
        <v>690</v>
      </c>
      <c r="C248" s="2" t="s">
        <v>691</v>
      </c>
      <c r="D248" s="2" t="s">
        <v>692</v>
      </c>
      <c r="E248" s="7">
        <v>1.5</v>
      </c>
      <c r="F248" s="7"/>
      <c r="H248" s="2" t="s">
        <v>32</v>
      </c>
      <c r="I248" s="2" t="s">
        <v>33</v>
      </c>
      <c r="J248" s="2" t="s">
        <v>85</v>
      </c>
      <c r="K248" s="2" t="s">
        <v>25</v>
      </c>
      <c r="L248" s="7">
        <v>1.5</v>
      </c>
      <c r="M248" s="2" t="s">
        <v>26</v>
      </c>
      <c r="N248" s="2" t="s">
        <v>100</v>
      </c>
      <c r="O248" s="2" t="s">
        <v>692</v>
      </c>
      <c r="P248" s="2" t="s">
        <v>26</v>
      </c>
      <c r="Q248" s="2" t="s">
        <v>100</v>
      </c>
      <c r="R248" s="2"/>
      <c r="S248" s="2" t="s">
        <v>693</v>
      </c>
      <c r="T248" s="2"/>
      <c r="U248" s="2" t="s">
        <v>37</v>
      </c>
    </row>
    <row r="249" ht="16" customHeight="1" spans="1:21">
      <c r="A249" s="2" t="s">
        <v>694</v>
      </c>
      <c r="B249" s="2" t="s">
        <v>690</v>
      </c>
      <c r="C249" s="2" t="s">
        <v>691</v>
      </c>
      <c r="D249" s="2" t="s">
        <v>692</v>
      </c>
      <c r="E249" s="7">
        <v>0.07</v>
      </c>
      <c r="F249" s="7"/>
      <c r="H249" s="2" t="s">
        <v>32</v>
      </c>
      <c r="I249" s="2" t="s">
        <v>33</v>
      </c>
      <c r="J249" s="2" t="s">
        <v>47</v>
      </c>
      <c r="K249" s="2" t="s">
        <v>25</v>
      </c>
      <c r="L249" s="7">
        <v>0.07</v>
      </c>
      <c r="M249" s="2" t="s">
        <v>26</v>
      </c>
      <c r="N249" s="2" t="s">
        <v>100</v>
      </c>
      <c r="O249" s="2" t="s">
        <v>692</v>
      </c>
      <c r="P249" s="2" t="s">
        <v>26</v>
      </c>
      <c r="Q249" s="2" t="s">
        <v>100</v>
      </c>
      <c r="R249" s="2"/>
      <c r="S249" s="2" t="s">
        <v>693</v>
      </c>
      <c r="T249" s="2"/>
      <c r="U249" s="2" t="s">
        <v>37</v>
      </c>
    </row>
    <row r="250" ht="16" customHeight="1" spans="1:21">
      <c r="A250" s="2" t="s">
        <v>695</v>
      </c>
      <c r="B250" s="2" t="s">
        <v>690</v>
      </c>
      <c r="C250" s="2" t="s">
        <v>691</v>
      </c>
      <c r="D250" s="2" t="s">
        <v>692</v>
      </c>
      <c r="E250" s="7">
        <v>0.4</v>
      </c>
      <c r="F250" s="7"/>
      <c r="H250" s="2" t="s">
        <v>32</v>
      </c>
      <c r="I250" s="2" t="s">
        <v>33</v>
      </c>
      <c r="J250" s="2" t="s">
        <v>34</v>
      </c>
      <c r="K250" s="2" t="s">
        <v>25</v>
      </c>
      <c r="L250" s="7">
        <v>0.4</v>
      </c>
      <c r="M250" s="2" t="s">
        <v>26</v>
      </c>
      <c r="N250" s="2" t="s">
        <v>100</v>
      </c>
      <c r="O250" s="2" t="s">
        <v>692</v>
      </c>
      <c r="P250" s="2" t="s">
        <v>26</v>
      </c>
      <c r="Q250" s="2" t="s">
        <v>100</v>
      </c>
      <c r="R250" s="2"/>
      <c r="S250" s="2" t="s">
        <v>693</v>
      </c>
      <c r="T250" s="2"/>
      <c r="U250" s="2" t="s">
        <v>37</v>
      </c>
    </row>
    <row r="251" ht="16" customHeight="1" spans="1:21">
      <c r="A251" s="2" t="s">
        <v>696</v>
      </c>
      <c r="B251" s="2" t="s">
        <v>690</v>
      </c>
      <c r="C251" s="2" t="s">
        <v>691</v>
      </c>
      <c r="D251" s="2" t="s">
        <v>692</v>
      </c>
      <c r="E251" s="7">
        <v>2.49</v>
      </c>
      <c r="F251" s="7"/>
      <c r="H251" s="2" t="s">
        <v>32</v>
      </c>
      <c r="I251" s="2" t="s">
        <v>33</v>
      </c>
      <c r="J251" s="2" t="s">
        <v>39</v>
      </c>
      <c r="K251" s="2" t="s">
        <v>25</v>
      </c>
      <c r="L251" s="7">
        <v>2.49</v>
      </c>
      <c r="M251" s="2" t="s">
        <v>26</v>
      </c>
      <c r="N251" s="2" t="s">
        <v>100</v>
      </c>
      <c r="O251" s="2" t="s">
        <v>692</v>
      </c>
      <c r="P251" s="2" t="s">
        <v>26</v>
      </c>
      <c r="Q251" s="2" t="s">
        <v>100</v>
      </c>
      <c r="R251" s="2"/>
      <c r="S251" s="2" t="s">
        <v>693</v>
      </c>
      <c r="T251" s="2"/>
      <c r="U251" s="2" t="s">
        <v>37</v>
      </c>
    </row>
    <row r="252" ht="16" customHeight="1" spans="1:21">
      <c r="A252" s="2" t="s">
        <v>697</v>
      </c>
      <c r="B252" s="2" t="s">
        <v>698</v>
      </c>
      <c r="C252" s="2" t="s">
        <v>699</v>
      </c>
      <c r="D252" s="2" t="s">
        <v>700</v>
      </c>
      <c r="E252" s="7">
        <v>1.5</v>
      </c>
      <c r="F252" s="7"/>
      <c r="H252" s="2" t="s">
        <v>32</v>
      </c>
      <c r="I252" s="2" t="s">
        <v>33</v>
      </c>
      <c r="J252" s="2" t="s">
        <v>85</v>
      </c>
      <c r="K252" s="2" t="s">
        <v>25</v>
      </c>
      <c r="L252" s="7">
        <v>1.5</v>
      </c>
      <c r="M252" s="2" t="s">
        <v>26</v>
      </c>
      <c r="N252" s="2" t="s">
        <v>100</v>
      </c>
      <c r="O252" s="2" t="s">
        <v>700</v>
      </c>
      <c r="P252" s="2" t="s">
        <v>26</v>
      </c>
      <c r="Q252" s="2" t="s">
        <v>100</v>
      </c>
      <c r="R252" s="2"/>
      <c r="S252" s="2" t="s">
        <v>701</v>
      </c>
      <c r="T252" s="2"/>
      <c r="U252" s="2" t="s">
        <v>37</v>
      </c>
    </row>
    <row r="253" ht="16" customHeight="1" spans="1:21">
      <c r="A253" s="2" t="s">
        <v>702</v>
      </c>
      <c r="B253" s="2" t="s">
        <v>698</v>
      </c>
      <c r="C253" s="2" t="s">
        <v>699</v>
      </c>
      <c r="D253" s="2" t="s">
        <v>700</v>
      </c>
      <c r="E253" s="7">
        <v>0.07</v>
      </c>
      <c r="F253" s="7"/>
      <c r="H253" s="2" t="s">
        <v>32</v>
      </c>
      <c r="I253" s="2" t="s">
        <v>33</v>
      </c>
      <c r="J253" s="2" t="s">
        <v>47</v>
      </c>
      <c r="K253" s="2" t="s">
        <v>25</v>
      </c>
      <c r="L253" s="7">
        <v>0.07</v>
      </c>
      <c r="M253" s="2" t="s">
        <v>26</v>
      </c>
      <c r="N253" s="2" t="s">
        <v>100</v>
      </c>
      <c r="O253" s="2" t="s">
        <v>700</v>
      </c>
      <c r="P253" s="2" t="s">
        <v>26</v>
      </c>
      <c r="Q253" s="2" t="s">
        <v>100</v>
      </c>
      <c r="R253" s="2"/>
      <c r="S253" s="2" t="s">
        <v>701</v>
      </c>
      <c r="T253" s="2"/>
      <c r="U253" s="2" t="s">
        <v>37</v>
      </c>
    </row>
    <row r="254" ht="16" customHeight="1" spans="1:21">
      <c r="A254" s="2" t="s">
        <v>703</v>
      </c>
      <c r="B254" s="2" t="s">
        <v>698</v>
      </c>
      <c r="C254" s="2" t="s">
        <v>699</v>
      </c>
      <c r="D254" s="2" t="s">
        <v>700</v>
      </c>
      <c r="E254" s="7">
        <v>0.4</v>
      </c>
      <c r="F254" s="7"/>
      <c r="H254" s="2" t="s">
        <v>32</v>
      </c>
      <c r="I254" s="2" t="s">
        <v>33</v>
      </c>
      <c r="J254" s="2" t="s">
        <v>34</v>
      </c>
      <c r="K254" s="2" t="s">
        <v>25</v>
      </c>
      <c r="L254" s="7">
        <v>0.4</v>
      </c>
      <c r="M254" s="2" t="s">
        <v>26</v>
      </c>
      <c r="N254" s="2" t="s">
        <v>100</v>
      </c>
      <c r="O254" s="2" t="s">
        <v>700</v>
      </c>
      <c r="P254" s="2" t="s">
        <v>26</v>
      </c>
      <c r="Q254" s="2" t="s">
        <v>100</v>
      </c>
      <c r="R254" s="2"/>
      <c r="S254" s="2" t="s">
        <v>701</v>
      </c>
      <c r="T254" s="2"/>
      <c r="U254" s="2" t="s">
        <v>37</v>
      </c>
    </row>
    <row r="255" ht="16" customHeight="1" spans="1:21">
      <c r="A255" s="2" t="s">
        <v>704</v>
      </c>
      <c r="B255" s="2" t="s">
        <v>698</v>
      </c>
      <c r="C255" s="2" t="s">
        <v>699</v>
      </c>
      <c r="D255" s="2" t="s">
        <v>700</v>
      </c>
      <c r="E255" s="7">
        <v>2.49</v>
      </c>
      <c r="F255" s="7"/>
      <c r="H255" s="2" t="s">
        <v>32</v>
      </c>
      <c r="I255" s="2" t="s">
        <v>33</v>
      </c>
      <c r="J255" s="2" t="s">
        <v>39</v>
      </c>
      <c r="K255" s="2" t="s">
        <v>25</v>
      </c>
      <c r="L255" s="7">
        <v>2.49</v>
      </c>
      <c r="M255" s="2" t="s">
        <v>26</v>
      </c>
      <c r="N255" s="2" t="s">
        <v>100</v>
      </c>
      <c r="O255" s="2" t="s">
        <v>700</v>
      </c>
      <c r="P255" s="2" t="s">
        <v>26</v>
      </c>
      <c r="Q255" s="2" t="s">
        <v>100</v>
      </c>
      <c r="R255" s="2"/>
      <c r="S255" s="2" t="s">
        <v>701</v>
      </c>
      <c r="T255" s="2"/>
      <c r="U255" s="2" t="s">
        <v>37</v>
      </c>
    </row>
    <row r="256" ht="16" customHeight="1" spans="1:21">
      <c r="A256" s="2" t="s">
        <v>705</v>
      </c>
      <c r="B256" s="2" t="s">
        <v>706</v>
      </c>
      <c r="C256" s="2" t="s">
        <v>707</v>
      </c>
      <c r="D256" s="2" t="s">
        <v>708</v>
      </c>
      <c r="E256" s="7">
        <v>0.4</v>
      </c>
      <c r="F256" s="7"/>
      <c r="H256" s="2" t="s">
        <v>32</v>
      </c>
      <c r="I256" s="2" t="s">
        <v>33</v>
      </c>
      <c r="J256" s="2" t="s">
        <v>34</v>
      </c>
      <c r="K256" s="2" t="s">
        <v>25</v>
      </c>
      <c r="L256" s="7">
        <v>0.4</v>
      </c>
      <c r="M256" s="2" t="s">
        <v>26</v>
      </c>
      <c r="N256" s="2" t="s">
        <v>192</v>
      </c>
      <c r="O256" s="2" t="s">
        <v>708</v>
      </c>
      <c r="P256" s="2" t="s">
        <v>26</v>
      </c>
      <c r="Q256" s="2" t="s">
        <v>192</v>
      </c>
      <c r="R256" s="2"/>
      <c r="S256" s="2" t="s">
        <v>709</v>
      </c>
      <c r="T256" s="2"/>
      <c r="U256" s="2" t="s">
        <v>37</v>
      </c>
    </row>
    <row r="257" ht="16" customHeight="1" spans="1:21">
      <c r="A257" s="2" t="s">
        <v>710</v>
      </c>
      <c r="B257" s="2" t="s">
        <v>706</v>
      </c>
      <c r="C257" s="2" t="s">
        <v>707</v>
      </c>
      <c r="D257" s="2" t="s">
        <v>708</v>
      </c>
      <c r="E257" s="7">
        <v>2.49</v>
      </c>
      <c r="F257" s="7"/>
      <c r="H257" s="2" t="s">
        <v>32</v>
      </c>
      <c r="I257" s="2" t="s">
        <v>33</v>
      </c>
      <c r="J257" s="2" t="s">
        <v>39</v>
      </c>
      <c r="K257" s="2" t="s">
        <v>25</v>
      </c>
      <c r="L257" s="7">
        <v>2.49</v>
      </c>
      <c r="M257" s="2" t="s">
        <v>26</v>
      </c>
      <c r="N257" s="2" t="s">
        <v>192</v>
      </c>
      <c r="O257" s="2" t="s">
        <v>708</v>
      </c>
      <c r="P257" s="2" t="s">
        <v>26</v>
      </c>
      <c r="Q257" s="2" t="s">
        <v>192</v>
      </c>
      <c r="R257" s="2"/>
      <c r="S257" s="2" t="s">
        <v>709</v>
      </c>
      <c r="T257" s="2"/>
      <c r="U257" s="2" t="s">
        <v>37</v>
      </c>
    </row>
    <row r="258" ht="16" customHeight="1" spans="1:21">
      <c r="A258" s="2" t="s">
        <v>711</v>
      </c>
      <c r="B258" s="2" t="s">
        <v>712</v>
      </c>
      <c r="C258" s="2" t="s">
        <v>713</v>
      </c>
      <c r="D258" s="2" t="s">
        <v>714</v>
      </c>
      <c r="E258" s="7">
        <v>0.4</v>
      </c>
      <c r="F258" s="7"/>
      <c r="H258" s="2" t="s">
        <v>32</v>
      </c>
      <c r="I258" s="2" t="s">
        <v>33</v>
      </c>
      <c r="J258" s="2" t="s">
        <v>34</v>
      </c>
      <c r="K258" s="2" t="s">
        <v>25</v>
      </c>
      <c r="L258" s="7">
        <v>0.4</v>
      </c>
      <c r="M258" s="2" t="s">
        <v>26</v>
      </c>
      <c r="N258" s="2" t="s">
        <v>192</v>
      </c>
      <c r="O258" s="2" t="s">
        <v>714</v>
      </c>
      <c r="P258" s="2" t="s">
        <v>26</v>
      </c>
      <c r="Q258" s="2" t="s">
        <v>192</v>
      </c>
      <c r="R258" s="2"/>
      <c r="S258" s="2" t="s">
        <v>715</v>
      </c>
      <c r="T258" s="2"/>
      <c r="U258" s="2" t="s">
        <v>37</v>
      </c>
    </row>
    <row r="259" ht="16" customHeight="1" spans="1:21">
      <c r="A259" s="2" t="s">
        <v>716</v>
      </c>
      <c r="B259" s="2" t="s">
        <v>712</v>
      </c>
      <c r="C259" s="2" t="s">
        <v>713</v>
      </c>
      <c r="D259" s="2" t="s">
        <v>714</v>
      </c>
      <c r="E259" s="7">
        <v>2.49</v>
      </c>
      <c r="F259" s="7"/>
      <c r="H259" s="2" t="s">
        <v>32</v>
      </c>
      <c r="I259" s="2" t="s">
        <v>33</v>
      </c>
      <c r="J259" s="2" t="s">
        <v>39</v>
      </c>
      <c r="K259" s="2" t="s">
        <v>25</v>
      </c>
      <c r="L259" s="7">
        <v>2.49</v>
      </c>
      <c r="M259" s="2" t="s">
        <v>26</v>
      </c>
      <c r="N259" s="2" t="s">
        <v>192</v>
      </c>
      <c r="O259" s="2" t="s">
        <v>714</v>
      </c>
      <c r="P259" s="2" t="s">
        <v>26</v>
      </c>
      <c r="Q259" s="2" t="s">
        <v>192</v>
      </c>
      <c r="R259" s="2"/>
      <c r="S259" s="2" t="s">
        <v>715</v>
      </c>
      <c r="T259" s="2"/>
      <c r="U259" s="2" t="s">
        <v>37</v>
      </c>
    </row>
    <row r="260" ht="16" customHeight="1" spans="1:21">
      <c r="A260" s="2" t="s">
        <v>720</v>
      </c>
      <c r="B260" s="2" t="s">
        <v>721</v>
      </c>
      <c r="C260" s="2" t="s">
        <v>722</v>
      </c>
      <c r="D260" s="2" t="s">
        <v>723</v>
      </c>
      <c r="E260" s="7">
        <v>1.26</v>
      </c>
      <c r="F260" s="7"/>
      <c r="H260" s="2" t="s">
        <v>32</v>
      </c>
      <c r="I260" s="2" t="s">
        <v>724</v>
      </c>
      <c r="J260" s="2" t="s">
        <v>47</v>
      </c>
      <c r="K260" s="2" t="s">
        <v>25</v>
      </c>
      <c r="L260" s="7">
        <v>1.26</v>
      </c>
      <c r="M260" s="2" t="s">
        <v>26</v>
      </c>
      <c r="N260" s="2" t="s">
        <v>725</v>
      </c>
      <c r="O260" s="2" t="s">
        <v>723</v>
      </c>
      <c r="P260" s="2" t="s">
        <v>26</v>
      </c>
      <c r="Q260" s="2" t="s">
        <v>725</v>
      </c>
      <c r="R260" s="2"/>
      <c r="S260" s="2" t="s">
        <v>726</v>
      </c>
      <c r="T260" s="2"/>
      <c r="U260" s="2" t="s">
        <v>37</v>
      </c>
    </row>
    <row r="261" ht="16" customHeight="1" spans="1:21">
      <c r="A261" s="2" t="s">
        <v>727</v>
      </c>
      <c r="B261" s="2" t="s">
        <v>721</v>
      </c>
      <c r="C261" s="2" t="s">
        <v>722</v>
      </c>
      <c r="D261" s="2" t="s">
        <v>723</v>
      </c>
      <c r="E261" s="7">
        <v>0.4</v>
      </c>
      <c r="F261" s="7"/>
      <c r="H261" s="2" t="s">
        <v>32</v>
      </c>
      <c r="I261" s="2" t="s">
        <v>724</v>
      </c>
      <c r="J261" s="2" t="s">
        <v>34</v>
      </c>
      <c r="K261" s="2" t="s">
        <v>25</v>
      </c>
      <c r="L261" s="7">
        <v>0.4</v>
      </c>
      <c r="M261" s="2" t="s">
        <v>26</v>
      </c>
      <c r="N261" s="2" t="s">
        <v>725</v>
      </c>
      <c r="O261" s="2" t="s">
        <v>723</v>
      </c>
      <c r="P261" s="2" t="s">
        <v>26</v>
      </c>
      <c r="Q261" s="2" t="s">
        <v>725</v>
      </c>
      <c r="R261" s="2"/>
      <c r="S261" s="2" t="s">
        <v>726</v>
      </c>
      <c r="T261" s="2"/>
      <c r="U261" s="2" t="s">
        <v>37</v>
      </c>
    </row>
    <row r="262" ht="16" customHeight="1" spans="1:21">
      <c r="A262" s="2" t="s">
        <v>728</v>
      </c>
      <c r="B262" s="2" t="s">
        <v>721</v>
      </c>
      <c r="C262" s="2" t="s">
        <v>722</v>
      </c>
      <c r="D262" s="2" t="s">
        <v>723</v>
      </c>
      <c r="E262" s="7">
        <v>5.55</v>
      </c>
      <c r="F262" s="7"/>
      <c r="H262" s="2" t="s">
        <v>32</v>
      </c>
      <c r="I262" s="2" t="s">
        <v>724</v>
      </c>
      <c r="J262" s="2" t="s">
        <v>39</v>
      </c>
      <c r="K262" s="2" t="s">
        <v>25</v>
      </c>
      <c r="L262" s="7">
        <v>5.55</v>
      </c>
      <c r="M262" s="2" t="s">
        <v>26</v>
      </c>
      <c r="N262" s="2" t="s">
        <v>725</v>
      </c>
      <c r="O262" s="2" t="s">
        <v>723</v>
      </c>
      <c r="P262" s="2" t="s">
        <v>26</v>
      </c>
      <c r="Q262" s="2" t="s">
        <v>725</v>
      </c>
      <c r="R262" s="2"/>
      <c r="S262" s="2" t="s">
        <v>726</v>
      </c>
      <c r="T262" s="2"/>
      <c r="U262" s="2" t="s">
        <v>37</v>
      </c>
    </row>
    <row r="263" ht="16" customHeight="1" spans="1:21">
      <c r="A263" s="2" t="s">
        <v>729</v>
      </c>
      <c r="B263" s="2" t="s">
        <v>730</v>
      </c>
      <c r="C263" s="2" t="s">
        <v>731</v>
      </c>
      <c r="D263" s="2" t="s">
        <v>732</v>
      </c>
      <c r="E263" s="7">
        <v>0.8</v>
      </c>
      <c r="F263" s="7"/>
      <c r="H263" s="2" t="s">
        <v>32</v>
      </c>
      <c r="I263" s="2" t="s">
        <v>33</v>
      </c>
      <c r="J263" s="2" t="s">
        <v>85</v>
      </c>
      <c r="K263" s="2" t="s">
        <v>25</v>
      </c>
      <c r="L263" s="7">
        <v>0.8</v>
      </c>
      <c r="M263" s="2" t="s">
        <v>26</v>
      </c>
      <c r="N263" s="2" t="s">
        <v>56</v>
      </c>
      <c r="O263" s="2" t="s">
        <v>732</v>
      </c>
      <c r="P263" s="2" t="s">
        <v>26</v>
      </c>
      <c r="Q263" s="2" t="s">
        <v>56</v>
      </c>
      <c r="R263" s="2"/>
      <c r="S263" s="2" t="s">
        <v>733</v>
      </c>
      <c r="T263" s="2"/>
      <c r="U263" s="2" t="s">
        <v>37</v>
      </c>
    </row>
    <row r="264" ht="16" customHeight="1" spans="1:21">
      <c r="A264" s="2" t="s">
        <v>734</v>
      </c>
      <c r="B264" s="2" t="s">
        <v>730</v>
      </c>
      <c r="C264" s="2" t="s">
        <v>731</v>
      </c>
      <c r="D264" s="2" t="s">
        <v>732</v>
      </c>
      <c r="E264" s="7">
        <v>0.07</v>
      </c>
      <c r="F264" s="7"/>
      <c r="H264" s="2" t="s">
        <v>32</v>
      </c>
      <c r="I264" s="2" t="s">
        <v>33</v>
      </c>
      <c r="J264" s="2" t="s">
        <v>47</v>
      </c>
      <c r="K264" s="2" t="s">
        <v>25</v>
      </c>
      <c r="L264" s="7">
        <v>0.07</v>
      </c>
      <c r="M264" s="2" t="s">
        <v>26</v>
      </c>
      <c r="N264" s="2" t="s">
        <v>56</v>
      </c>
      <c r="O264" s="2" t="s">
        <v>732</v>
      </c>
      <c r="P264" s="2" t="s">
        <v>26</v>
      </c>
      <c r="Q264" s="2" t="s">
        <v>56</v>
      </c>
      <c r="R264" s="2"/>
      <c r="S264" s="2" t="s">
        <v>733</v>
      </c>
      <c r="T264" s="2"/>
      <c r="U264" s="2" t="s">
        <v>37</v>
      </c>
    </row>
    <row r="265" ht="16" customHeight="1" spans="1:21">
      <c r="A265" s="2" t="s">
        <v>735</v>
      </c>
      <c r="B265" s="2" t="s">
        <v>730</v>
      </c>
      <c r="C265" s="2" t="s">
        <v>731</v>
      </c>
      <c r="D265" s="2" t="s">
        <v>732</v>
      </c>
      <c r="E265" s="7">
        <v>0.4</v>
      </c>
      <c r="F265" s="7"/>
      <c r="H265" s="2" t="s">
        <v>32</v>
      </c>
      <c r="I265" s="2" t="s">
        <v>33</v>
      </c>
      <c r="J265" s="2" t="s">
        <v>34</v>
      </c>
      <c r="K265" s="2" t="s">
        <v>25</v>
      </c>
      <c r="L265" s="7">
        <v>0.4</v>
      </c>
      <c r="M265" s="2" t="s">
        <v>26</v>
      </c>
      <c r="N265" s="2" t="s">
        <v>56</v>
      </c>
      <c r="O265" s="2" t="s">
        <v>732</v>
      </c>
      <c r="P265" s="2" t="s">
        <v>26</v>
      </c>
      <c r="Q265" s="2" t="s">
        <v>56</v>
      </c>
      <c r="R265" s="2"/>
      <c r="S265" s="2" t="s">
        <v>733</v>
      </c>
      <c r="T265" s="2"/>
      <c r="U265" s="2" t="s">
        <v>37</v>
      </c>
    </row>
    <row r="266" ht="16" customHeight="1" spans="1:21">
      <c r="A266" s="2" t="s">
        <v>736</v>
      </c>
      <c r="B266" s="2" t="s">
        <v>730</v>
      </c>
      <c r="C266" s="2" t="s">
        <v>731</v>
      </c>
      <c r="D266" s="2" t="s">
        <v>732</v>
      </c>
      <c r="E266" s="7">
        <v>2.49</v>
      </c>
      <c r="F266" s="7"/>
      <c r="H266" s="2" t="s">
        <v>32</v>
      </c>
      <c r="I266" s="2" t="s">
        <v>33</v>
      </c>
      <c r="J266" s="2" t="s">
        <v>39</v>
      </c>
      <c r="K266" s="2" t="s">
        <v>25</v>
      </c>
      <c r="L266" s="7">
        <v>2.49</v>
      </c>
      <c r="M266" s="2" t="s">
        <v>26</v>
      </c>
      <c r="N266" s="2" t="s">
        <v>56</v>
      </c>
      <c r="O266" s="2" t="s">
        <v>732</v>
      </c>
      <c r="P266" s="2" t="s">
        <v>26</v>
      </c>
      <c r="Q266" s="2" t="s">
        <v>56</v>
      </c>
      <c r="R266" s="2"/>
      <c r="S266" s="2" t="s">
        <v>733</v>
      </c>
      <c r="T266" s="2"/>
      <c r="U266" s="2" t="s">
        <v>37</v>
      </c>
    </row>
    <row r="267" ht="16" customHeight="1" spans="1:21">
      <c r="A267" s="2" t="s">
        <v>737</v>
      </c>
      <c r="B267" s="2" t="s">
        <v>738</v>
      </c>
      <c r="C267" s="2" t="s">
        <v>739</v>
      </c>
      <c r="D267" s="2" t="s">
        <v>740</v>
      </c>
      <c r="E267" s="7">
        <v>0.8</v>
      </c>
      <c r="F267" s="7"/>
      <c r="H267" s="2" t="s">
        <v>32</v>
      </c>
      <c r="I267" s="2" t="s">
        <v>33</v>
      </c>
      <c r="J267" s="2" t="s">
        <v>85</v>
      </c>
      <c r="K267" s="2" t="s">
        <v>25</v>
      </c>
      <c r="L267" s="7">
        <v>0.8</v>
      </c>
      <c r="M267" s="2" t="s">
        <v>26</v>
      </c>
      <c r="N267" s="2" t="s">
        <v>56</v>
      </c>
      <c r="O267" s="2" t="s">
        <v>740</v>
      </c>
      <c r="P267" s="2" t="s">
        <v>26</v>
      </c>
      <c r="Q267" s="2" t="s">
        <v>56</v>
      </c>
      <c r="R267" s="2"/>
      <c r="S267" s="2" t="s">
        <v>741</v>
      </c>
      <c r="T267" s="2"/>
      <c r="U267" s="2" t="s">
        <v>37</v>
      </c>
    </row>
    <row r="268" ht="16" customHeight="1" spans="1:21">
      <c r="A268" s="2" t="s">
        <v>742</v>
      </c>
      <c r="B268" s="2" t="s">
        <v>738</v>
      </c>
      <c r="C268" s="2" t="s">
        <v>739</v>
      </c>
      <c r="D268" s="2" t="s">
        <v>740</v>
      </c>
      <c r="E268" s="7">
        <v>0.07</v>
      </c>
      <c r="F268" s="7"/>
      <c r="H268" s="2" t="s">
        <v>32</v>
      </c>
      <c r="I268" s="2" t="s">
        <v>33</v>
      </c>
      <c r="J268" s="2" t="s">
        <v>47</v>
      </c>
      <c r="K268" s="2" t="s">
        <v>25</v>
      </c>
      <c r="L268" s="7">
        <v>0.07</v>
      </c>
      <c r="M268" s="2" t="s">
        <v>26</v>
      </c>
      <c r="N268" s="2" t="s">
        <v>56</v>
      </c>
      <c r="O268" s="2" t="s">
        <v>740</v>
      </c>
      <c r="P268" s="2" t="s">
        <v>26</v>
      </c>
      <c r="Q268" s="2" t="s">
        <v>56</v>
      </c>
      <c r="R268" s="2"/>
      <c r="S268" s="2" t="s">
        <v>741</v>
      </c>
      <c r="T268" s="2"/>
      <c r="U268" s="2" t="s">
        <v>37</v>
      </c>
    </row>
    <row r="269" ht="16" customHeight="1" spans="1:21">
      <c r="A269" s="2" t="s">
        <v>743</v>
      </c>
      <c r="B269" s="2" t="s">
        <v>738</v>
      </c>
      <c r="C269" s="2" t="s">
        <v>739</v>
      </c>
      <c r="D269" s="2" t="s">
        <v>740</v>
      </c>
      <c r="E269" s="7">
        <v>0.4</v>
      </c>
      <c r="F269" s="7"/>
      <c r="H269" s="2" t="s">
        <v>32</v>
      </c>
      <c r="I269" s="2" t="s">
        <v>33</v>
      </c>
      <c r="J269" s="2" t="s">
        <v>34</v>
      </c>
      <c r="K269" s="2" t="s">
        <v>25</v>
      </c>
      <c r="L269" s="7">
        <v>0.4</v>
      </c>
      <c r="M269" s="2" t="s">
        <v>26</v>
      </c>
      <c r="N269" s="2" t="s">
        <v>56</v>
      </c>
      <c r="O269" s="2" t="s">
        <v>740</v>
      </c>
      <c r="P269" s="2" t="s">
        <v>26</v>
      </c>
      <c r="Q269" s="2" t="s">
        <v>56</v>
      </c>
      <c r="R269" s="2"/>
      <c r="S269" s="2" t="s">
        <v>741</v>
      </c>
      <c r="T269" s="2"/>
      <c r="U269" s="2" t="s">
        <v>37</v>
      </c>
    </row>
    <row r="270" ht="16" customHeight="1" spans="1:21">
      <c r="A270" s="2" t="s">
        <v>744</v>
      </c>
      <c r="B270" s="2" t="s">
        <v>738</v>
      </c>
      <c r="C270" s="2" t="s">
        <v>739</v>
      </c>
      <c r="D270" s="2" t="s">
        <v>740</v>
      </c>
      <c r="E270" s="7">
        <v>2.49</v>
      </c>
      <c r="F270" s="7"/>
      <c r="H270" s="2" t="s">
        <v>32</v>
      </c>
      <c r="I270" s="2" t="s">
        <v>33</v>
      </c>
      <c r="J270" s="2" t="s">
        <v>39</v>
      </c>
      <c r="K270" s="2" t="s">
        <v>25</v>
      </c>
      <c r="L270" s="7">
        <v>2.49</v>
      </c>
      <c r="M270" s="2" t="s">
        <v>26</v>
      </c>
      <c r="N270" s="2" t="s">
        <v>56</v>
      </c>
      <c r="O270" s="2" t="s">
        <v>740</v>
      </c>
      <c r="P270" s="2" t="s">
        <v>26</v>
      </c>
      <c r="Q270" s="2" t="s">
        <v>56</v>
      </c>
      <c r="R270" s="2"/>
      <c r="S270" s="2" t="s">
        <v>741</v>
      </c>
      <c r="T270" s="2"/>
      <c r="U270" s="2" t="s">
        <v>37</v>
      </c>
    </row>
    <row r="271" ht="16" customHeight="1" spans="1:21">
      <c r="A271" s="2" t="s">
        <v>745</v>
      </c>
      <c r="B271" s="2" t="s">
        <v>746</v>
      </c>
      <c r="C271" s="2" t="s">
        <v>747</v>
      </c>
      <c r="D271" s="2" t="s">
        <v>748</v>
      </c>
      <c r="E271" s="7">
        <v>0.8</v>
      </c>
      <c r="F271" s="7"/>
      <c r="H271" s="2" t="s">
        <v>32</v>
      </c>
      <c r="I271" s="2" t="s">
        <v>33</v>
      </c>
      <c r="J271" s="2" t="s">
        <v>85</v>
      </c>
      <c r="K271" s="2" t="s">
        <v>25</v>
      </c>
      <c r="L271" s="7">
        <v>0.8</v>
      </c>
      <c r="M271" s="2" t="s">
        <v>26</v>
      </c>
      <c r="N271" s="2" t="s">
        <v>56</v>
      </c>
      <c r="O271" s="2" t="s">
        <v>748</v>
      </c>
      <c r="P271" s="2" t="s">
        <v>26</v>
      </c>
      <c r="Q271" s="2" t="s">
        <v>56</v>
      </c>
      <c r="R271" s="2"/>
      <c r="S271" s="2" t="s">
        <v>749</v>
      </c>
      <c r="T271" s="2"/>
      <c r="U271" s="2" t="s">
        <v>37</v>
      </c>
    </row>
    <row r="272" ht="16" customHeight="1" spans="1:21">
      <c r="A272" s="2" t="s">
        <v>750</v>
      </c>
      <c r="B272" s="2" t="s">
        <v>746</v>
      </c>
      <c r="C272" s="2" t="s">
        <v>747</v>
      </c>
      <c r="D272" s="2" t="s">
        <v>748</v>
      </c>
      <c r="E272" s="7">
        <v>0.07</v>
      </c>
      <c r="F272" s="7"/>
      <c r="H272" s="2" t="s">
        <v>32</v>
      </c>
      <c r="I272" s="2" t="s">
        <v>33</v>
      </c>
      <c r="J272" s="2" t="s">
        <v>47</v>
      </c>
      <c r="K272" s="2" t="s">
        <v>25</v>
      </c>
      <c r="L272" s="7">
        <v>0.07</v>
      </c>
      <c r="M272" s="2" t="s">
        <v>26</v>
      </c>
      <c r="N272" s="2" t="s">
        <v>56</v>
      </c>
      <c r="O272" s="2" t="s">
        <v>748</v>
      </c>
      <c r="P272" s="2" t="s">
        <v>26</v>
      </c>
      <c r="Q272" s="2" t="s">
        <v>56</v>
      </c>
      <c r="R272" s="2"/>
      <c r="S272" s="2" t="s">
        <v>749</v>
      </c>
      <c r="T272" s="2"/>
      <c r="U272" s="2" t="s">
        <v>37</v>
      </c>
    </row>
    <row r="273" ht="16" customHeight="1" spans="1:21">
      <c r="A273" s="2" t="s">
        <v>751</v>
      </c>
      <c r="B273" s="2" t="s">
        <v>746</v>
      </c>
      <c r="C273" s="2" t="s">
        <v>747</v>
      </c>
      <c r="D273" s="2" t="s">
        <v>748</v>
      </c>
      <c r="E273" s="7">
        <v>0.4</v>
      </c>
      <c r="F273" s="7"/>
      <c r="H273" s="2" t="s">
        <v>32</v>
      </c>
      <c r="I273" s="2" t="s">
        <v>33</v>
      </c>
      <c r="J273" s="2" t="s">
        <v>34</v>
      </c>
      <c r="K273" s="2" t="s">
        <v>25</v>
      </c>
      <c r="L273" s="7">
        <v>0.4</v>
      </c>
      <c r="M273" s="2" t="s">
        <v>26</v>
      </c>
      <c r="N273" s="2" t="s">
        <v>56</v>
      </c>
      <c r="O273" s="2" t="s">
        <v>748</v>
      </c>
      <c r="P273" s="2" t="s">
        <v>26</v>
      </c>
      <c r="Q273" s="2" t="s">
        <v>56</v>
      </c>
      <c r="R273" s="2"/>
      <c r="S273" s="2" t="s">
        <v>749</v>
      </c>
      <c r="T273" s="2"/>
      <c r="U273" s="2" t="s">
        <v>37</v>
      </c>
    </row>
    <row r="274" ht="16" customHeight="1" spans="1:21">
      <c r="A274" s="2" t="s">
        <v>752</v>
      </c>
      <c r="B274" s="2" t="s">
        <v>746</v>
      </c>
      <c r="C274" s="2" t="s">
        <v>747</v>
      </c>
      <c r="D274" s="2" t="s">
        <v>748</v>
      </c>
      <c r="E274" s="7">
        <v>2.49</v>
      </c>
      <c r="F274" s="7"/>
      <c r="H274" s="2" t="s">
        <v>32</v>
      </c>
      <c r="I274" s="2" t="s">
        <v>33</v>
      </c>
      <c r="J274" s="2" t="s">
        <v>39</v>
      </c>
      <c r="K274" s="2" t="s">
        <v>25</v>
      </c>
      <c r="L274" s="7">
        <v>2.49</v>
      </c>
      <c r="M274" s="2" t="s">
        <v>26</v>
      </c>
      <c r="N274" s="2" t="s">
        <v>56</v>
      </c>
      <c r="O274" s="2" t="s">
        <v>748</v>
      </c>
      <c r="P274" s="2" t="s">
        <v>26</v>
      </c>
      <c r="Q274" s="2" t="s">
        <v>56</v>
      </c>
      <c r="R274" s="2"/>
      <c r="S274" s="2" t="s">
        <v>749</v>
      </c>
      <c r="T274" s="2"/>
      <c r="U274" s="2" t="s">
        <v>37</v>
      </c>
    </row>
    <row r="275" ht="16" customHeight="1" spans="1:21">
      <c r="A275" s="2" t="s">
        <v>753</v>
      </c>
      <c r="B275" s="2" t="s">
        <v>754</v>
      </c>
      <c r="C275" s="2" t="s">
        <v>755</v>
      </c>
      <c r="D275" s="2" t="s">
        <v>756</v>
      </c>
      <c r="E275" s="7">
        <v>0.07</v>
      </c>
      <c r="F275" s="7"/>
      <c r="H275" s="2" t="s">
        <v>32</v>
      </c>
      <c r="I275" s="2" t="s">
        <v>33</v>
      </c>
      <c r="J275" s="2" t="s">
        <v>47</v>
      </c>
      <c r="K275" s="2" t="s">
        <v>25</v>
      </c>
      <c r="L275" s="7">
        <v>0.07</v>
      </c>
      <c r="M275" s="2" t="s">
        <v>26</v>
      </c>
      <c r="N275" s="2" t="s">
        <v>757</v>
      </c>
      <c r="O275" s="2" t="s">
        <v>756</v>
      </c>
      <c r="P275" s="2" t="s">
        <v>26</v>
      </c>
      <c r="Q275" s="2" t="s">
        <v>757</v>
      </c>
      <c r="R275" s="2"/>
      <c r="S275" s="2" t="s">
        <v>758</v>
      </c>
      <c r="T275" s="2"/>
      <c r="U275" s="2" t="s">
        <v>37</v>
      </c>
    </row>
    <row r="276" ht="16" customHeight="1" spans="1:21">
      <c r="A276" s="2" t="s">
        <v>759</v>
      </c>
      <c r="B276" s="2" t="s">
        <v>754</v>
      </c>
      <c r="C276" s="2" t="s">
        <v>755</v>
      </c>
      <c r="D276" s="2" t="s">
        <v>756</v>
      </c>
      <c r="E276" s="7">
        <v>0.4</v>
      </c>
      <c r="F276" s="7"/>
      <c r="H276" s="2" t="s">
        <v>32</v>
      </c>
      <c r="I276" s="2" t="s">
        <v>33</v>
      </c>
      <c r="J276" s="2" t="s">
        <v>34</v>
      </c>
      <c r="K276" s="2" t="s">
        <v>25</v>
      </c>
      <c r="L276" s="7">
        <v>0.4</v>
      </c>
      <c r="M276" s="2" t="s">
        <v>26</v>
      </c>
      <c r="N276" s="2" t="s">
        <v>757</v>
      </c>
      <c r="O276" s="2" t="s">
        <v>756</v>
      </c>
      <c r="P276" s="2" t="s">
        <v>26</v>
      </c>
      <c r="Q276" s="2" t="s">
        <v>757</v>
      </c>
      <c r="R276" s="2"/>
      <c r="S276" s="2" t="s">
        <v>758</v>
      </c>
      <c r="T276" s="2"/>
      <c r="U276" s="2" t="s">
        <v>37</v>
      </c>
    </row>
    <row r="277" ht="16" customHeight="1" spans="1:21">
      <c r="A277" s="2" t="s">
        <v>760</v>
      </c>
      <c r="B277" s="2" t="s">
        <v>754</v>
      </c>
      <c r="C277" s="2" t="s">
        <v>755</v>
      </c>
      <c r="D277" s="2" t="s">
        <v>756</v>
      </c>
      <c r="E277" s="7">
        <v>2.49</v>
      </c>
      <c r="F277" s="7"/>
      <c r="H277" s="2" t="s">
        <v>32</v>
      </c>
      <c r="I277" s="2" t="s">
        <v>33</v>
      </c>
      <c r="J277" s="2" t="s">
        <v>39</v>
      </c>
      <c r="K277" s="2" t="s">
        <v>25</v>
      </c>
      <c r="L277" s="7">
        <v>2.49</v>
      </c>
      <c r="M277" s="2" t="s">
        <v>26</v>
      </c>
      <c r="N277" s="2" t="s">
        <v>757</v>
      </c>
      <c r="O277" s="2" t="s">
        <v>756</v>
      </c>
      <c r="P277" s="2" t="s">
        <v>26</v>
      </c>
      <c r="Q277" s="2" t="s">
        <v>757</v>
      </c>
      <c r="R277" s="2"/>
      <c r="S277" s="2" t="s">
        <v>758</v>
      </c>
      <c r="T277" s="2"/>
      <c r="U277" s="2" t="s">
        <v>37</v>
      </c>
    </row>
    <row r="278" ht="16" customHeight="1" spans="1:21">
      <c r="A278" s="2" t="s">
        <v>761</v>
      </c>
      <c r="B278" s="2" t="s">
        <v>762</v>
      </c>
      <c r="C278" s="2" t="s">
        <v>763</v>
      </c>
      <c r="D278" s="2" t="s">
        <v>764</v>
      </c>
      <c r="E278" s="7">
        <v>0.4</v>
      </c>
      <c r="F278" s="7"/>
      <c r="H278" s="2" t="s">
        <v>32</v>
      </c>
      <c r="I278" s="2" t="s">
        <v>33</v>
      </c>
      <c r="J278" s="2" t="s">
        <v>34</v>
      </c>
      <c r="K278" s="2" t="s">
        <v>25</v>
      </c>
      <c r="L278" s="7">
        <v>0.4</v>
      </c>
      <c r="M278" s="2" t="s">
        <v>26</v>
      </c>
      <c r="N278" s="2" t="s">
        <v>192</v>
      </c>
      <c r="O278" s="2" t="s">
        <v>764</v>
      </c>
      <c r="P278" s="2" t="s">
        <v>26</v>
      </c>
      <c r="Q278" s="2" t="s">
        <v>192</v>
      </c>
      <c r="R278" s="2"/>
      <c r="S278" s="2" t="s">
        <v>765</v>
      </c>
      <c r="T278" s="2"/>
      <c r="U278" s="2" t="s">
        <v>37</v>
      </c>
    </row>
    <row r="279" ht="16" customHeight="1" spans="1:21">
      <c r="A279" s="2" t="s">
        <v>766</v>
      </c>
      <c r="B279" s="2" t="s">
        <v>762</v>
      </c>
      <c r="C279" s="2" t="s">
        <v>763</v>
      </c>
      <c r="D279" s="2" t="s">
        <v>764</v>
      </c>
      <c r="E279" s="7">
        <v>2.49</v>
      </c>
      <c r="F279" s="7"/>
      <c r="H279" s="2" t="s">
        <v>32</v>
      </c>
      <c r="I279" s="2" t="s">
        <v>33</v>
      </c>
      <c r="J279" s="2" t="s">
        <v>39</v>
      </c>
      <c r="K279" s="2" t="s">
        <v>25</v>
      </c>
      <c r="L279" s="7">
        <v>2.49</v>
      </c>
      <c r="M279" s="2" t="s">
        <v>26</v>
      </c>
      <c r="N279" s="2" t="s">
        <v>192</v>
      </c>
      <c r="O279" s="2" t="s">
        <v>764</v>
      </c>
      <c r="P279" s="2" t="s">
        <v>26</v>
      </c>
      <c r="Q279" s="2" t="s">
        <v>192</v>
      </c>
      <c r="R279" s="2"/>
      <c r="S279" s="2" t="s">
        <v>765</v>
      </c>
      <c r="T279" s="2"/>
      <c r="U279" s="2" t="s">
        <v>37</v>
      </c>
    </row>
    <row r="280" ht="16" customHeight="1" spans="1:21">
      <c r="A280" s="2" t="s">
        <v>776</v>
      </c>
      <c r="B280" s="2" t="s">
        <v>777</v>
      </c>
      <c r="C280" s="2" t="s">
        <v>778</v>
      </c>
      <c r="D280" s="2" t="s">
        <v>779</v>
      </c>
      <c r="E280" s="7">
        <v>0.07</v>
      </c>
      <c r="F280" s="7"/>
      <c r="H280" s="2" t="s">
        <v>32</v>
      </c>
      <c r="I280" s="2" t="s">
        <v>33</v>
      </c>
      <c r="J280" s="2" t="s">
        <v>47</v>
      </c>
      <c r="K280" s="2" t="s">
        <v>25</v>
      </c>
      <c r="L280" s="7">
        <v>0.07</v>
      </c>
      <c r="M280" s="2" t="s">
        <v>26</v>
      </c>
      <c r="N280" s="2" t="s">
        <v>757</v>
      </c>
      <c r="O280" s="2" t="s">
        <v>779</v>
      </c>
      <c r="P280" s="2" t="s">
        <v>26</v>
      </c>
      <c r="Q280" s="2" t="s">
        <v>757</v>
      </c>
      <c r="R280" s="2"/>
      <c r="S280" s="2" t="s">
        <v>780</v>
      </c>
      <c r="T280" s="2"/>
      <c r="U280" s="2" t="s">
        <v>37</v>
      </c>
    </row>
    <row r="281" ht="16" customHeight="1" spans="1:21">
      <c r="A281" s="2" t="s">
        <v>781</v>
      </c>
      <c r="B281" s="2" t="s">
        <v>777</v>
      </c>
      <c r="C281" s="2" t="s">
        <v>778</v>
      </c>
      <c r="D281" s="2" t="s">
        <v>779</v>
      </c>
      <c r="E281" s="7">
        <v>0.4</v>
      </c>
      <c r="F281" s="7"/>
      <c r="H281" s="2" t="s">
        <v>32</v>
      </c>
      <c r="I281" s="2" t="s">
        <v>33</v>
      </c>
      <c r="J281" s="2" t="s">
        <v>34</v>
      </c>
      <c r="K281" s="2" t="s">
        <v>25</v>
      </c>
      <c r="L281" s="7">
        <v>0.4</v>
      </c>
      <c r="M281" s="2" t="s">
        <v>26</v>
      </c>
      <c r="N281" s="2" t="s">
        <v>757</v>
      </c>
      <c r="O281" s="2" t="s">
        <v>779</v>
      </c>
      <c r="P281" s="2" t="s">
        <v>26</v>
      </c>
      <c r="Q281" s="2" t="s">
        <v>757</v>
      </c>
      <c r="R281" s="2"/>
      <c r="S281" s="2" t="s">
        <v>780</v>
      </c>
      <c r="T281" s="2"/>
      <c r="U281" s="2" t="s">
        <v>37</v>
      </c>
    </row>
    <row r="282" ht="16" customHeight="1" spans="1:21">
      <c r="A282" s="2" t="s">
        <v>782</v>
      </c>
      <c r="B282" s="2" t="s">
        <v>777</v>
      </c>
      <c r="C282" s="2" t="s">
        <v>778</v>
      </c>
      <c r="D282" s="2" t="s">
        <v>779</v>
      </c>
      <c r="E282" s="7">
        <v>2.49</v>
      </c>
      <c r="F282" s="7"/>
      <c r="H282" s="2" t="s">
        <v>32</v>
      </c>
      <c r="I282" s="2" t="s">
        <v>33</v>
      </c>
      <c r="J282" s="2" t="s">
        <v>39</v>
      </c>
      <c r="K282" s="2" t="s">
        <v>25</v>
      </c>
      <c r="L282" s="7">
        <v>2.49</v>
      </c>
      <c r="M282" s="2" t="s">
        <v>26</v>
      </c>
      <c r="N282" s="2" t="s">
        <v>757</v>
      </c>
      <c r="O282" s="2" t="s">
        <v>779</v>
      </c>
      <c r="P282" s="2" t="s">
        <v>26</v>
      </c>
      <c r="Q282" s="2" t="s">
        <v>757</v>
      </c>
      <c r="R282" s="2"/>
      <c r="S282" s="2" t="s">
        <v>780</v>
      </c>
      <c r="T282" s="2"/>
      <c r="U282" s="2" t="s">
        <v>37</v>
      </c>
    </row>
    <row r="283" ht="16" customHeight="1" spans="1:21">
      <c r="A283" s="2" t="s">
        <v>783</v>
      </c>
      <c r="B283" s="2" t="s">
        <v>784</v>
      </c>
      <c r="C283" s="2" t="s">
        <v>785</v>
      </c>
      <c r="D283" s="2" t="s">
        <v>786</v>
      </c>
      <c r="E283" s="7">
        <v>0.8</v>
      </c>
      <c r="F283" s="7"/>
      <c r="H283" s="2" t="s">
        <v>32</v>
      </c>
      <c r="I283" s="2" t="s">
        <v>33</v>
      </c>
      <c r="J283" s="2" t="s">
        <v>85</v>
      </c>
      <c r="K283" s="2" t="s">
        <v>25</v>
      </c>
      <c r="L283" s="7">
        <v>0.8</v>
      </c>
      <c r="M283" s="2" t="s">
        <v>26</v>
      </c>
      <c r="N283" s="2" t="s">
        <v>166</v>
      </c>
      <c r="O283" s="2" t="s">
        <v>786</v>
      </c>
      <c r="P283" s="2" t="s">
        <v>26</v>
      </c>
      <c r="Q283" s="2" t="s">
        <v>166</v>
      </c>
      <c r="R283" s="2"/>
      <c r="S283" s="2" t="s">
        <v>787</v>
      </c>
      <c r="T283" s="2"/>
      <c r="U283" s="2" t="s">
        <v>37</v>
      </c>
    </row>
    <row r="284" ht="16" customHeight="1" spans="1:21">
      <c r="A284" s="2" t="s">
        <v>788</v>
      </c>
      <c r="B284" s="2" t="s">
        <v>784</v>
      </c>
      <c r="C284" s="2" t="s">
        <v>785</v>
      </c>
      <c r="D284" s="2" t="s">
        <v>786</v>
      </c>
      <c r="E284" s="7">
        <v>0.07</v>
      </c>
      <c r="F284" s="7"/>
      <c r="H284" s="2" t="s">
        <v>32</v>
      </c>
      <c r="I284" s="2" t="s">
        <v>33</v>
      </c>
      <c r="J284" s="2" t="s">
        <v>47</v>
      </c>
      <c r="K284" s="2" t="s">
        <v>25</v>
      </c>
      <c r="L284" s="7">
        <v>0.07</v>
      </c>
      <c r="M284" s="2" t="s">
        <v>26</v>
      </c>
      <c r="N284" s="2" t="s">
        <v>166</v>
      </c>
      <c r="O284" s="2" t="s">
        <v>786</v>
      </c>
      <c r="P284" s="2" t="s">
        <v>26</v>
      </c>
      <c r="Q284" s="2" t="s">
        <v>166</v>
      </c>
      <c r="R284" s="2"/>
      <c r="S284" s="2" t="s">
        <v>787</v>
      </c>
      <c r="T284" s="2"/>
      <c r="U284" s="2" t="s">
        <v>37</v>
      </c>
    </row>
    <row r="285" ht="16" customHeight="1" spans="1:21">
      <c r="A285" s="2" t="s">
        <v>789</v>
      </c>
      <c r="B285" s="2" t="s">
        <v>784</v>
      </c>
      <c r="C285" s="2" t="s">
        <v>785</v>
      </c>
      <c r="D285" s="2" t="s">
        <v>786</v>
      </c>
      <c r="E285" s="7">
        <v>0.4</v>
      </c>
      <c r="F285" s="7"/>
      <c r="H285" s="2" t="s">
        <v>32</v>
      </c>
      <c r="I285" s="2" t="s">
        <v>33</v>
      </c>
      <c r="J285" s="2" t="s">
        <v>34</v>
      </c>
      <c r="K285" s="2" t="s">
        <v>25</v>
      </c>
      <c r="L285" s="7">
        <v>0.4</v>
      </c>
      <c r="M285" s="2" t="s">
        <v>26</v>
      </c>
      <c r="N285" s="2" t="s">
        <v>166</v>
      </c>
      <c r="O285" s="2" t="s">
        <v>786</v>
      </c>
      <c r="P285" s="2" t="s">
        <v>26</v>
      </c>
      <c r="Q285" s="2" t="s">
        <v>166</v>
      </c>
      <c r="R285" s="2"/>
      <c r="S285" s="2" t="s">
        <v>787</v>
      </c>
      <c r="T285" s="2"/>
      <c r="U285" s="2" t="s">
        <v>37</v>
      </c>
    </row>
    <row r="286" ht="16" customHeight="1" spans="1:21">
      <c r="A286" s="2" t="s">
        <v>790</v>
      </c>
      <c r="B286" s="2" t="s">
        <v>784</v>
      </c>
      <c r="C286" s="2" t="s">
        <v>785</v>
      </c>
      <c r="D286" s="2" t="s">
        <v>786</v>
      </c>
      <c r="E286" s="7">
        <v>2.49</v>
      </c>
      <c r="F286" s="7"/>
      <c r="H286" s="2" t="s">
        <v>32</v>
      </c>
      <c r="I286" s="2" t="s">
        <v>33</v>
      </c>
      <c r="J286" s="2" t="s">
        <v>39</v>
      </c>
      <c r="K286" s="2" t="s">
        <v>25</v>
      </c>
      <c r="L286" s="7">
        <v>2.49</v>
      </c>
      <c r="M286" s="2" t="s">
        <v>26</v>
      </c>
      <c r="N286" s="2" t="s">
        <v>166</v>
      </c>
      <c r="O286" s="2" t="s">
        <v>786</v>
      </c>
      <c r="P286" s="2" t="s">
        <v>26</v>
      </c>
      <c r="Q286" s="2" t="s">
        <v>166</v>
      </c>
      <c r="R286" s="2"/>
      <c r="S286" s="2" t="s">
        <v>787</v>
      </c>
      <c r="T286" s="2"/>
      <c r="U286" s="2" t="s">
        <v>37</v>
      </c>
    </row>
    <row r="287" ht="16" customHeight="1" spans="1:21">
      <c r="A287" s="2" t="s">
        <v>791</v>
      </c>
      <c r="B287" s="2" t="s">
        <v>792</v>
      </c>
      <c r="C287" s="2" t="s">
        <v>793</v>
      </c>
      <c r="D287" s="2" t="s">
        <v>794</v>
      </c>
      <c r="E287" s="7">
        <v>0.4</v>
      </c>
      <c r="F287" s="7"/>
      <c r="H287" s="2" t="s">
        <v>32</v>
      </c>
      <c r="I287" s="2" t="s">
        <v>33</v>
      </c>
      <c r="J287" s="2" t="s">
        <v>34</v>
      </c>
      <c r="K287" s="2" t="s">
        <v>25</v>
      </c>
      <c r="L287" s="7">
        <v>0.4</v>
      </c>
      <c r="M287" s="2" t="s">
        <v>26</v>
      </c>
      <c r="N287" s="2" t="s">
        <v>35</v>
      </c>
      <c r="O287" s="2" t="s">
        <v>794</v>
      </c>
      <c r="P287" s="2" t="s">
        <v>26</v>
      </c>
      <c r="Q287" s="2" t="s">
        <v>35</v>
      </c>
      <c r="R287" s="2"/>
      <c r="S287" s="2" t="s">
        <v>795</v>
      </c>
      <c r="T287" s="2"/>
      <c r="U287" s="2" t="s">
        <v>37</v>
      </c>
    </row>
    <row r="288" ht="16" customHeight="1" spans="1:21">
      <c r="A288" s="2" t="s">
        <v>796</v>
      </c>
      <c r="B288" s="2" t="s">
        <v>792</v>
      </c>
      <c r="C288" s="2" t="s">
        <v>793</v>
      </c>
      <c r="D288" s="2" t="s">
        <v>794</v>
      </c>
      <c r="E288" s="7">
        <v>2.49</v>
      </c>
      <c r="F288" s="7"/>
      <c r="H288" s="2" t="s">
        <v>32</v>
      </c>
      <c r="I288" s="2" t="s">
        <v>33</v>
      </c>
      <c r="J288" s="2" t="s">
        <v>39</v>
      </c>
      <c r="K288" s="2" t="s">
        <v>25</v>
      </c>
      <c r="L288" s="7">
        <v>2.49</v>
      </c>
      <c r="M288" s="2" t="s">
        <v>26</v>
      </c>
      <c r="N288" s="2" t="s">
        <v>35</v>
      </c>
      <c r="O288" s="2" t="s">
        <v>794</v>
      </c>
      <c r="P288" s="2" t="s">
        <v>26</v>
      </c>
      <c r="Q288" s="2" t="s">
        <v>35</v>
      </c>
      <c r="R288" s="2"/>
      <c r="S288" s="2" t="s">
        <v>795</v>
      </c>
      <c r="T288" s="2"/>
      <c r="U288" s="2" t="s">
        <v>37</v>
      </c>
    </row>
    <row r="289" ht="16" customHeight="1" spans="1:21">
      <c r="A289" s="2" t="s">
        <v>797</v>
      </c>
      <c r="B289" s="2" t="s">
        <v>798</v>
      </c>
      <c r="C289" s="2" t="s">
        <v>799</v>
      </c>
      <c r="D289" s="2" t="s">
        <v>800</v>
      </c>
      <c r="E289" s="7">
        <v>0.8</v>
      </c>
      <c r="F289" s="7"/>
      <c r="H289" s="2" t="s">
        <v>32</v>
      </c>
      <c r="I289" s="2" t="s">
        <v>33</v>
      </c>
      <c r="J289" s="2" t="s">
        <v>85</v>
      </c>
      <c r="K289" s="2" t="s">
        <v>25</v>
      </c>
      <c r="L289" s="7">
        <v>0.8</v>
      </c>
      <c r="M289" s="2" t="s">
        <v>26</v>
      </c>
      <c r="N289" s="2" t="s">
        <v>600</v>
      </c>
      <c r="O289" s="2" t="s">
        <v>800</v>
      </c>
      <c r="P289" s="2" t="s">
        <v>26</v>
      </c>
      <c r="Q289" s="2" t="s">
        <v>600</v>
      </c>
      <c r="R289" s="2"/>
      <c r="S289" s="2" t="s">
        <v>801</v>
      </c>
      <c r="T289" s="2"/>
      <c r="U289" s="2" t="s">
        <v>37</v>
      </c>
    </row>
    <row r="290" ht="16" customHeight="1" spans="1:21">
      <c r="A290" s="2" t="s">
        <v>802</v>
      </c>
      <c r="B290" s="2" t="s">
        <v>798</v>
      </c>
      <c r="C290" s="2" t="s">
        <v>799</v>
      </c>
      <c r="D290" s="2" t="s">
        <v>800</v>
      </c>
      <c r="E290" s="7">
        <v>0.4</v>
      </c>
      <c r="F290" s="7"/>
      <c r="H290" s="2" t="s">
        <v>32</v>
      </c>
      <c r="I290" s="2" t="s">
        <v>33</v>
      </c>
      <c r="J290" s="2" t="s">
        <v>34</v>
      </c>
      <c r="K290" s="2" t="s">
        <v>25</v>
      </c>
      <c r="L290" s="7">
        <v>0.4</v>
      </c>
      <c r="M290" s="2" t="s">
        <v>26</v>
      </c>
      <c r="N290" s="2" t="s">
        <v>600</v>
      </c>
      <c r="O290" s="2" t="s">
        <v>800</v>
      </c>
      <c r="P290" s="2" t="s">
        <v>26</v>
      </c>
      <c r="Q290" s="2" t="s">
        <v>600</v>
      </c>
      <c r="R290" s="2"/>
      <c r="S290" s="2" t="s">
        <v>801</v>
      </c>
      <c r="T290" s="2"/>
      <c r="U290" s="2" t="s">
        <v>37</v>
      </c>
    </row>
    <row r="291" ht="16" customHeight="1" spans="1:21">
      <c r="A291" s="2" t="s">
        <v>803</v>
      </c>
      <c r="B291" s="2" t="s">
        <v>798</v>
      </c>
      <c r="C291" s="2" t="s">
        <v>799</v>
      </c>
      <c r="D291" s="2" t="s">
        <v>800</v>
      </c>
      <c r="E291" s="7">
        <v>2.49</v>
      </c>
      <c r="F291" s="7"/>
      <c r="H291" s="2" t="s">
        <v>32</v>
      </c>
      <c r="I291" s="2" t="s">
        <v>33</v>
      </c>
      <c r="J291" s="2" t="s">
        <v>39</v>
      </c>
      <c r="K291" s="2" t="s">
        <v>25</v>
      </c>
      <c r="L291" s="7">
        <v>2.49</v>
      </c>
      <c r="M291" s="2" t="s">
        <v>26</v>
      </c>
      <c r="N291" s="2" t="s">
        <v>600</v>
      </c>
      <c r="O291" s="2" t="s">
        <v>800</v>
      </c>
      <c r="P291" s="2" t="s">
        <v>26</v>
      </c>
      <c r="Q291" s="2" t="s">
        <v>600</v>
      </c>
      <c r="R291" s="2"/>
      <c r="S291" s="2" t="s">
        <v>801</v>
      </c>
      <c r="T291" s="2"/>
      <c r="U291" s="2" t="s">
        <v>37</v>
      </c>
    </row>
    <row r="292" ht="16" customHeight="1" spans="1:21">
      <c r="A292" s="2" t="s">
        <v>804</v>
      </c>
      <c r="B292" s="2" t="s">
        <v>805</v>
      </c>
      <c r="C292" s="2" t="s">
        <v>806</v>
      </c>
      <c r="D292" s="2" t="s">
        <v>807</v>
      </c>
      <c r="E292" s="7">
        <v>0.07</v>
      </c>
      <c r="F292" s="7"/>
      <c r="H292" s="2" t="s">
        <v>32</v>
      </c>
      <c r="I292" s="2" t="s">
        <v>33</v>
      </c>
      <c r="J292" s="2" t="s">
        <v>47</v>
      </c>
      <c r="K292" s="2" t="s">
        <v>25</v>
      </c>
      <c r="L292" s="7">
        <v>0.07</v>
      </c>
      <c r="M292" s="2" t="s">
        <v>26</v>
      </c>
      <c r="N292" s="2" t="s">
        <v>316</v>
      </c>
      <c r="O292" s="2" t="s">
        <v>807</v>
      </c>
      <c r="P292" s="2" t="s">
        <v>26</v>
      </c>
      <c r="Q292" s="2" t="s">
        <v>316</v>
      </c>
      <c r="R292" s="2"/>
      <c r="S292" s="2" t="s">
        <v>808</v>
      </c>
      <c r="T292" s="2"/>
      <c r="U292" s="2" t="s">
        <v>37</v>
      </c>
    </row>
    <row r="293" ht="16" customHeight="1" spans="1:21">
      <c r="A293" s="2" t="s">
        <v>809</v>
      </c>
      <c r="B293" s="2" t="s">
        <v>805</v>
      </c>
      <c r="C293" s="2" t="s">
        <v>806</v>
      </c>
      <c r="D293" s="2" t="s">
        <v>807</v>
      </c>
      <c r="E293" s="7">
        <v>0.4</v>
      </c>
      <c r="F293" s="7"/>
      <c r="H293" s="2" t="s">
        <v>32</v>
      </c>
      <c r="I293" s="2" t="s">
        <v>33</v>
      </c>
      <c r="J293" s="2" t="s">
        <v>34</v>
      </c>
      <c r="K293" s="2" t="s">
        <v>25</v>
      </c>
      <c r="L293" s="7">
        <v>0.4</v>
      </c>
      <c r="M293" s="2" t="s">
        <v>26</v>
      </c>
      <c r="N293" s="2" t="s">
        <v>316</v>
      </c>
      <c r="O293" s="2" t="s">
        <v>807</v>
      </c>
      <c r="P293" s="2" t="s">
        <v>26</v>
      </c>
      <c r="Q293" s="2" t="s">
        <v>316</v>
      </c>
      <c r="R293" s="2"/>
      <c r="S293" s="2" t="s">
        <v>808</v>
      </c>
      <c r="T293" s="2"/>
      <c r="U293" s="2" t="s">
        <v>37</v>
      </c>
    </row>
    <row r="294" ht="16" customHeight="1" spans="1:21">
      <c r="A294" s="2" t="s">
        <v>810</v>
      </c>
      <c r="B294" s="2" t="s">
        <v>805</v>
      </c>
      <c r="C294" s="2" t="s">
        <v>806</v>
      </c>
      <c r="D294" s="2" t="s">
        <v>807</v>
      </c>
      <c r="E294" s="7">
        <v>2.49</v>
      </c>
      <c r="F294" s="7"/>
      <c r="H294" s="2" t="s">
        <v>32</v>
      </c>
      <c r="I294" s="2" t="s">
        <v>33</v>
      </c>
      <c r="J294" s="2" t="s">
        <v>39</v>
      </c>
      <c r="K294" s="2" t="s">
        <v>25</v>
      </c>
      <c r="L294" s="7">
        <v>2.49</v>
      </c>
      <c r="M294" s="2" t="s">
        <v>26</v>
      </c>
      <c r="N294" s="2" t="s">
        <v>316</v>
      </c>
      <c r="O294" s="2" t="s">
        <v>807</v>
      </c>
      <c r="P294" s="2" t="s">
        <v>26</v>
      </c>
      <c r="Q294" s="2" t="s">
        <v>316</v>
      </c>
      <c r="R294" s="2"/>
      <c r="S294" s="2" t="s">
        <v>808</v>
      </c>
      <c r="T294" s="2"/>
      <c r="U294" s="2" t="s">
        <v>37</v>
      </c>
    </row>
    <row r="295" ht="16" customHeight="1" spans="1:21">
      <c r="A295" s="2" t="s">
        <v>811</v>
      </c>
      <c r="B295" s="2" t="s">
        <v>812</v>
      </c>
      <c r="C295" s="2" t="s">
        <v>813</v>
      </c>
      <c r="D295" s="2" t="s">
        <v>814</v>
      </c>
      <c r="E295" s="7">
        <v>0.8</v>
      </c>
      <c r="F295" s="7"/>
      <c r="H295" s="2" t="s">
        <v>32</v>
      </c>
      <c r="I295" s="2" t="s">
        <v>33</v>
      </c>
      <c r="J295" s="2" t="s">
        <v>85</v>
      </c>
      <c r="K295" s="2" t="s">
        <v>25</v>
      </c>
      <c r="L295" s="7">
        <v>0.8</v>
      </c>
      <c r="M295" s="2" t="s">
        <v>26</v>
      </c>
      <c r="N295" s="2" t="s">
        <v>815</v>
      </c>
      <c r="O295" s="2" t="s">
        <v>814</v>
      </c>
      <c r="P295" s="2" t="s">
        <v>26</v>
      </c>
      <c r="Q295" s="2" t="s">
        <v>815</v>
      </c>
      <c r="R295" s="2"/>
      <c r="S295" s="2" t="s">
        <v>816</v>
      </c>
      <c r="T295" s="2"/>
      <c r="U295" s="2" t="s">
        <v>37</v>
      </c>
    </row>
    <row r="296" ht="16" customHeight="1" spans="1:21">
      <c r="A296" s="2" t="s">
        <v>817</v>
      </c>
      <c r="B296" s="2" t="s">
        <v>812</v>
      </c>
      <c r="C296" s="2" t="s">
        <v>813</v>
      </c>
      <c r="D296" s="2" t="s">
        <v>814</v>
      </c>
      <c r="E296" s="7">
        <v>0.3</v>
      </c>
      <c r="F296" s="7"/>
      <c r="H296" s="2" t="s">
        <v>32</v>
      </c>
      <c r="I296" s="2" t="s">
        <v>33</v>
      </c>
      <c r="J296" s="2" t="s">
        <v>89</v>
      </c>
      <c r="K296" s="2" t="s">
        <v>25</v>
      </c>
      <c r="L296" s="7">
        <v>0.3</v>
      </c>
      <c r="M296" s="2" t="s">
        <v>26</v>
      </c>
      <c r="N296" s="2" t="s">
        <v>815</v>
      </c>
      <c r="O296" s="2" t="s">
        <v>814</v>
      </c>
      <c r="P296" s="2" t="s">
        <v>26</v>
      </c>
      <c r="Q296" s="2" t="s">
        <v>815</v>
      </c>
      <c r="R296" s="2"/>
      <c r="S296" s="2" t="s">
        <v>816</v>
      </c>
      <c r="T296" s="2"/>
      <c r="U296" s="2" t="s">
        <v>37</v>
      </c>
    </row>
    <row r="297" ht="16" customHeight="1" spans="1:21">
      <c r="A297" s="2" t="s">
        <v>818</v>
      </c>
      <c r="B297" s="2" t="s">
        <v>812</v>
      </c>
      <c r="C297" s="2" t="s">
        <v>813</v>
      </c>
      <c r="D297" s="2" t="s">
        <v>814</v>
      </c>
      <c r="E297" s="7">
        <v>0.07</v>
      </c>
      <c r="F297" s="7"/>
      <c r="H297" s="2" t="s">
        <v>32</v>
      </c>
      <c r="I297" s="2" t="s">
        <v>33</v>
      </c>
      <c r="J297" s="2" t="s">
        <v>47</v>
      </c>
      <c r="K297" s="2" t="s">
        <v>25</v>
      </c>
      <c r="L297" s="7">
        <v>0.07</v>
      </c>
      <c r="M297" s="2" t="s">
        <v>26</v>
      </c>
      <c r="N297" s="2" t="s">
        <v>815</v>
      </c>
      <c r="O297" s="2" t="s">
        <v>814</v>
      </c>
      <c r="P297" s="2" t="s">
        <v>26</v>
      </c>
      <c r="Q297" s="2" t="s">
        <v>815</v>
      </c>
      <c r="R297" s="2"/>
      <c r="S297" s="2" t="s">
        <v>816</v>
      </c>
      <c r="T297" s="2"/>
      <c r="U297" s="2" t="s">
        <v>37</v>
      </c>
    </row>
    <row r="298" ht="16" customHeight="1" spans="1:21">
      <c r="A298" s="2" t="s">
        <v>819</v>
      </c>
      <c r="B298" s="2" t="s">
        <v>812</v>
      </c>
      <c r="C298" s="2" t="s">
        <v>813</v>
      </c>
      <c r="D298" s="2" t="s">
        <v>814</v>
      </c>
      <c r="E298" s="7">
        <v>0.4</v>
      </c>
      <c r="F298" s="7"/>
      <c r="H298" s="2" t="s">
        <v>32</v>
      </c>
      <c r="I298" s="2" t="s">
        <v>33</v>
      </c>
      <c r="J298" s="2" t="s">
        <v>34</v>
      </c>
      <c r="K298" s="2" t="s">
        <v>25</v>
      </c>
      <c r="L298" s="7">
        <v>0.4</v>
      </c>
      <c r="M298" s="2" t="s">
        <v>26</v>
      </c>
      <c r="N298" s="2" t="s">
        <v>815</v>
      </c>
      <c r="O298" s="2" t="s">
        <v>814</v>
      </c>
      <c r="P298" s="2" t="s">
        <v>26</v>
      </c>
      <c r="Q298" s="2" t="s">
        <v>815</v>
      </c>
      <c r="R298" s="2"/>
      <c r="S298" s="2" t="s">
        <v>816</v>
      </c>
      <c r="T298" s="2"/>
      <c r="U298" s="2" t="s">
        <v>37</v>
      </c>
    </row>
    <row r="299" ht="16" customHeight="1" spans="1:21">
      <c r="A299" s="2" t="s">
        <v>820</v>
      </c>
      <c r="B299" s="2" t="s">
        <v>812</v>
      </c>
      <c r="C299" s="2" t="s">
        <v>813</v>
      </c>
      <c r="D299" s="2" t="s">
        <v>814</v>
      </c>
      <c r="E299" s="7">
        <v>2.49</v>
      </c>
      <c r="F299" s="7"/>
      <c r="H299" s="2" t="s">
        <v>32</v>
      </c>
      <c r="I299" s="2" t="s">
        <v>33</v>
      </c>
      <c r="J299" s="2" t="s">
        <v>39</v>
      </c>
      <c r="K299" s="2" t="s">
        <v>25</v>
      </c>
      <c r="L299" s="7">
        <v>2.49</v>
      </c>
      <c r="M299" s="2" t="s">
        <v>26</v>
      </c>
      <c r="N299" s="2" t="s">
        <v>815</v>
      </c>
      <c r="O299" s="2" t="s">
        <v>814</v>
      </c>
      <c r="P299" s="2" t="s">
        <v>26</v>
      </c>
      <c r="Q299" s="2" t="s">
        <v>815</v>
      </c>
      <c r="R299" s="2"/>
      <c r="S299" s="2" t="s">
        <v>816</v>
      </c>
      <c r="T299" s="2"/>
      <c r="U299" s="2" t="s">
        <v>37</v>
      </c>
    </row>
    <row r="300" ht="16" customHeight="1" spans="1:21">
      <c r="A300" s="2" t="s">
        <v>824</v>
      </c>
      <c r="B300" s="2" t="s">
        <v>825</v>
      </c>
      <c r="C300" s="2" t="s">
        <v>826</v>
      </c>
      <c r="D300" s="2" t="s">
        <v>827</v>
      </c>
      <c r="E300" s="7">
        <v>1</v>
      </c>
      <c r="F300" s="7"/>
      <c r="H300" s="2" t="s">
        <v>32</v>
      </c>
      <c r="I300" s="2" t="s">
        <v>33</v>
      </c>
      <c r="J300" s="2" t="s">
        <v>85</v>
      </c>
      <c r="K300" s="2" t="s">
        <v>25</v>
      </c>
      <c r="L300" s="7">
        <v>1</v>
      </c>
      <c r="M300" s="2" t="s">
        <v>26</v>
      </c>
      <c r="N300" s="2" t="s">
        <v>828</v>
      </c>
      <c r="O300" s="2" t="s">
        <v>827</v>
      </c>
      <c r="P300" s="2" t="s">
        <v>26</v>
      </c>
      <c r="Q300" s="2" t="s">
        <v>828</v>
      </c>
      <c r="R300" s="2"/>
      <c r="S300" s="2" t="s">
        <v>829</v>
      </c>
      <c r="T300" s="2"/>
      <c r="U300" s="2" t="s">
        <v>37</v>
      </c>
    </row>
    <row r="301" ht="16" customHeight="1" spans="1:21">
      <c r="A301" s="2" t="s">
        <v>830</v>
      </c>
      <c r="B301" s="2" t="s">
        <v>825</v>
      </c>
      <c r="C301" s="2" t="s">
        <v>826</v>
      </c>
      <c r="D301" s="2" t="s">
        <v>827</v>
      </c>
      <c r="E301" s="7">
        <v>0.4</v>
      </c>
      <c r="F301" s="7"/>
      <c r="H301" s="2" t="s">
        <v>32</v>
      </c>
      <c r="I301" s="2" t="s">
        <v>33</v>
      </c>
      <c r="J301" s="2" t="s">
        <v>34</v>
      </c>
      <c r="K301" s="2" t="s">
        <v>25</v>
      </c>
      <c r="L301" s="7">
        <v>0.4</v>
      </c>
      <c r="M301" s="2" t="s">
        <v>26</v>
      </c>
      <c r="N301" s="2" t="s">
        <v>828</v>
      </c>
      <c r="O301" s="2" t="s">
        <v>827</v>
      </c>
      <c r="P301" s="2" t="s">
        <v>26</v>
      </c>
      <c r="Q301" s="2" t="s">
        <v>828</v>
      </c>
      <c r="R301" s="2"/>
      <c r="S301" s="2" t="s">
        <v>829</v>
      </c>
      <c r="T301" s="2"/>
      <c r="U301" s="2" t="s">
        <v>37</v>
      </c>
    </row>
    <row r="302" ht="16" customHeight="1" spans="1:21">
      <c r="A302" s="2" t="s">
        <v>831</v>
      </c>
      <c r="B302" s="2" t="s">
        <v>825</v>
      </c>
      <c r="C302" s="2" t="s">
        <v>826</v>
      </c>
      <c r="D302" s="2" t="s">
        <v>827</v>
      </c>
      <c r="E302" s="7">
        <v>2.49</v>
      </c>
      <c r="F302" s="7"/>
      <c r="H302" s="2" t="s">
        <v>32</v>
      </c>
      <c r="I302" s="2" t="s">
        <v>33</v>
      </c>
      <c r="J302" s="2" t="s">
        <v>39</v>
      </c>
      <c r="K302" s="2" t="s">
        <v>25</v>
      </c>
      <c r="L302" s="7">
        <v>2.49</v>
      </c>
      <c r="M302" s="2" t="s">
        <v>26</v>
      </c>
      <c r="N302" s="2" t="s">
        <v>828</v>
      </c>
      <c r="O302" s="2" t="s">
        <v>827</v>
      </c>
      <c r="P302" s="2" t="s">
        <v>26</v>
      </c>
      <c r="Q302" s="2" t="s">
        <v>828</v>
      </c>
      <c r="R302" s="2"/>
      <c r="S302" s="2" t="s">
        <v>829</v>
      </c>
      <c r="T302" s="2"/>
      <c r="U302" s="2" t="s">
        <v>37</v>
      </c>
    </row>
    <row r="303" ht="16" customHeight="1" spans="1:21">
      <c r="A303" s="2" t="s">
        <v>832</v>
      </c>
      <c r="B303" s="2" t="s">
        <v>833</v>
      </c>
      <c r="C303" s="2" t="s">
        <v>834</v>
      </c>
      <c r="D303" s="2" t="s">
        <v>835</v>
      </c>
      <c r="E303" s="7">
        <v>1.5</v>
      </c>
      <c r="F303" s="7"/>
      <c r="H303" s="2" t="s">
        <v>32</v>
      </c>
      <c r="I303" s="2" t="s">
        <v>33</v>
      </c>
      <c r="J303" s="2" t="s">
        <v>85</v>
      </c>
      <c r="K303" s="2" t="s">
        <v>25</v>
      </c>
      <c r="L303" s="7">
        <v>1.5</v>
      </c>
      <c r="M303" s="2" t="s">
        <v>26</v>
      </c>
      <c r="N303" s="2" t="s">
        <v>100</v>
      </c>
      <c r="O303" s="2" t="s">
        <v>835</v>
      </c>
      <c r="P303" s="2" t="s">
        <v>26</v>
      </c>
      <c r="Q303" s="2" t="s">
        <v>100</v>
      </c>
      <c r="R303" s="2"/>
      <c r="S303" s="2" t="s">
        <v>836</v>
      </c>
      <c r="T303" s="2"/>
      <c r="U303" s="2" t="s">
        <v>37</v>
      </c>
    </row>
    <row r="304" ht="16" customHeight="1" spans="1:21">
      <c r="A304" s="2" t="s">
        <v>837</v>
      </c>
      <c r="B304" s="2" t="s">
        <v>833</v>
      </c>
      <c r="C304" s="2" t="s">
        <v>834</v>
      </c>
      <c r="D304" s="2" t="s">
        <v>835</v>
      </c>
      <c r="E304" s="7">
        <v>0.07</v>
      </c>
      <c r="F304" s="7"/>
      <c r="H304" s="2" t="s">
        <v>32</v>
      </c>
      <c r="I304" s="2" t="s">
        <v>33</v>
      </c>
      <c r="J304" s="2" t="s">
        <v>47</v>
      </c>
      <c r="K304" s="2" t="s">
        <v>25</v>
      </c>
      <c r="L304" s="7">
        <v>0.07</v>
      </c>
      <c r="M304" s="2" t="s">
        <v>26</v>
      </c>
      <c r="N304" s="2" t="s">
        <v>100</v>
      </c>
      <c r="O304" s="2" t="s">
        <v>835</v>
      </c>
      <c r="P304" s="2" t="s">
        <v>26</v>
      </c>
      <c r="Q304" s="2" t="s">
        <v>100</v>
      </c>
      <c r="R304" s="2"/>
      <c r="S304" s="2" t="s">
        <v>836</v>
      </c>
      <c r="T304" s="2"/>
      <c r="U304" s="2" t="s">
        <v>37</v>
      </c>
    </row>
    <row r="305" ht="16" customHeight="1" spans="1:21">
      <c r="A305" s="2" t="s">
        <v>838</v>
      </c>
      <c r="B305" s="2" t="s">
        <v>833</v>
      </c>
      <c r="C305" s="2" t="s">
        <v>834</v>
      </c>
      <c r="D305" s="2" t="s">
        <v>835</v>
      </c>
      <c r="E305" s="7">
        <v>0.4</v>
      </c>
      <c r="F305" s="7"/>
      <c r="H305" s="2" t="s">
        <v>32</v>
      </c>
      <c r="I305" s="2" t="s">
        <v>33</v>
      </c>
      <c r="J305" s="2" t="s">
        <v>34</v>
      </c>
      <c r="K305" s="2" t="s">
        <v>25</v>
      </c>
      <c r="L305" s="7">
        <v>0.4</v>
      </c>
      <c r="M305" s="2" t="s">
        <v>26</v>
      </c>
      <c r="N305" s="2" t="s">
        <v>100</v>
      </c>
      <c r="O305" s="2" t="s">
        <v>835</v>
      </c>
      <c r="P305" s="2" t="s">
        <v>26</v>
      </c>
      <c r="Q305" s="2" t="s">
        <v>100</v>
      </c>
      <c r="R305" s="2"/>
      <c r="S305" s="2" t="s">
        <v>836</v>
      </c>
      <c r="T305" s="2"/>
      <c r="U305" s="2" t="s">
        <v>37</v>
      </c>
    </row>
    <row r="306" ht="16" customHeight="1" spans="1:21">
      <c r="A306" s="2" t="s">
        <v>839</v>
      </c>
      <c r="B306" s="2" t="s">
        <v>833</v>
      </c>
      <c r="C306" s="2" t="s">
        <v>834</v>
      </c>
      <c r="D306" s="2" t="s">
        <v>835</v>
      </c>
      <c r="E306" s="7">
        <v>2.49</v>
      </c>
      <c r="F306" s="7"/>
      <c r="H306" s="2" t="s">
        <v>32</v>
      </c>
      <c r="I306" s="2" t="s">
        <v>33</v>
      </c>
      <c r="J306" s="2" t="s">
        <v>39</v>
      </c>
      <c r="K306" s="2" t="s">
        <v>25</v>
      </c>
      <c r="L306" s="7">
        <v>2.49</v>
      </c>
      <c r="M306" s="2" t="s">
        <v>26</v>
      </c>
      <c r="N306" s="2" t="s">
        <v>100</v>
      </c>
      <c r="O306" s="2" t="s">
        <v>835</v>
      </c>
      <c r="P306" s="2" t="s">
        <v>26</v>
      </c>
      <c r="Q306" s="2" t="s">
        <v>100</v>
      </c>
      <c r="R306" s="2"/>
      <c r="S306" s="2" t="s">
        <v>836</v>
      </c>
      <c r="T306" s="2"/>
      <c r="U306" s="2" t="s">
        <v>37</v>
      </c>
    </row>
    <row r="308" spans="5:12">
      <c r="E308">
        <f>SUM(E2:E306)</f>
        <v>345.48</v>
      </c>
      <c r="L308">
        <f>SUM(L2:L306)</f>
        <v>345.48</v>
      </c>
    </row>
  </sheetData>
  <autoFilter xmlns:etc="http://www.wps.cn/officeDocument/2017/etCustomData" ref="A1:U306" etc:filterBottomFollowUsedRange="0"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"/>
  <sheetViews>
    <sheetView workbookViewId="0">
      <selection activeCell="B4" sqref="B4"/>
    </sheetView>
  </sheetViews>
  <sheetFormatPr defaultColWidth="9.14285714285714" defaultRowHeight="12.75" outlineLevelCol="2"/>
  <cols>
    <col min="1" max="1" width="24.8571428571429" customWidth="1"/>
    <col min="2" max="2" width="19.5714285714286" customWidth="1"/>
  </cols>
  <sheetData>
    <row r="1" spans="1:1">
      <c r="A1" s="5" t="s">
        <v>841</v>
      </c>
    </row>
    <row r="2" spans="1:3">
      <c r="A2" s="2" t="s">
        <v>31</v>
      </c>
      <c r="B2" t="e">
        <f>VLOOKUP(A2,'CostBill 一件代发费用录入'!O:Q,0,FALSE)</f>
        <v>#VALUE!</v>
      </c>
      <c r="C2" t="str">
        <f>VLOOKUP(A2,'CostBill 一件代发费用录入'!D:S,16,0)</f>
        <v>2025-01-31 01:05:48</v>
      </c>
    </row>
    <row r="3" spans="1:3">
      <c r="A3" s="2" t="s">
        <v>46</v>
      </c>
      <c r="B3" t="e">
        <f>VLOOKUP(A3,'CostBill 一件代发费用录入'!O:Q,4,0)</f>
        <v>#REF!</v>
      </c>
      <c r="C3" t="str">
        <f>VLOOKUP(A3,'CostBill 一件代发费用录入'!D:S,16,0)</f>
        <v>2025-01-29 16:57:16</v>
      </c>
    </row>
    <row r="4" spans="1:3">
      <c r="A4" s="2" t="s">
        <v>55</v>
      </c>
      <c r="B4" t="e">
        <f>VLOOKUP(A4,'CostBill 一件代发费用录入'!O:Q,4,0)</f>
        <v>#REF!</v>
      </c>
      <c r="C4" t="str">
        <f>VLOOKUP(A4,'CostBill 一件代发费用录入'!D:S,16,0)</f>
        <v>2025-01-30 11:17:05</v>
      </c>
    </row>
    <row r="5" spans="1:3">
      <c r="A5" s="2" t="s">
        <v>63</v>
      </c>
      <c r="B5" t="e">
        <f>VLOOKUP(A5,'CostBill 一件代发费用录入'!O:Q,4,0)</f>
        <v>#REF!</v>
      </c>
      <c r="C5" t="str">
        <f>VLOOKUP(A5,'CostBill 一件代发费用录入'!D:S,16,0)</f>
        <v>2025-01-30 11:17:06</v>
      </c>
    </row>
    <row r="6" spans="1:3">
      <c r="A6" s="2" t="s">
        <v>70</v>
      </c>
      <c r="B6" t="e">
        <f>VLOOKUP(A6,'CostBill 一件代发费用录入'!O:Q,4,0)</f>
        <v>#REF!</v>
      </c>
      <c r="C6" t="str">
        <f>VLOOKUP(A6,'CostBill 一件代发费用录入'!D:S,16,0)</f>
        <v>2025-01-30 11:17:04</v>
      </c>
    </row>
    <row r="7" spans="1:3">
      <c r="A7" s="2" t="s">
        <v>77</v>
      </c>
      <c r="B7" t="e">
        <f>VLOOKUP(A7,'CostBill 一件代发费用录入'!O:Q,4,0)</f>
        <v>#REF!</v>
      </c>
      <c r="C7" t="str">
        <f>VLOOKUP(A7,'CostBill 一件代发费用录入'!D:S,16,0)</f>
        <v>2025-01-29 17:57:21</v>
      </c>
    </row>
    <row r="8" spans="1:3">
      <c r="A8" s="2" t="s">
        <v>84</v>
      </c>
      <c r="B8" t="e">
        <f>VLOOKUP(A8,'CostBill 一件代发费用录入'!O:Q,4,0)</f>
        <v>#REF!</v>
      </c>
      <c r="C8" t="str">
        <f>VLOOKUP(A8,'CostBill 一件代发费用录入'!D:S,16,0)</f>
        <v>2025-01-30 10:49:08</v>
      </c>
    </row>
    <row r="9" spans="1:3">
      <c r="A9" s="2" t="s">
        <v>99</v>
      </c>
      <c r="B9" t="e">
        <f>VLOOKUP(A9,'CostBill 一件代发费用录入'!O:Q,4,0)</f>
        <v>#REF!</v>
      </c>
      <c r="C9" t="str">
        <f>VLOOKUP(A9,'CostBill 一件代发费用录入'!D:S,16,0)</f>
        <v>2025-01-26 13:27:55</v>
      </c>
    </row>
    <row r="10" spans="1:3">
      <c r="A10" s="2" t="s">
        <v>108</v>
      </c>
      <c r="B10" t="e">
        <f>VLOOKUP(A10,'CostBill 一件代发费用录入'!O:Q,4,0)</f>
        <v>#REF!</v>
      </c>
      <c r="C10" t="str">
        <f>VLOOKUP(A10,'CostBill 一件代发费用录入'!D:S,16,0)</f>
        <v>2025-01-26 13:31:38</v>
      </c>
    </row>
    <row r="11" spans="1:3">
      <c r="A11" s="2" t="s">
        <v>116</v>
      </c>
      <c r="B11" t="e">
        <f>VLOOKUP(A11,'CostBill 一件代发费用录入'!O:Q,4,0)</f>
        <v>#REF!</v>
      </c>
      <c r="C11" t="str">
        <f>VLOOKUP(A11,'CostBill 一件代发费用录入'!D:S,16,0)</f>
        <v>2025-01-29 14:51:30</v>
      </c>
    </row>
    <row r="12" spans="1:3">
      <c r="A12" s="2" t="s">
        <v>126</v>
      </c>
      <c r="B12" t="e">
        <f>VLOOKUP(A12,'CostBill 一件代发费用录入'!O:Q,4,0)</f>
        <v>#REF!</v>
      </c>
      <c r="C12" t="str">
        <f>VLOOKUP(A12,'CostBill 一件代发费用录入'!D:S,16,0)</f>
        <v>2025-01-29 14:52:13</v>
      </c>
    </row>
    <row r="13" spans="1:3">
      <c r="A13" s="2" t="s">
        <v>132</v>
      </c>
      <c r="B13" t="e">
        <f>VLOOKUP(A13,'CostBill 一件代发费用录入'!O:Q,4,0)</f>
        <v>#REF!</v>
      </c>
      <c r="C13" t="str">
        <f>VLOOKUP(A13,'CostBill 一件代发费用录入'!D:S,16,0)</f>
        <v>2025-01-29 14:51:56</v>
      </c>
    </row>
    <row r="14" spans="1:3">
      <c r="A14" s="2" t="s">
        <v>138</v>
      </c>
      <c r="B14" t="e">
        <f>VLOOKUP(A14,'CostBill 一件代发费用录入'!O:Q,4,0)</f>
        <v>#REF!</v>
      </c>
      <c r="C14" t="str">
        <f>VLOOKUP(A14,'CostBill 一件代发费用录入'!D:S,16,0)</f>
        <v>2025-01-29 14:52:00</v>
      </c>
    </row>
    <row r="15" spans="1:3">
      <c r="A15" s="2" t="s">
        <v>144</v>
      </c>
      <c r="B15" t="e">
        <f>VLOOKUP(A15,'CostBill 一件代发费用录入'!O:Q,4,0)</f>
        <v>#REF!</v>
      </c>
      <c r="C15" t="str">
        <f>VLOOKUP(A15,'CostBill 一件代发费用录入'!D:S,16,0)</f>
        <v>2025-01-29 10:27:36</v>
      </c>
    </row>
    <row r="16" spans="1:3">
      <c r="A16" s="2" t="s">
        <v>151</v>
      </c>
      <c r="B16" t="e">
        <f>VLOOKUP(A16,'CostBill 一件代发费用录入'!O:Q,4,0)</f>
        <v>#REF!</v>
      </c>
      <c r="C16" t="str">
        <f>VLOOKUP(A16,'CostBill 一件代发费用录入'!D:S,16,0)</f>
        <v>2025-01-29 10:30:55</v>
      </c>
    </row>
    <row r="17" spans="1:3">
      <c r="A17" s="2" t="s">
        <v>158</v>
      </c>
      <c r="B17" t="e">
        <f>VLOOKUP(A17,'CostBill 一件代发费用录入'!O:Q,4,0)</f>
        <v>#REF!</v>
      </c>
      <c r="C17" t="str">
        <f>VLOOKUP(A17,'CostBill 一件代发费用录入'!D:S,16,0)</f>
        <v>2025-01-29 10:27:15</v>
      </c>
    </row>
    <row r="18" spans="1:3">
      <c r="A18" s="2" t="s">
        <v>165</v>
      </c>
      <c r="B18" t="e">
        <f>VLOOKUP(A18,'CostBill 一件代发费用录入'!O:Q,4,0)</f>
        <v>#REF!</v>
      </c>
      <c r="C18" t="str">
        <f>VLOOKUP(A18,'CostBill 一件代发费用录入'!D:S,16,0)</f>
        <v>2025-01-29 14:52:17</v>
      </c>
    </row>
    <row r="19" spans="1:3">
      <c r="A19" s="2" t="s">
        <v>173</v>
      </c>
      <c r="B19" t="e">
        <f>VLOOKUP(A19,'CostBill 一件代发费用录入'!O:Q,4,0)</f>
        <v>#REF!</v>
      </c>
      <c r="C19" t="str">
        <f>VLOOKUP(A19,'CostBill 一件代发费用录入'!D:S,16,0)</f>
        <v>2025-01-28 23:31:34</v>
      </c>
    </row>
    <row r="20" spans="1:3">
      <c r="A20" s="2" t="s">
        <v>183</v>
      </c>
      <c r="B20" t="e">
        <f>VLOOKUP(A20,'CostBill 一件代发费用录入'!O:Q,4,0)</f>
        <v>#REF!</v>
      </c>
      <c r="C20" t="str">
        <f>VLOOKUP(A20,'CostBill 一件代发费用录入'!D:S,16,0)</f>
        <v>2025-01-28 16:57:33</v>
      </c>
    </row>
    <row r="21" spans="1:3">
      <c r="A21" s="2" t="s">
        <v>191</v>
      </c>
      <c r="B21" t="e">
        <f>VLOOKUP(A21,'CostBill 一件代发费用录入'!O:Q,4,0)</f>
        <v>#REF!</v>
      </c>
      <c r="C21" t="str">
        <f>VLOOKUP(A21,'CostBill 一件代发费用录入'!D:S,16,0)</f>
        <v>2025-01-28 16:57:29</v>
      </c>
    </row>
    <row r="22" spans="1:3">
      <c r="A22" s="2" t="s">
        <v>198</v>
      </c>
      <c r="B22" t="e">
        <f>VLOOKUP(A22,'CostBill 一件代发费用录入'!O:Q,4,0)</f>
        <v>#REF!</v>
      </c>
      <c r="C22" t="str">
        <f>VLOOKUP(A22,'CostBill 一件代发费用录入'!D:S,16,0)</f>
        <v>2025-01-25 14:27:29</v>
      </c>
    </row>
    <row r="23" spans="1:3">
      <c r="A23" s="2" t="s">
        <v>205</v>
      </c>
      <c r="B23" t="e">
        <f>VLOOKUP(A23,'CostBill 一件代发费用录入'!O:Q,4,0)</f>
        <v>#REF!</v>
      </c>
      <c r="C23" t="str">
        <f>VLOOKUP(A23,'CostBill 一件代发费用录入'!D:S,16,0)</f>
        <v>2025-01-26 13:28:08</v>
      </c>
    </row>
    <row r="24" spans="1:3">
      <c r="A24" s="2" t="s">
        <v>211</v>
      </c>
      <c r="B24" t="e">
        <f>VLOOKUP(A24,'CostBill 一件代发费用录入'!O:Q,4,0)</f>
        <v>#REF!</v>
      </c>
      <c r="C24" t="str">
        <f>VLOOKUP(A24,'CostBill 一件代发费用录入'!D:S,16,0)</f>
        <v>2025-01-27 13:14:02</v>
      </c>
    </row>
    <row r="25" spans="1:3">
      <c r="A25" s="2" t="s">
        <v>217</v>
      </c>
      <c r="B25" t="e">
        <f>VLOOKUP(A25,'CostBill 一件代发费用录入'!O:Q,4,0)</f>
        <v>#REF!</v>
      </c>
      <c r="C25" t="str">
        <f>VLOOKUP(A25,'CostBill 一件代发费用录入'!D:S,16,0)</f>
        <v>2025-01-26 18:15:32</v>
      </c>
    </row>
    <row r="26" spans="1:3">
      <c r="A26" s="2" t="s">
        <v>224</v>
      </c>
      <c r="B26" t="e">
        <f>VLOOKUP(A26,'CostBill 一件代发费用录入'!O:Q,4,0)</f>
        <v>#REF!</v>
      </c>
      <c r="C26" t="str">
        <f>VLOOKUP(A26,'CostBill 一件代发费用录入'!D:S,16,0)</f>
        <v>2025-01-27 10:51:49</v>
      </c>
    </row>
    <row r="27" spans="1:3">
      <c r="A27" s="2" t="s">
        <v>232</v>
      </c>
      <c r="B27" t="e">
        <f>VLOOKUP(A27,'CostBill 一件代发费用录入'!O:Q,4,0)</f>
        <v>#REF!</v>
      </c>
      <c r="C27" t="str">
        <f>VLOOKUP(A27,'CostBill 一件代发费用录入'!D:S,16,0)</f>
        <v>2025-01-25 10:36:52</v>
      </c>
    </row>
    <row r="28" spans="1:3">
      <c r="A28" s="2" t="s">
        <v>240</v>
      </c>
      <c r="B28" t="e">
        <f>VLOOKUP(A28,'CostBill 一件代发费用录入'!O:Q,4,0)</f>
        <v>#REF!</v>
      </c>
      <c r="C28" t="str">
        <f>VLOOKUP(A28,'CostBill 一件代发费用录入'!D:S,16,0)</f>
        <v>2025-01-27 10:51:42</v>
      </c>
    </row>
    <row r="29" spans="1:3">
      <c r="A29" s="2" t="s">
        <v>248</v>
      </c>
      <c r="B29" t="e">
        <f>VLOOKUP(A29,'CostBill 一件代发费用录入'!O:Q,4,0)</f>
        <v>#REF!</v>
      </c>
      <c r="C29" t="str">
        <f>VLOOKUP(A29,'CostBill 一件代发费用录入'!D:S,16,0)</f>
        <v>2025-01-25 10:37:07</v>
      </c>
    </row>
    <row r="30" spans="1:3">
      <c r="A30" s="2" t="s">
        <v>256</v>
      </c>
      <c r="B30" t="e">
        <f>VLOOKUP(A30,'CostBill 一件代发费用录入'!O:Q,4,0)</f>
        <v>#REF!</v>
      </c>
      <c r="C30" t="str">
        <f>VLOOKUP(A30,'CostBill 一件代发费用录入'!D:S,16,0)</f>
        <v>2025-01-25 10:42:20</v>
      </c>
    </row>
    <row r="31" spans="1:3">
      <c r="A31" s="2" t="s">
        <v>264</v>
      </c>
      <c r="B31" t="e">
        <f>VLOOKUP(A31,'CostBill 一件代发费用录入'!O:Q,4,0)</f>
        <v>#REF!</v>
      </c>
      <c r="C31" t="str">
        <f>VLOOKUP(A31,'CostBill 一件代发费用录入'!D:S,16,0)</f>
        <v>2025-01-25 14:27:28</v>
      </c>
    </row>
    <row r="32" spans="1:3">
      <c r="A32" s="2" t="s">
        <v>271</v>
      </c>
      <c r="B32" t="e">
        <f>VLOOKUP(A32,'CostBill 一件代发费用录入'!O:Q,4,0)</f>
        <v>#REF!</v>
      </c>
      <c r="C32" t="str">
        <f>VLOOKUP(A32,'CostBill 一件代发费用录入'!D:S,16,0)</f>
        <v>2025-01-25 14:28:00</v>
      </c>
    </row>
    <row r="33" spans="1:3">
      <c r="A33" s="2" t="s">
        <v>278</v>
      </c>
      <c r="B33" t="e">
        <f>VLOOKUP(A33,'CostBill 一件代发费用录入'!O:Q,4,0)</f>
        <v>#REF!</v>
      </c>
      <c r="C33" t="str">
        <f>VLOOKUP(A33,'CostBill 一件代发费用录入'!D:S,16,0)</f>
        <v>2025-01-27 09:46:38</v>
      </c>
    </row>
    <row r="34" spans="1:3">
      <c r="A34" s="2" t="s">
        <v>285</v>
      </c>
      <c r="B34" t="e">
        <f>VLOOKUP(A34,'CostBill 一件代发费用录入'!O:Q,4,0)</f>
        <v>#REF!</v>
      </c>
      <c r="C34" t="str">
        <f>VLOOKUP(A34,'CostBill 一件代发费用录入'!D:S,16,0)</f>
        <v>2025-01-27 09:00:47</v>
      </c>
    </row>
    <row r="35" spans="1:3">
      <c r="A35" s="2" t="s">
        <v>294</v>
      </c>
      <c r="B35" t="e">
        <f>VLOOKUP(A35,'CostBill 一件代发费用录入'!O:Q,4,0)</f>
        <v>#REF!</v>
      </c>
      <c r="C35" t="str">
        <f>VLOOKUP(A35,'CostBill 一件代发费用录入'!D:S,16,0)</f>
        <v>2025-01-26 18:36:42</v>
      </c>
    </row>
    <row r="36" spans="1:3">
      <c r="A36" s="2" t="s">
        <v>302</v>
      </c>
      <c r="B36" t="e">
        <f>VLOOKUP(A36,'CostBill 一件代发费用录入'!O:Q,4,0)</f>
        <v>#REF!</v>
      </c>
      <c r="C36" t="str">
        <f>VLOOKUP(A36,'CostBill 一件代发费用录入'!D:S,16,0)</f>
        <v>2025-01-26 01:03:38</v>
      </c>
    </row>
    <row r="37" spans="1:3">
      <c r="A37" s="2" t="s">
        <v>309</v>
      </c>
      <c r="B37" t="e">
        <f>VLOOKUP(A37,'CostBill 一件代发费用录入'!O:Q,4,0)</f>
        <v>#REF!</v>
      </c>
      <c r="C37" t="str">
        <f>VLOOKUP(A37,'CostBill 一件代发费用录入'!D:S,16,0)</f>
        <v>2025-01-25 19:33:16</v>
      </c>
    </row>
    <row r="38" spans="1:3">
      <c r="A38" s="2" t="s">
        <v>315</v>
      </c>
      <c r="B38" t="e">
        <f>VLOOKUP(A38,'CostBill 一件代发费用录入'!O:Q,4,0)</f>
        <v>#REF!</v>
      </c>
      <c r="C38" t="str">
        <f>VLOOKUP(A38,'CostBill 一件代发费用录入'!D:S,16,0)</f>
        <v>2025-01-27 09:46:36</v>
      </c>
    </row>
    <row r="39" spans="1:3">
      <c r="A39" s="2" t="s">
        <v>323</v>
      </c>
      <c r="B39" t="e">
        <f>VLOOKUP(A39,'CostBill 一件代发费用录入'!O:Q,4,0)</f>
        <v>#REF!</v>
      </c>
      <c r="C39" t="str">
        <f>VLOOKUP(A39,'CostBill 一件代发费用录入'!D:S,16,0)</f>
        <v>2025-01-28 06:49:54</v>
      </c>
    </row>
    <row r="40" spans="1:3">
      <c r="A40" s="2" t="s">
        <v>333</v>
      </c>
      <c r="B40" t="e">
        <f>VLOOKUP(A40,'CostBill 一件代发费用录入'!O:Q,4,0)</f>
        <v>#REF!</v>
      </c>
      <c r="C40" t="str">
        <f>VLOOKUP(A40,'CostBill 一件代发费用录入'!D:S,16,0)</f>
        <v>2025-01-26 13:48:22</v>
      </c>
    </row>
    <row r="41" spans="1:3">
      <c r="A41" s="2" t="s">
        <v>350</v>
      </c>
      <c r="B41" t="e">
        <f>VLOOKUP(A41,'CostBill 一件代发费用录入'!O:Q,4,0)</f>
        <v>#REF!</v>
      </c>
      <c r="C41" t="str">
        <f>VLOOKUP(A41,'CostBill 一件代发费用录入'!D:S,16,0)</f>
        <v>2025-01-24 21:57:45</v>
      </c>
    </row>
    <row r="42" spans="1:3">
      <c r="A42" s="2" t="s">
        <v>359</v>
      </c>
      <c r="B42" t="e">
        <f>VLOOKUP(A42,'CostBill 一件代发费用录入'!O:Q,4,0)</f>
        <v>#REF!</v>
      </c>
      <c r="C42" t="str">
        <f>VLOOKUP(A42,'CostBill 一件代发费用录入'!D:S,16,0)</f>
        <v>2025-01-24 20:18:43</v>
      </c>
    </row>
    <row r="43" spans="1:3">
      <c r="A43" s="2" t="s">
        <v>366</v>
      </c>
      <c r="B43" t="e">
        <f>VLOOKUP(A43,'CostBill 一件代发费用录入'!O:Q,4,0)</f>
        <v>#REF!</v>
      </c>
      <c r="C43" t="str">
        <f>VLOOKUP(A43,'CostBill 一件代发费用录入'!D:S,16,0)</f>
        <v>2025-01-24 09:22:30</v>
      </c>
    </row>
    <row r="44" spans="1:3">
      <c r="A44" s="2" t="s">
        <v>374</v>
      </c>
      <c r="B44" t="e">
        <f>VLOOKUP(A44,'CostBill 一件代发费用录入'!O:Q,4,0)</f>
        <v>#REF!</v>
      </c>
      <c r="C44" t="str">
        <f>VLOOKUP(A44,'CostBill 一件代发费用录入'!D:S,16,0)</f>
        <v>2025-01-24 09:22:38</v>
      </c>
    </row>
    <row r="45" spans="1:3">
      <c r="A45" s="2" t="s">
        <v>381</v>
      </c>
      <c r="B45" t="e">
        <f>VLOOKUP(A45,'CostBill 一件代发费用录入'!O:Q,4,0)</f>
        <v>#REF!</v>
      </c>
      <c r="C45" t="str">
        <f>VLOOKUP(A45,'CostBill 一件代发费用录入'!D:S,16,0)</f>
        <v>2025-01-24 09:22:32</v>
      </c>
    </row>
    <row r="46" spans="1:3">
      <c r="A46" s="2" t="s">
        <v>389</v>
      </c>
      <c r="B46" t="e">
        <f>VLOOKUP(A46,'CostBill 一件代发费用录入'!O:Q,4,0)</f>
        <v>#REF!</v>
      </c>
      <c r="C46" t="str">
        <f>VLOOKUP(A46,'CostBill 一件代发费用录入'!D:S,16,0)</f>
        <v>2025-01-24 09:22:43</v>
      </c>
    </row>
    <row r="47" spans="1:3">
      <c r="A47" s="2" t="s">
        <v>397</v>
      </c>
      <c r="B47" t="e">
        <f>VLOOKUP(A47,'CostBill 一件代发费用录入'!O:Q,4,0)</f>
        <v>#REF!</v>
      </c>
      <c r="C47" t="str">
        <f>VLOOKUP(A47,'CostBill 一件代发费用录入'!D:S,16,0)</f>
        <v>2025-01-24 09:52:13</v>
      </c>
    </row>
    <row r="48" spans="1:3">
      <c r="A48" s="2" t="s">
        <v>411</v>
      </c>
      <c r="B48" t="e">
        <f>VLOOKUP(A48,'CostBill 一件代发费用录入'!O:Q,4,0)</f>
        <v>#REF!</v>
      </c>
      <c r="C48" t="str">
        <f>VLOOKUP(A48,'CostBill 一件代发费用录入'!D:S,16,0)</f>
        <v>2025-01-22 11:45:38</v>
      </c>
    </row>
    <row r="49" spans="1:3">
      <c r="A49" s="2" t="s">
        <v>419</v>
      </c>
      <c r="B49" t="e">
        <f>VLOOKUP(A49,'CostBill 一件代发费用录入'!O:Q,4,0)</f>
        <v>#REF!</v>
      </c>
      <c r="C49" t="str">
        <f>VLOOKUP(A49,'CostBill 一件代发费用录入'!D:S,16,0)</f>
        <v>2025-01-22 09:00:42</v>
      </c>
    </row>
    <row r="50" spans="1:3">
      <c r="A50" s="2" t="s">
        <v>426</v>
      </c>
      <c r="B50" t="e">
        <f>VLOOKUP(A50,'CostBill 一件代发费用录入'!O:Q,4,0)</f>
        <v>#REF!</v>
      </c>
      <c r="C50" t="str">
        <f>VLOOKUP(A50,'CostBill 一件代发费用录入'!D:S,16,0)</f>
        <v>2025-01-22 09:15:50</v>
      </c>
    </row>
    <row r="51" spans="1:3">
      <c r="A51" s="2" t="s">
        <v>432</v>
      </c>
      <c r="B51" t="e">
        <f>VLOOKUP(A51,'CostBill 一件代发费用录入'!O:Q,4,0)</f>
        <v>#REF!</v>
      </c>
      <c r="C51" t="str">
        <f>VLOOKUP(A51,'CostBill 一件代发费用录入'!D:S,16,0)</f>
        <v>2025-01-22 09:16:39</v>
      </c>
    </row>
    <row r="52" spans="1:3">
      <c r="A52" s="2" t="s">
        <v>441</v>
      </c>
      <c r="B52" t="e">
        <f>VLOOKUP(A52,'CostBill 一件代发费用录入'!O:Q,4,0)</f>
        <v>#REF!</v>
      </c>
      <c r="C52" t="str">
        <f>VLOOKUP(A52,'CostBill 一件代发费用录入'!D:S,16,0)</f>
        <v>2025-01-21 09:33:24</v>
      </c>
    </row>
    <row r="53" spans="1:3">
      <c r="A53" s="2" t="s">
        <v>447</v>
      </c>
      <c r="B53" t="e">
        <f>VLOOKUP(A53,'CostBill 一件代发费用录入'!O:Q,4,0)</f>
        <v>#REF!</v>
      </c>
      <c r="C53" t="str">
        <f>VLOOKUP(A53,'CostBill 一件代发费用录入'!D:S,16,0)</f>
        <v>2025-01-21 08:57:45</v>
      </c>
    </row>
    <row r="54" spans="1:3">
      <c r="A54" s="2" t="s">
        <v>455</v>
      </c>
      <c r="B54" t="e">
        <f>VLOOKUP(A54,'CostBill 一件代发费用录入'!O:Q,4,0)</f>
        <v>#REF!</v>
      </c>
      <c r="C54" t="str">
        <f>VLOOKUP(A54,'CostBill 一件代发费用录入'!D:S,16,0)</f>
        <v>2025-01-21 09:01:37</v>
      </c>
    </row>
    <row r="55" spans="1:3">
      <c r="A55" s="2" t="s">
        <v>464</v>
      </c>
      <c r="B55" t="e">
        <f>VLOOKUP(A55,'CostBill 一件代发费用录入'!O:Q,4,0)</f>
        <v>#REF!</v>
      </c>
      <c r="C55" t="str">
        <f>VLOOKUP(A55,'CostBill 一件代发费用录入'!D:S,16,0)</f>
        <v>2025-01-19 19:02:25</v>
      </c>
    </row>
    <row r="56" spans="1:3">
      <c r="A56" s="2" t="s">
        <v>473</v>
      </c>
      <c r="B56" t="e">
        <f>VLOOKUP(A56,'CostBill 一件代发费用录入'!O:Q,4,0)</f>
        <v>#REF!</v>
      </c>
      <c r="C56" t="str">
        <f>VLOOKUP(A56,'CostBill 一件代发费用录入'!D:S,16,0)</f>
        <v>2025-01-18 15:09:22</v>
      </c>
    </row>
    <row r="57" spans="1:3">
      <c r="A57" s="2" t="s">
        <v>479</v>
      </c>
      <c r="B57" t="e">
        <f>VLOOKUP(A57,'CostBill 一件代发费用录入'!O:Q,4,0)</f>
        <v>#REF!</v>
      </c>
      <c r="C57" t="str">
        <f>VLOOKUP(A57,'CostBill 一件代发费用录入'!D:S,16,0)</f>
        <v>2025-01-19 19:02:26</v>
      </c>
    </row>
    <row r="58" spans="1:3">
      <c r="A58" s="2" t="s">
        <v>485</v>
      </c>
      <c r="B58" t="e">
        <f>VLOOKUP(A58,'CostBill 一件代发费用录入'!O:Q,4,0)</f>
        <v>#REF!</v>
      </c>
      <c r="C58" t="str">
        <f>VLOOKUP(A58,'CostBill 一件代发费用录入'!D:S,16,0)</f>
        <v>2025-01-19 19:02:30</v>
      </c>
    </row>
    <row r="59" spans="1:3">
      <c r="A59" s="2" t="s">
        <v>491</v>
      </c>
      <c r="B59" t="e">
        <f>VLOOKUP(A59,'CostBill 一件代发费用录入'!O:Q,4,0)</f>
        <v>#REF!</v>
      </c>
      <c r="C59" t="str">
        <f>VLOOKUP(A59,'CostBill 一件代发费用录入'!D:S,16,0)</f>
        <v>2025-01-20 09:12:33</v>
      </c>
    </row>
    <row r="60" spans="1:3">
      <c r="A60" s="2" t="s">
        <v>497</v>
      </c>
      <c r="B60" t="e">
        <f>VLOOKUP(A60,'CostBill 一件代发费用录入'!O:Q,4,0)</f>
        <v>#REF!</v>
      </c>
      <c r="C60" t="str">
        <f>VLOOKUP(A60,'CostBill 一件代发费用录入'!D:S,16,0)</f>
        <v>2025-01-18 23:11:57</v>
      </c>
    </row>
    <row r="61" spans="1:3">
      <c r="A61" s="2" t="s">
        <v>504</v>
      </c>
      <c r="B61" t="e">
        <f>VLOOKUP(A61,'CostBill 一件代发费用录入'!O:Q,4,0)</f>
        <v>#REF!</v>
      </c>
      <c r="C61" t="str">
        <f>VLOOKUP(A61,'CostBill 一件代发费用录入'!D:S,16,0)</f>
        <v>2025-01-20 08:58:27</v>
      </c>
    </row>
    <row r="62" spans="1:3">
      <c r="A62" s="2" t="s">
        <v>511</v>
      </c>
      <c r="B62" t="e">
        <f>VLOOKUP(A62,'CostBill 一件代发费用录入'!O:Q,4,0)</f>
        <v>#REF!</v>
      </c>
      <c r="C62" t="str">
        <f>VLOOKUP(A62,'CostBill 一件代发费用录入'!D:S,16,0)</f>
        <v>2025-01-18 13:04:29</v>
      </c>
    </row>
    <row r="63" spans="1:3">
      <c r="A63" s="2" t="s">
        <v>519</v>
      </c>
      <c r="B63" t="e">
        <f>VLOOKUP(A63,'CostBill 一件代发费用录入'!O:Q,4,0)</f>
        <v>#REF!</v>
      </c>
      <c r="C63" t="str">
        <f>VLOOKUP(A63,'CostBill 一件代发费用录入'!D:S,16,0)</f>
        <v>2025-01-19 16:00:28</v>
      </c>
    </row>
    <row r="64" spans="1:3">
      <c r="A64" s="2" t="s">
        <v>527</v>
      </c>
      <c r="B64" t="e">
        <f>VLOOKUP(A64,'CostBill 一件代发费用录入'!O:Q,4,0)</f>
        <v>#REF!</v>
      </c>
      <c r="C64" t="str">
        <f>VLOOKUP(A64,'CostBill 一件代发费用录入'!D:S,16,0)</f>
        <v>2025-01-20 09:15:56</v>
      </c>
    </row>
    <row r="65" spans="1:3">
      <c r="A65" s="2" t="s">
        <v>534</v>
      </c>
      <c r="B65" t="e">
        <f>VLOOKUP(A65,'CostBill 一件代发费用录入'!O:Q,4,0)</f>
        <v>#REF!</v>
      </c>
      <c r="C65" t="str">
        <f>VLOOKUP(A65,'CostBill 一件代发费用录入'!D:S,16,0)</f>
        <v>2025-01-17 09:02:11</v>
      </c>
    </row>
    <row r="66" spans="1:3">
      <c r="A66" s="2" t="s">
        <v>540</v>
      </c>
      <c r="B66" t="e">
        <f>VLOOKUP(A66,'CostBill 一件代发费用录入'!O:Q,4,0)</f>
        <v>#REF!</v>
      </c>
      <c r="C66" t="str">
        <f>VLOOKUP(A66,'CostBill 一件代发费用录入'!D:S,16,0)</f>
        <v>2025-01-17 09:01:37</v>
      </c>
    </row>
    <row r="67" spans="1:3">
      <c r="A67" s="2" t="s">
        <v>546</v>
      </c>
      <c r="B67" t="e">
        <f>VLOOKUP(A67,'CostBill 一件代发费用录入'!O:Q,4,0)</f>
        <v>#REF!</v>
      </c>
      <c r="C67" t="str">
        <f>VLOOKUP(A67,'CostBill 一件代发费用录入'!D:S,16,0)</f>
        <v>2025-01-17 09:02:06</v>
      </c>
    </row>
    <row r="68" spans="1:3">
      <c r="A68" s="2" t="s">
        <v>565</v>
      </c>
      <c r="B68" t="e">
        <f>VLOOKUP(A68,'CostBill 一件代发费用录入'!O:Q,4,0)</f>
        <v>#REF!</v>
      </c>
      <c r="C68" t="str">
        <f>VLOOKUP(A68,'CostBill 一件代发费用录入'!D:S,16,0)</f>
        <v>2025-01-16 08:57:34</v>
      </c>
    </row>
    <row r="69" spans="1:3">
      <c r="A69" s="2" t="s">
        <v>573</v>
      </c>
      <c r="B69" t="e">
        <f>VLOOKUP(A69,'CostBill 一件代发费用录入'!O:Q,4,0)</f>
        <v>#REF!</v>
      </c>
      <c r="C69" t="str">
        <f>VLOOKUP(A69,'CostBill 一件代发费用录入'!D:S,16,0)</f>
        <v>2025-01-16 08:57:30</v>
      </c>
    </row>
    <row r="70" spans="1:3">
      <c r="A70" s="2" t="s">
        <v>587</v>
      </c>
      <c r="B70" t="e">
        <f>VLOOKUP(A70,'CostBill 一件代发费用录入'!O:Q,4,0)</f>
        <v>#REF!</v>
      </c>
      <c r="C70" t="str">
        <f>VLOOKUP(A70,'CostBill 一件代发费用录入'!D:S,16,0)</f>
        <v>2025-01-14 08:48:35</v>
      </c>
    </row>
    <row r="71" spans="1:3">
      <c r="A71" s="2" t="s">
        <v>599</v>
      </c>
      <c r="B71" t="e">
        <f>VLOOKUP(A71,'CostBill 一件代发费用录入'!O:Q,4,0)</f>
        <v>#REF!</v>
      </c>
      <c r="C71" t="str">
        <f>VLOOKUP(A71,'CostBill 一件代发费用录入'!D:S,16,0)</f>
        <v>2025-01-13 12:27:21</v>
      </c>
    </row>
    <row r="72" spans="1:3">
      <c r="A72" s="2" t="s">
        <v>607</v>
      </c>
      <c r="B72" t="e">
        <f>VLOOKUP(A72,'CostBill 一件代发费用录入'!O:Q,4,0)</f>
        <v>#REF!</v>
      </c>
      <c r="C72" t="str">
        <f>VLOOKUP(A72,'CostBill 一件代发费用录入'!D:S,16,0)</f>
        <v>2025-01-13 11:45:55</v>
      </c>
    </row>
    <row r="73" spans="1:3">
      <c r="A73" s="2" t="s">
        <v>624</v>
      </c>
      <c r="B73" t="e">
        <f>VLOOKUP(A73,'CostBill 一件代发费用录入'!O:Q,4,0)</f>
        <v>#REF!</v>
      </c>
      <c r="C73" t="str">
        <f>VLOOKUP(A73,'CostBill 一件代发费用录入'!D:S,16,0)</f>
        <v>2025-01-10 10:27:26</v>
      </c>
    </row>
    <row r="74" spans="1:3">
      <c r="A74" s="2" t="s">
        <v>631</v>
      </c>
      <c r="B74" t="e">
        <f>VLOOKUP(A74,'CostBill 一件代发费用录入'!O:Q,4,0)</f>
        <v>#REF!</v>
      </c>
      <c r="C74" t="str">
        <f>VLOOKUP(A74,'CostBill 一件代发费用录入'!D:S,16,0)</f>
        <v>2025-01-10 09:16:04</v>
      </c>
    </row>
    <row r="75" spans="1:3">
      <c r="A75" s="2" t="s">
        <v>640</v>
      </c>
      <c r="B75" t="e">
        <f>VLOOKUP(A75,'CostBill 一件代发费用录入'!O:Q,4,0)</f>
        <v>#REF!</v>
      </c>
      <c r="C75" t="str">
        <f>VLOOKUP(A75,'CostBill 一件代发费用录入'!D:S,16,0)</f>
        <v>2025-01-09 09:12:31</v>
      </c>
    </row>
    <row r="76" spans="1:3">
      <c r="A76" s="2" t="s">
        <v>646</v>
      </c>
      <c r="B76" t="e">
        <f>VLOOKUP(A76,'CostBill 一件代发费用录入'!O:Q,4,0)</f>
        <v>#REF!</v>
      </c>
      <c r="C76" t="str">
        <f>VLOOKUP(A76,'CostBill 一件代发费用录入'!D:S,16,0)</f>
        <v>2025-01-09 16:57:20</v>
      </c>
    </row>
    <row r="77" spans="1:3">
      <c r="A77" s="2" t="s">
        <v>654</v>
      </c>
      <c r="B77" t="e">
        <f>VLOOKUP(A77,'CostBill 一件代发费用录入'!O:Q,4,0)</f>
        <v>#REF!</v>
      </c>
      <c r="C77" t="str">
        <f>VLOOKUP(A77,'CostBill 一件代发费用录入'!D:S,16,0)</f>
        <v>2025-01-09 09:09:20</v>
      </c>
    </row>
    <row r="78" spans="1:3">
      <c r="A78" s="2" t="s">
        <v>664</v>
      </c>
      <c r="B78" t="e">
        <f>VLOOKUP(A78,'CostBill 一件代发费用录入'!O:Q,4,0)</f>
        <v>#REF!</v>
      </c>
      <c r="C78" t="str">
        <f>VLOOKUP(A78,'CostBill 一件代发费用录入'!D:S,16,0)</f>
        <v>2025-01-08 08:58:01</v>
      </c>
    </row>
    <row r="79" spans="1:3">
      <c r="A79" s="2" t="s">
        <v>672</v>
      </c>
      <c r="B79" t="e">
        <f>VLOOKUP(A79,'CostBill 一件代发费用录入'!O:Q,4,0)</f>
        <v>#REF!</v>
      </c>
      <c r="C79" t="str">
        <f>VLOOKUP(A79,'CostBill 一件代发费用录入'!D:S,16,0)</f>
        <v>2025-01-08 08:58:37</v>
      </c>
    </row>
    <row r="80" spans="1:3">
      <c r="A80" s="2" t="s">
        <v>679</v>
      </c>
      <c r="B80" t="e">
        <f>VLOOKUP(A80,'CostBill 一件代发费用录入'!O:Q,4,0)</f>
        <v>#REF!</v>
      </c>
      <c r="C80" t="str">
        <f>VLOOKUP(A80,'CostBill 一件代发费用录入'!D:S,16,0)</f>
        <v>2025-01-08 09:12:38</v>
      </c>
    </row>
    <row r="81" spans="1:3">
      <c r="A81" s="2" t="s">
        <v>692</v>
      </c>
      <c r="B81" t="e">
        <f>VLOOKUP(A81,'CostBill 一件代发费用录入'!O:Q,4,0)</f>
        <v>#REF!</v>
      </c>
      <c r="C81" t="str">
        <f>VLOOKUP(A81,'CostBill 一件代发费用录入'!D:S,16,0)</f>
        <v>2025-01-03 09:15:56</v>
      </c>
    </row>
    <row r="82" spans="1:3">
      <c r="A82" s="2" t="s">
        <v>700</v>
      </c>
      <c r="B82" t="e">
        <f>VLOOKUP(A82,'CostBill 一件代发费用录入'!O:Q,4,0)</f>
        <v>#REF!</v>
      </c>
      <c r="C82" t="str">
        <f>VLOOKUP(A82,'CostBill 一件代发费用录入'!D:S,16,0)</f>
        <v>2025-01-03 09:15:57</v>
      </c>
    </row>
    <row r="83" spans="1:3">
      <c r="A83" s="2" t="s">
        <v>708</v>
      </c>
      <c r="B83" t="e">
        <f>VLOOKUP(A83,'CostBill 一件代发费用录入'!O:Q,4,0)</f>
        <v>#REF!</v>
      </c>
      <c r="C83" t="str">
        <f>VLOOKUP(A83,'CostBill 一件代发费用录入'!D:S,16,0)</f>
        <v>2025-01-07 09:30:57</v>
      </c>
    </row>
    <row r="84" spans="1:3">
      <c r="A84" s="2" t="s">
        <v>714</v>
      </c>
      <c r="B84" t="e">
        <f>VLOOKUP(A84,'CostBill 一件代发费用录入'!O:Q,4,0)</f>
        <v>#REF!</v>
      </c>
      <c r="C84" t="str">
        <f>VLOOKUP(A84,'CostBill 一件代发费用录入'!D:S,16,0)</f>
        <v>2025-01-07 09:30:47</v>
      </c>
    </row>
    <row r="85" spans="1:3">
      <c r="A85" s="2" t="s">
        <v>723</v>
      </c>
      <c r="B85" t="e">
        <f>VLOOKUP(A85,'CostBill 一件代发费用录入'!O:Q,4,0)</f>
        <v>#REF!</v>
      </c>
      <c r="C85" t="str">
        <f>VLOOKUP(A85,'CostBill 一件代发费用录入'!D:S,16,0)</f>
        <v>2025-01-06 09:15:47</v>
      </c>
    </row>
    <row r="86" spans="1:3">
      <c r="A86" s="2" t="s">
        <v>732</v>
      </c>
      <c r="B86" t="e">
        <f>VLOOKUP(A86,'CostBill 一件代发费用录入'!O:Q,4,0)</f>
        <v>#REF!</v>
      </c>
      <c r="C86" t="str">
        <f>VLOOKUP(A86,'CostBill 一件代发费用录入'!D:S,16,0)</f>
        <v>2025-01-06 09:04:16</v>
      </c>
    </row>
    <row r="87" spans="1:3">
      <c r="A87" s="2" t="s">
        <v>740</v>
      </c>
      <c r="B87" t="e">
        <f>VLOOKUP(A87,'CostBill 一件代发费用录入'!O:Q,4,0)</f>
        <v>#REF!</v>
      </c>
      <c r="C87" t="str">
        <f>VLOOKUP(A87,'CostBill 一件代发费用录入'!D:S,16,0)</f>
        <v>2025-01-06 09:04:17</v>
      </c>
    </row>
    <row r="88" spans="1:3">
      <c r="A88" s="2" t="s">
        <v>748</v>
      </c>
      <c r="B88" t="e">
        <f>VLOOKUP(A88,'CostBill 一件代发费用录入'!O:Q,4,0)</f>
        <v>#REF!</v>
      </c>
      <c r="C88" t="str">
        <f>VLOOKUP(A88,'CostBill 一件代发费用录入'!D:S,16,0)</f>
        <v>2025-01-06 08:59:24</v>
      </c>
    </row>
    <row r="89" spans="1:3">
      <c r="A89" s="2" t="s">
        <v>756</v>
      </c>
      <c r="B89" t="e">
        <f>VLOOKUP(A89,'CostBill 一件代发费用录入'!O:Q,4,0)</f>
        <v>#REF!</v>
      </c>
      <c r="C89" t="str">
        <f>VLOOKUP(A89,'CostBill 一件代发费用录入'!D:S,16,0)</f>
        <v>2025-01-05 12:27:21</v>
      </c>
    </row>
    <row r="90" spans="1:3">
      <c r="A90" s="2" t="s">
        <v>764</v>
      </c>
      <c r="B90" t="e">
        <f>VLOOKUP(A90,'CostBill 一件代发费用录入'!O:Q,4,0)</f>
        <v>#REF!</v>
      </c>
      <c r="C90" t="str">
        <f>VLOOKUP(A90,'CostBill 一件代发费用录入'!D:S,16,0)</f>
        <v>2025-01-05 12:27:46</v>
      </c>
    </row>
    <row r="91" spans="1:3">
      <c r="A91" s="2" t="s">
        <v>779</v>
      </c>
      <c r="B91" t="e">
        <f>VLOOKUP(A91,'CostBill 一件代发费用录入'!O:Q,4,0)</f>
        <v>#REF!</v>
      </c>
      <c r="C91" t="str">
        <f>VLOOKUP(A91,'CostBill 一件代发费用录入'!D:S,16,0)</f>
        <v>2025-01-03 09:05:10</v>
      </c>
    </row>
    <row r="92" spans="1:3">
      <c r="A92" s="2" t="s">
        <v>786</v>
      </c>
      <c r="B92" t="e">
        <f>VLOOKUP(A92,'CostBill 一件代发费用录入'!O:Q,4,0)</f>
        <v>#REF!</v>
      </c>
      <c r="C92" t="str">
        <f>VLOOKUP(A92,'CostBill 一件代发费用录入'!D:S,16,0)</f>
        <v>2025-01-03 09:05:12</v>
      </c>
    </row>
    <row r="93" spans="1:3">
      <c r="A93" s="2" t="s">
        <v>794</v>
      </c>
      <c r="B93" t="e">
        <f>VLOOKUP(A93,'CostBill 一件代发费用录入'!O:Q,4,0)</f>
        <v>#REF!</v>
      </c>
      <c r="C93" t="str">
        <f>VLOOKUP(A93,'CostBill 一件代发费用录入'!D:S,16,0)</f>
        <v>2025-01-03 09:05:33</v>
      </c>
    </row>
    <row r="94" spans="1:3">
      <c r="A94" s="2" t="s">
        <v>800</v>
      </c>
      <c r="B94" t="e">
        <f>VLOOKUP(A94,'CostBill 一件代发费用录入'!O:Q,4,0)</f>
        <v>#REF!</v>
      </c>
      <c r="C94" t="str">
        <f>VLOOKUP(A94,'CostBill 一件代发费用录入'!D:S,16,0)</f>
        <v>2025-01-02 23:03:39</v>
      </c>
    </row>
    <row r="95" spans="1:3">
      <c r="A95" s="2" t="s">
        <v>807</v>
      </c>
      <c r="B95" t="e">
        <f>VLOOKUP(A95,'CostBill 一件代发费用录入'!O:Q,4,0)</f>
        <v>#REF!</v>
      </c>
      <c r="C95" t="str">
        <f>VLOOKUP(A95,'CostBill 一件代发费用录入'!D:S,16,0)</f>
        <v>2025-01-03 08:55:20</v>
      </c>
    </row>
    <row r="96" spans="1:3">
      <c r="A96" s="2" t="s">
        <v>814</v>
      </c>
      <c r="B96" t="e">
        <f>VLOOKUP(A96,'CostBill 一件代发费用录入'!O:Q,4,0)</f>
        <v>#REF!</v>
      </c>
      <c r="C96" t="str">
        <f>VLOOKUP(A96,'CostBill 一件代发费用录入'!D:S,16,0)</f>
        <v>2025-01-03 08:55:48</v>
      </c>
    </row>
    <row r="97" spans="1:3">
      <c r="A97" s="2" t="s">
        <v>827</v>
      </c>
      <c r="B97" t="e">
        <f>VLOOKUP(A97,'CostBill 一件代发费用录入'!O:Q,4,0)</f>
        <v>#REF!</v>
      </c>
      <c r="C97" t="str">
        <f>VLOOKUP(A97,'CostBill 一件代发费用录入'!D:S,16,0)</f>
        <v>2025-01-02 08:53:40</v>
      </c>
    </row>
    <row r="98" spans="1:3">
      <c r="A98" s="2" t="s">
        <v>835</v>
      </c>
      <c r="B98" t="e">
        <f>VLOOKUP(A98,'CostBill 一件代发费用录入'!O:Q,4,0)</f>
        <v>#REF!</v>
      </c>
      <c r="C98" t="str">
        <f>VLOOKUP(A98,'CostBill 一件代发费用录入'!D:S,16,0)</f>
        <v>2025-01-02 08:54:04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3"/>
  <sheetViews>
    <sheetView tabSelected="1" workbookViewId="0">
      <selection activeCell="B1" sqref="B$1:B$1048576"/>
    </sheetView>
  </sheetViews>
  <sheetFormatPr defaultColWidth="9.14285714285714" defaultRowHeight="12.75" outlineLevelCol="7"/>
  <cols>
    <col min="3" max="3" width="10.8571428571429"/>
  </cols>
  <sheetData>
    <row r="1" spans="1:8">
      <c r="A1" s="1" t="s">
        <v>844</v>
      </c>
      <c r="G1" s="2" t="s">
        <v>845</v>
      </c>
      <c r="H1" s="2" t="s">
        <v>48</v>
      </c>
    </row>
    <row r="2" spans="1:8">
      <c r="A2" s="2" t="s">
        <v>845</v>
      </c>
      <c r="B2">
        <f ca="1">SUMIF([1]CostBill!$D:$M,A2,[1]CostBill!$M:$M)</f>
        <v>2.96</v>
      </c>
      <c r="C2" s="3">
        <v>45716</v>
      </c>
      <c r="D2" s="4" t="str">
        <f>VLOOKUP(A2,G:H,2,0)</f>
        <v>1.646</v>
      </c>
      <c r="G2" s="2" t="s">
        <v>845</v>
      </c>
      <c r="H2" s="2" t="s">
        <v>48</v>
      </c>
    </row>
    <row r="3" spans="1:8">
      <c r="A3" s="2" t="s">
        <v>846</v>
      </c>
      <c r="B3">
        <f ca="1">SUMIF([1]CostBill!$D:$M,A3,[1]CostBill!$M:$M)</f>
        <v>2.89</v>
      </c>
      <c r="C3" s="3">
        <v>45716</v>
      </c>
      <c r="D3" s="4" t="str">
        <f t="shared" ref="D3:D34" si="0">VLOOKUP(A3,G:H,2,0)</f>
        <v>0.605</v>
      </c>
      <c r="G3" s="2" t="s">
        <v>845</v>
      </c>
      <c r="H3" s="2" t="s">
        <v>48</v>
      </c>
    </row>
    <row r="4" spans="1:8">
      <c r="A4" s="2" t="s">
        <v>847</v>
      </c>
      <c r="B4">
        <f ca="1">SUMIF([1]CostBill!$D:$M,A4,[1]CostBill!$M:$M)</f>
        <v>2.89</v>
      </c>
      <c r="C4" s="3">
        <v>45716</v>
      </c>
      <c r="D4" s="4" t="str">
        <f t="shared" si="0"/>
        <v>0.605</v>
      </c>
      <c r="G4" s="2" t="s">
        <v>846</v>
      </c>
      <c r="H4" s="2" t="s">
        <v>192</v>
      </c>
    </row>
    <row r="5" spans="1:8">
      <c r="A5" s="2" t="s">
        <v>848</v>
      </c>
      <c r="B5">
        <f ca="1">SUMIF([1]CostBill!$D:$M,A5,[1]CostBill!$M:$M)</f>
        <v>2.96</v>
      </c>
      <c r="C5" s="3">
        <v>45715</v>
      </c>
      <c r="D5" s="4" t="str">
        <f t="shared" si="0"/>
        <v>1.869</v>
      </c>
      <c r="G5" s="2" t="s">
        <v>846</v>
      </c>
      <c r="H5" s="2" t="s">
        <v>192</v>
      </c>
    </row>
    <row r="6" spans="1:8">
      <c r="A6" s="2" t="s">
        <v>849</v>
      </c>
      <c r="B6">
        <f ca="1">SUMIF([1]CostBill!$D:$M,A6,[1]CostBill!$M:$M)</f>
        <v>2.89</v>
      </c>
      <c r="C6" s="3">
        <v>45715</v>
      </c>
      <c r="D6" s="4" t="str">
        <f t="shared" si="0"/>
        <v>0.605</v>
      </c>
      <c r="G6" s="2" t="s">
        <v>847</v>
      </c>
      <c r="H6" s="2" t="s">
        <v>192</v>
      </c>
    </row>
    <row r="7" spans="1:8">
      <c r="A7" s="2" t="s">
        <v>850</v>
      </c>
      <c r="B7">
        <f ca="1">SUMIF([1]CostBill!$D:$M,A7,[1]CostBill!$M:$M)</f>
        <v>2.96</v>
      </c>
      <c r="C7" s="3">
        <v>45715</v>
      </c>
      <c r="D7" s="4" t="str">
        <f t="shared" si="0"/>
        <v>1.674</v>
      </c>
      <c r="G7" s="2" t="s">
        <v>847</v>
      </c>
      <c r="H7" s="2" t="s">
        <v>192</v>
      </c>
    </row>
    <row r="8" spans="1:8">
      <c r="A8" s="2" t="s">
        <v>851</v>
      </c>
      <c r="B8">
        <f ca="1">SUMIF([1]CostBill!$D:$M,A8,[1]CostBill!$M:$M)</f>
        <v>3.4</v>
      </c>
      <c r="C8" s="3">
        <v>45715</v>
      </c>
      <c r="D8" s="4" t="str">
        <f t="shared" si="0"/>
        <v>2.050</v>
      </c>
      <c r="G8" s="2" t="s">
        <v>848</v>
      </c>
      <c r="H8" s="2" t="s">
        <v>100</v>
      </c>
    </row>
    <row r="9" spans="1:8">
      <c r="A9" s="2" t="s">
        <v>852</v>
      </c>
      <c r="B9">
        <f ca="1">SUMIF([1]CostBill!$D:$M,A9,[1]CostBill!$M:$M)</f>
        <v>2.96</v>
      </c>
      <c r="C9" s="3">
        <v>45715</v>
      </c>
      <c r="D9" s="4" t="str">
        <f t="shared" si="0"/>
        <v>1.348</v>
      </c>
      <c r="G9" s="2" t="s">
        <v>848</v>
      </c>
      <c r="H9" s="2" t="s">
        <v>100</v>
      </c>
    </row>
    <row r="10" spans="1:8">
      <c r="A10" s="2" t="s">
        <v>853</v>
      </c>
      <c r="B10">
        <f ca="1">SUMIF([1]CostBill!$D:$M,A10,[1]CostBill!$M:$M)</f>
        <v>2.89</v>
      </c>
      <c r="C10" s="3">
        <v>45714</v>
      </c>
      <c r="D10" s="4" t="str">
        <f t="shared" si="0"/>
        <v>0.358</v>
      </c>
      <c r="G10" s="2" t="s">
        <v>848</v>
      </c>
      <c r="H10" s="2" t="s">
        <v>100</v>
      </c>
    </row>
    <row r="11" spans="1:8">
      <c r="A11" s="2" t="s">
        <v>854</v>
      </c>
      <c r="B11">
        <f ca="1">SUMIF([1]CostBill!$D:$M,A11,[1]CostBill!$M:$M)</f>
        <v>2.89</v>
      </c>
      <c r="C11" s="3">
        <v>45714</v>
      </c>
      <c r="D11" s="4" t="str">
        <f t="shared" si="0"/>
        <v>0.568</v>
      </c>
      <c r="G11" s="2" t="s">
        <v>849</v>
      </c>
      <c r="H11" s="2" t="s">
        <v>192</v>
      </c>
    </row>
    <row r="12" spans="1:8">
      <c r="A12" s="2" t="s">
        <v>855</v>
      </c>
      <c r="B12">
        <f ca="1">SUMIF([1]CostBill!$D:$M,A12,[1]CostBill!$M:$M)</f>
        <v>2.96</v>
      </c>
      <c r="C12" s="3">
        <v>45713</v>
      </c>
      <c r="D12" s="4" t="str">
        <f t="shared" si="0"/>
        <v>1.646</v>
      </c>
      <c r="G12" s="2" t="s">
        <v>849</v>
      </c>
      <c r="H12" s="2" t="s">
        <v>192</v>
      </c>
    </row>
    <row r="13" spans="1:8">
      <c r="A13" s="2" t="s">
        <v>856</v>
      </c>
      <c r="B13">
        <f ca="1">SUMIF([1]CostBill!$D:$M,A13,[1]CostBill!$M:$M)</f>
        <v>2.96</v>
      </c>
      <c r="C13" s="3">
        <v>45713</v>
      </c>
      <c r="D13" s="4" t="str">
        <f t="shared" si="0"/>
        <v>1.827</v>
      </c>
      <c r="G13" s="2" t="s">
        <v>850</v>
      </c>
      <c r="H13" s="2" t="s">
        <v>286</v>
      </c>
    </row>
    <row r="14" spans="1:8">
      <c r="A14" s="2" t="s">
        <v>857</v>
      </c>
      <c r="B14">
        <f ca="1">SUMIF([1]CostBill!$D:$M,A14,[1]CostBill!$M:$M)</f>
        <v>2.96</v>
      </c>
      <c r="C14" s="3">
        <v>45713</v>
      </c>
      <c r="D14" s="4" t="str">
        <f t="shared" si="0"/>
        <v>1.827</v>
      </c>
      <c r="G14" s="2" t="s">
        <v>850</v>
      </c>
      <c r="H14" s="2" t="s">
        <v>286</v>
      </c>
    </row>
    <row r="15" spans="1:8">
      <c r="A15" s="2" t="s">
        <v>858</v>
      </c>
      <c r="B15">
        <f ca="1">SUMIF([1]CostBill!$D:$M,A15,[1]CostBill!$M:$M)</f>
        <v>2.96</v>
      </c>
      <c r="C15" s="3">
        <v>45713</v>
      </c>
      <c r="D15" s="4" t="str">
        <f t="shared" si="0"/>
        <v>1.674</v>
      </c>
      <c r="G15" s="2" t="s">
        <v>850</v>
      </c>
      <c r="H15" s="2" t="s">
        <v>286</v>
      </c>
    </row>
    <row r="16" spans="1:8">
      <c r="A16" s="2" t="s">
        <v>859</v>
      </c>
      <c r="B16">
        <f ca="1">SUMIF([1]CostBill!$D:$M,A16,[1]CostBill!$M:$M)</f>
        <v>2.96</v>
      </c>
      <c r="C16" s="3">
        <v>45713</v>
      </c>
      <c r="D16" s="4" t="str">
        <f t="shared" si="0"/>
        <v>1.674</v>
      </c>
      <c r="G16" s="2" t="s">
        <v>851</v>
      </c>
      <c r="H16" s="2" t="s">
        <v>860</v>
      </c>
    </row>
    <row r="17" spans="1:8">
      <c r="A17" s="2" t="s">
        <v>861</v>
      </c>
      <c r="B17">
        <f ca="1">SUMIF([1]CostBill!$D:$M,A17,[1]CostBill!$M:$M)</f>
        <v>2.96</v>
      </c>
      <c r="C17" s="3">
        <v>45713</v>
      </c>
      <c r="D17" s="4" t="str">
        <f t="shared" si="0"/>
        <v>1.674</v>
      </c>
      <c r="G17" s="2" t="s">
        <v>851</v>
      </c>
      <c r="H17" s="2" t="s">
        <v>860</v>
      </c>
    </row>
    <row r="18" spans="1:8">
      <c r="A18" s="2" t="s">
        <v>862</v>
      </c>
      <c r="B18">
        <f ca="1">SUMIF([1]CostBill!$D:$M,A18,[1]CostBill!$M:$M)</f>
        <v>3.77</v>
      </c>
      <c r="C18" s="3">
        <v>45712</v>
      </c>
      <c r="D18" s="4" t="str">
        <f t="shared" si="0"/>
        <v>3.348</v>
      </c>
      <c r="G18" s="2" t="s">
        <v>851</v>
      </c>
      <c r="H18" s="2" t="s">
        <v>860</v>
      </c>
    </row>
    <row r="19" spans="1:8">
      <c r="A19" s="2" t="s">
        <v>863</v>
      </c>
      <c r="B19">
        <f ca="1">SUMIF([1]CostBill!$D:$M,A19,[1]CostBill!$M:$M)</f>
        <v>2.96</v>
      </c>
      <c r="C19" s="3">
        <v>45712</v>
      </c>
      <c r="D19" s="4" t="str">
        <f t="shared" si="0"/>
        <v>1.827</v>
      </c>
      <c r="G19" s="2" t="s">
        <v>852</v>
      </c>
      <c r="H19" s="2" t="s">
        <v>316</v>
      </c>
    </row>
    <row r="20" spans="1:8">
      <c r="A20" s="2" t="s">
        <v>864</v>
      </c>
      <c r="B20">
        <f ca="1">SUMIF([1]CostBill!$D:$M,A20,[1]CostBill!$M:$M)</f>
        <v>2.96</v>
      </c>
      <c r="C20" s="3">
        <v>45711</v>
      </c>
      <c r="D20" s="4" t="str">
        <f t="shared" si="0"/>
        <v>1.646</v>
      </c>
      <c r="G20" s="2" t="s">
        <v>852</v>
      </c>
      <c r="H20" s="2" t="s">
        <v>316</v>
      </c>
    </row>
    <row r="21" spans="1:8">
      <c r="A21" s="2" t="s">
        <v>865</v>
      </c>
      <c r="B21">
        <f ca="1">SUMIF([1]CostBill!$D:$M,A21,[1]CostBill!$M:$M)</f>
        <v>2.96</v>
      </c>
      <c r="C21" s="3">
        <v>45711</v>
      </c>
      <c r="D21" s="4" t="str">
        <f t="shared" si="0"/>
        <v>1.646</v>
      </c>
      <c r="G21" s="2" t="s">
        <v>852</v>
      </c>
      <c r="H21" s="2" t="s">
        <v>316</v>
      </c>
    </row>
    <row r="22" spans="1:8">
      <c r="A22" s="2" t="s">
        <v>866</v>
      </c>
      <c r="B22">
        <f ca="1">SUMIF([1]CostBill!$D:$M,A22,[1]CostBill!$M:$M)</f>
        <v>2.89</v>
      </c>
      <c r="C22" s="3">
        <v>45712</v>
      </c>
      <c r="D22" s="4" t="str">
        <f t="shared" si="0"/>
        <v>0.358</v>
      </c>
      <c r="G22" s="2" t="s">
        <v>853</v>
      </c>
      <c r="H22" s="2" t="s">
        <v>828</v>
      </c>
    </row>
    <row r="23" spans="1:8">
      <c r="A23" s="2" t="s">
        <v>867</v>
      </c>
      <c r="B23">
        <f ca="1">SUMIF([1]CostBill!$D:$M,A23,[1]CostBill!$M:$M)</f>
        <v>3.19</v>
      </c>
      <c r="C23" s="3">
        <v>45712</v>
      </c>
      <c r="D23" s="4" t="str">
        <f t="shared" si="0"/>
        <v>0.716</v>
      </c>
      <c r="G23" s="2" t="s">
        <v>853</v>
      </c>
      <c r="H23" s="2" t="s">
        <v>828</v>
      </c>
    </row>
    <row r="24" spans="1:8">
      <c r="A24" s="2" t="s">
        <v>868</v>
      </c>
      <c r="B24">
        <f ca="1">SUMIF([1]CostBill!$D:$M,A24,[1]CostBill!$M:$M)</f>
        <v>2.89</v>
      </c>
      <c r="C24" s="3">
        <v>45712</v>
      </c>
      <c r="D24" s="4" t="str">
        <f t="shared" si="0"/>
        <v>0.568</v>
      </c>
      <c r="G24" s="2" t="s">
        <v>854</v>
      </c>
      <c r="H24" s="2" t="s">
        <v>869</v>
      </c>
    </row>
    <row r="25" spans="1:8">
      <c r="A25" s="2" t="s">
        <v>870</v>
      </c>
      <c r="B25">
        <f ca="1">SUMIF([1]CostBill!$D:$M,A25,[1]CostBill!$M:$M)</f>
        <v>2.96</v>
      </c>
      <c r="C25" s="3">
        <v>45712</v>
      </c>
      <c r="D25" s="4" t="str">
        <f t="shared" si="0"/>
        <v>1.869</v>
      </c>
      <c r="G25" s="2" t="s">
        <v>854</v>
      </c>
      <c r="H25" s="2" t="s">
        <v>869</v>
      </c>
    </row>
    <row r="26" spans="1:8">
      <c r="A26" s="2" t="s">
        <v>871</v>
      </c>
      <c r="B26">
        <f ca="1">SUMIF([1]CostBill!$D:$M,A26,[1]CostBill!$M:$M)</f>
        <v>2.96</v>
      </c>
      <c r="C26" s="3">
        <v>45710</v>
      </c>
      <c r="D26" s="4" t="str">
        <f t="shared" si="0"/>
        <v>1.674</v>
      </c>
      <c r="G26" s="2" t="s">
        <v>855</v>
      </c>
      <c r="H26" s="2" t="s">
        <v>48</v>
      </c>
    </row>
    <row r="27" spans="1:8">
      <c r="A27" s="2" t="s">
        <v>872</v>
      </c>
      <c r="B27">
        <f ca="1">SUMIF([1]CostBill!$D:$M,A27,[1]CostBill!$M:$M)</f>
        <v>2.96</v>
      </c>
      <c r="C27" s="3">
        <v>45712</v>
      </c>
      <c r="D27" s="4" t="str">
        <f t="shared" si="0"/>
        <v>1.674</v>
      </c>
      <c r="G27" s="2" t="s">
        <v>855</v>
      </c>
      <c r="H27" s="2" t="s">
        <v>48</v>
      </c>
    </row>
    <row r="28" spans="1:8">
      <c r="A28" s="2" t="s">
        <v>873</v>
      </c>
      <c r="B28">
        <f ca="1">SUMIF([1]CostBill!$D:$M,A28,[1]CostBill!$M:$M)</f>
        <v>2.96</v>
      </c>
      <c r="C28" s="3">
        <v>45712</v>
      </c>
      <c r="D28" s="4" t="str">
        <f t="shared" si="0"/>
        <v>1.674</v>
      </c>
      <c r="G28" s="2" t="s">
        <v>855</v>
      </c>
      <c r="H28" s="2" t="s">
        <v>48</v>
      </c>
    </row>
    <row r="29" spans="1:8">
      <c r="A29" s="2" t="s">
        <v>874</v>
      </c>
      <c r="B29">
        <f ca="1">SUMIF([1]CostBill!$D:$M,A29,[1]CostBill!$M:$M)</f>
        <v>2.89</v>
      </c>
      <c r="C29" s="3">
        <v>45710</v>
      </c>
      <c r="D29" s="4" t="str">
        <f t="shared" si="0"/>
        <v>0.034</v>
      </c>
      <c r="G29" s="2" t="s">
        <v>856</v>
      </c>
      <c r="H29" s="2" t="s">
        <v>757</v>
      </c>
    </row>
    <row r="30" spans="1:8">
      <c r="A30" s="2" t="s">
        <v>875</v>
      </c>
      <c r="B30">
        <f ca="1">SUMIF([1]CostBill!$D:$M,A30,[1]CostBill!$M:$M)</f>
        <v>2.96</v>
      </c>
      <c r="C30" s="3">
        <v>45710</v>
      </c>
      <c r="D30" s="4" t="str">
        <f t="shared" si="0"/>
        <v>1.362</v>
      </c>
      <c r="G30" s="2" t="s">
        <v>856</v>
      </c>
      <c r="H30" s="2" t="s">
        <v>757</v>
      </c>
    </row>
    <row r="31" spans="1:8">
      <c r="A31" s="2" t="s">
        <v>876</v>
      </c>
      <c r="B31">
        <f ca="1">SUMIF([1]CostBill!$D:$M,A31,[1]CostBill!$M:$M)</f>
        <v>2.96</v>
      </c>
      <c r="C31" s="3">
        <v>45709</v>
      </c>
      <c r="D31" s="4" t="str">
        <f t="shared" si="0"/>
        <v>1.646</v>
      </c>
      <c r="G31" s="2" t="s">
        <v>856</v>
      </c>
      <c r="H31" s="2" t="s">
        <v>757</v>
      </c>
    </row>
    <row r="32" spans="1:8">
      <c r="A32" s="2" t="s">
        <v>877</v>
      </c>
      <c r="B32">
        <f ca="1">SUMIF([1]CostBill!$D:$M,A32,[1]CostBill!$M:$M)</f>
        <v>2.96</v>
      </c>
      <c r="C32" s="3">
        <v>45709</v>
      </c>
      <c r="D32" s="4" t="str">
        <f t="shared" si="0"/>
        <v>1.139</v>
      </c>
      <c r="G32" s="2" t="s">
        <v>857</v>
      </c>
      <c r="H32" s="2" t="s">
        <v>757</v>
      </c>
    </row>
    <row r="33" spans="1:8">
      <c r="A33" s="2" t="s">
        <v>878</v>
      </c>
      <c r="B33">
        <f ca="1">SUMIF([1]CostBill!$D:$M,A33,[1]CostBill!$M:$M)</f>
        <v>2.96</v>
      </c>
      <c r="C33" s="3">
        <v>45709</v>
      </c>
      <c r="D33" s="4" t="str">
        <f t="shared" si="0"/>
        <v>1.139</v>
      </c>
      <c r="G33" s="2" t="s">
        <v>857</v>
      </c>
      <c r="H33" s="2" t="s">
        <v>757</v>
      </c>
    </row>
    <row r="34" spans="1:8">
      <c r="A34" s="2" t="s">
        <v>879</v>
      </c>
      <c r="B34">
        <f ca="1">SUMIF([1]CostBill!$D:$M,A34,[1]CostBill!$M:$M)</f>
        <v>2.96</v>
      </c>
      <c r="C34" s="3">
        <v>45709</v>
      </c>
      <c r="D34" s="4" t="str">
        <f t="shared" si="0"/>
        <v>1.139</v>
      </c>
      <c r="G34" s="2" t="s">
        <v>857</v>
      </c>
      <c r="H34" s="2" t="s">
        <v>757</v>
      </c>
    </row>
    <row r="35" spans="1:8">
      <c r="A35" s="2" t="s">
        <v>880</v>
      </c>
      <c r="B35">
        <f ca="1">SUMIF([1]CostBill!$D:$M,A35,[1]CostBill!$M:$M)</f>
        <v>2.96</v>
      </c>
      <c r="C35" s="3">
        <v>45709</v>
      </c>
      <c r="D35" s="4" t="str">
        <f t="shared" ref="D35:D66" si="1">VLOOKUP(A35,G:H,2,0)</f>
        <v>1.674</v>
      </c>
      <c r="G35" s="2" t="s">
        <v>858</v>
      </c>
      <c r="H35" s="2" t="s">
        <v>286</v>
      </c>
    </row>
    <row r="36" spans="1:8">
      <c r="A36" s="2" t="s">
        <v>881</v>
      </c>
      <c r="B36">
        <f ca="1">SUMIF([1]CostBill!$D:$M,A36,[1]CostBill!$M:$M)</f>
        <v>2.96</v>
      </c>
      <c r="C36" s="3">
        <v>45708</v>
      </c>
      <c r="D36" s="4" t="str">
        <f t="shared" si="1"/>
        <v>1.674</v>
      </c>
      <c r="G36" s="2" t="s">
        <v>858</v>
      </c>
      <c r="H36" s="2" t="s">
        <v>286</v>
      </c>
    </row>
    <row r="37" spans="1:8">
      <c r="A37" s="2" t="s">
        <v>882</v>
      </c>
      <c r="B37">
        <f ca="1">SUMIF([1]CostBill!$D:$M,A37,[1]CostBill!$M:$M)</f>
        <v>2.96</v>
      </c>
      <c r="C37" s="3">
        <v>45708</v>
      </c>
      <c r="D37" s="4" t="str">
        <f t="shared" si="1"/>
        <v>1.362</v>
      </c>
      <c r="G37" s="2" t="s">
        <v>858</v>
      </c>
      <c r="H37" s="2" t="s">
        <v>286</v>
      </c>
    </row>
    <row r="38" spans="1:8">
      <c r="A38" s="2" t="s">
        <v>883</v>
      </c>
      <c r="B38">
        <f ca="1">SUMIF([1]CostBill!$D:$M,A38,[1]CostBill!$M:$M)</f>
        <v>2.96</v>
      </c>
      <c r="C38" s="3">
        <v>45708</v>
      </c>
      <c r="D38" s="4" t="str">
        <f t="shared" si="1"/>
        <v>1.907</v>
      </c>
      <c r="G38" s="2" t="s">
        <v>859</v>
      </c>
      <c r="H38" s="2" t="s">
        <v>286</v>
      </c>
    </row>
    <row r="39" spans="1:8">
      <c r="A39" s="2" t="s">
        <v>884</v>
      </c>
      <c r="B39">
        <f ca="1">SUMIF([1]CostBill!$D:$M,A39,[1]CostBill!$M:$M)</f>
        <v>2.96</v>
      </c>
      <c r="C39" s="3">
        <v>45708</v>
      </c>
      <c r="D39" s="4" t="str">
        <f t="shared" si="1"/>
        <v>1.139</v>
      </c>
      <c r="G39" s="2" t="s">
        <v>859</v>
      </c>
      <c r="H39" s="2" t="s">
        <v>286</v>
      </c>
    </row>
    <row r="40" spans="1:8">
      <c r="A40" s="2" t="s">
        <v>885</v>
      </c>
      <c r="B40">
        <f ca="1">SUMIF([1]CostBill!$D:$M,A40,[1]CostBill!$M:$M)</f>
        <v>2.96</v>
      </c>
      <c r="C40" s="3">
        <v>45708</v>
      </c>
      <c r="D40" s="4" t="str">
        <f t="shared" si="1"/>
        <v>1.139</v>
      </c>
      <c r="G40" s="2" t="s">
        <v>859</v>
      </c>
      <c r="H40" s="2" t="s">
        <v>286</v>
      </c>
    </row>
    <row r="41" spans="1:8">
      <c r="A41" s="2" t="s">
        <v>886</v>
      </c>
      <c r="B41">
        <f ca="1">SUMIF([1]CostBill!$D:$M,A41,[1]CostBill!$M:$M)</f>
        <v>2.96</v>
      </c>
      <c r="C41" s="3">
        <v>45708</v>
      </c>
      <c r="D41" s="4" t="str">
        <f t="shared" si="1"/>
        <v>1.139</v>
      </c>
      <c r="G41" s="2" t="s">
        <v>861</v>
      </c>
      <c r="H41" s="2" t="s">
        <v>286</v>
      </c>
    </row>
    <row r="42" spans="1:8">
      <c r="A42" s="2" t="s">
        <v>887</v>
      </c>
      <c r="B42">
        <f ca="1">SUMIF([1]CostBill!$D:$M,A42,[1]CostBill!$M:$M)</f>
        <v>2.96</v>
      </c>
      <c r="C42" s="3">
        <v>45708</v>
      </c>
      <c r="D42" s="4" t="str">
        <f t="shared" si="1"/>
        <v>1.139</v>
      </c>
      <c r="G42" s="2" t="s">
        <v>861</v>
      </c>
      <c r="H42" s="2" t="s">
        <v>286</v>
      </c>
    </row>
    <row r="43" spans="1:8">
      <c r="A43" s="2" t="s">
        <v>888</v>
      </c>
      <c r="B43">
        <f ca="1">SUMIF([1]CostBill!$D:$M,A43,[1]CostBill!$M:$M)</f>
        <v>2.96</v>
      </c>
      <c r="C43" s="3">
        <v>45708</v>
      </c>
      <c r="D43" s="4" t="str">
        <f t="shared" si="1"/>
        <v>1.139</v>
      </c>
      <c r="G43" s="2" t="s">
        <v>861</v>
      </c>
      <c r="H43" s="2" t="s">
        <v>286</v>
      </c>
    </row>
    <row r="44" spans="1:8">
      <c r="A44" s="2" t="s">
        <v>889</v>
      </c>
      <c r="B44">
        <f ca="1">SUMIF([1]CostBill!$D:$M,A44,[1]CostBill!$M:$M)</f>
        <v>2.96</v>
      </c>
      <c r="C44" s="3">
        <v>45708</v>
      </c>
      <c r="D44" s="4" t="str">
        <f t="shared" si="1"/>
        <v>1.139</v>
      </c>
      <c r="G44" s="2" t="s">
        <v>862</v>
      </c>
      <c r="H44" s="2" t="s">
        <v>890</v>
      </c>
    </row>
    <row r="45" spans="1:8">
      <c r="A45" s="2" t="s">
        <v>891</v>
      </c>
      <c r="B45">
        <f ca="1">SUMIF([1]CostBill!$D:$M,A45,[1]CostBill!$M:$M)</f>
        <v>2.96</v>
      </c>
      <c r="C45" s="3">
        <v>45708</v>
      </c>
      <c r="D45" s="4" t="str">
        <f t="shared" si="1"/>
        <v>1.139</v>
      </c>
      <c r="G45" s="2" t="s">
        <v>862</v>
      </c>
      <c r="H45" s="2" t="s">
        <v>890</v>
      </c>
    </row>
    <row r="46" spans="1:8">
      <c r="A46" s="2" t="s">
        <v>892</v>
      </c>
      <c r="B46">
        <f ca="1">SUMIF([1]CostBill!$D:$M,A46,[1]CostBill!$M:$M)</f>
        <v>2.96</v>
      </c>
      <c r="C46" s="3">
        <v>45708</v>
      </c>
      <c r="D46" s="4" t="str">
        <f t="shared" si="1"/>
        <v>1.139</v>
      </c>
      <c r="G46" s="2" t="s">
        <v>862</v>
      </c>
      <c r="H46" s="2" t="s">
        <v>890</v>
      </c>
    </row>
    <row r="47" spans="1:8">
      <c r="A47" s="2" t="s">
        <v>893</v>
      </c>
      <c r="B47">
        <f ca="1">SUMIF([1]CostBill!$D:$M,A47,[1]CostBill!$M:$M)</f>
        <v>5.2</v>
      </c>
      <c r="C47" s="3">
        <v>45708</v>
      </c>
      <c r="D47" s="4" t="str">
        <f t="shared" si="1"/>
        <v>2.278</v>
      </c>
      <c r="G47" s="2" t="s">
        <v>862</v>
      </c>
      <c r="H47" s="2" t="s">
        <v>890</v>
      </c>
    </row>
    <row r="48" spans="1:8">
      <c r="A48" s="2" t="s">
        <v>894</v>
      </c>
      <c r="B48">
        <f ca="1">SUMIF([1]CostBill!$D:$M,A48,[1]CostBill!$M:$M)</f>
        <v>2.96</v>
      </c>
      <c r="C48" s="3">
        <v>45708</v>
      </c>
      <c r="D48" s="4" t="str">
        <f t="shared" si="1"/>
        <v>1.139</v>
      </c>
      <c r="G48" s="2" t="s">
        <v>863</v>
      </c>
      <c r="H48" s="2" t="s">
        <v>757</v>
      </c>
    </row>
    <row r="49" spans="1:8">
      <c r="A49" s="2" t="s">
        <v>895</v>
      </c>
      <c r="B49">
        <f ca="1">SUMIF([1]CostBill!$D:$M,A49,[1]CostBill!$M:$M)</f>
        <v>2.96</v>
      </c>
      <c r="C49" s="3">
        <v>45708</v>
      </c>
      <c r="D49" s="4" t="str">
        <f t="shared" si="1"/>
        <v>1.139</v>
      </c>
      <c r="G49" s="2" t="s">
        <v>863</v>
      </c>
      <c r="H49" s="2" t="s">
        <v>757</v>
      </c>
    </row>
    <row r="50" spans="1:8">
      <c r="A50" s="2" t="s">
        <v>896</v>
      </c>
      <c r="B50">
        <f ca="1">SUMIF([1]CostBill!$D:$M,A50,[1]CostBill!$M:$M)</f>
        <v>2.96</v>
      </c>
      <c r="C50" s="3">
        <v>45708</v>
      </c>
      <c r="D50" s="4" t="str">
        <f t="shared" si="1"/>
        <v>1.139</v>
      </c>
      <c r="G50" s="2" t="s">
        <v>863</v>
      </c>
      <c r="H50" s="2" t="s">
        <v>757</v>
      </c>
    </row>
    <row r="51" spans="1:8">
      <c r="A51" s="2" t="s">
        <v>897</v>
      </c>
      <c r="B51">
        <f ca="1">SUMIF([1]CostBill!$D:$M,A51,[1]CostBill!$M:$M)</f>
        <v>2.96</v>
      </c>
      <c r="C51" s="3">
        <v>45708</v>
      </c>
      <c r="D51" s="4" t="str">
        <f t="shared" si="1"/>
        <v>1.139</v>
      </c>
      <c r="G51" s="2" t="s">
        <v>864</v>
      </c>
      <c r="H51" s="2" t="s">
        <v>48</v>
      </c>
    </row>
    <row r="52" spans="1:8">
      <c r="A52" s="2" t="s">
        <v>898</v>
      </c>
      <c r="B52">
        <f ca="1">SUMIF([1]CostBill!$D:$M,A52,[1]CostBill!$M:$M)</f>
        <v>2.96</v>
      </c>
      <c r="C52" s="3">
        <v>45708</v>
      </c>
      <c r="D52" s="4" t="str">
        <f t="shared" si="1"/>
        <v>1.139</v>
      </c>
      <c r="G52" s="2" t="s">
        <v>864</v>
      </c>
      <c r="H52" s="2" t="s">
        <v>48</v>
      </c>
    </row>
    <row r="53" spans="1:8">
      <c r="A53" s="2" t="s">
        <v>899</v>
      </c>
      <c r="B53">
        <f ca="1">SUMIF([1]CostBill!$D:$M,A53,[1]CostBill!$M:$M)</f>
        <v>2.96</v>
      </c>
      <c r="C53" s="3">
        <v>45707</v>
      </c>
      <c r="D53" s="4" t="str">
        <f t="shared" si="1"/>
        <v>1.139</v>
      </c>
      <c r="G53" s="2" t="s">
        <v>864</v>
      </c>
      <c r="H53" s="2" t="s">
        <v>48</v>
      </c>
    </row>
    <row r="54" spans="1:8">
      <c r="A54" s="2" t="s">
        <v>900</v>
      </c>
      <c r="B54">
        <f ca="1">SUMIF([1]CostBill!$D:$M,A54,[1]CostBill!$M:$M)</f>
        <v>2.96</v>
      </c>
      <c r="C54" s="3">
        <v>45707</v>
      </c>
      <c r="D54" s="4" t="str">
        <f t="shared" si="1"/>
        <v>1.139</v>
      </c>
      <c r="G54" s="2" t="s">
        <v>865</v>
      </c>
      <c r="H54" s="2" t="s">
        <v>48</v>
      </c>
    </row>
    <row r="55" spans="1:8">
      <c r="A55" s="2" t="s">
        <v>901</v>
      </c>
      <c r="B55">
        <f ca="1">SUMIF([1]CostBill!$D:$M,A55,[1]CostBill!$M:$M)</f>
        <v>2.96</v>
      </c>
      <c r="C55" s="3">
        <v>45707</v>
      </c>
      <c r="D55" s="4" t="str">
        <f t="shared" si="1"/>
        <v>1.139</v>
      </c>
      <c r="G55" s="2" t="s">
        <v>865</v>
      </c>
      <c r="H55" s="2" t="s">
        <v>48</v>
      </c>
    </row>
    <row r="56" spans="1:8">
      <c r="A56" s="2" t="s">
        <v>902</v>
      </c>
      <c r="B56">
        <f ca="1">SUMIF([1]CostBill!$D:$M,A56,[1]CostBill!$M:$M)</f>
        <v>2.96</v>
      </c>
      <c r="C56" s="3">
        <v>45707</v>
      </c>
      <c r="D56" s="4" t="str">
        <f t="shared" si="1"/>
        <v>1.139</v>
      </c>
      <c r="G56" s="2" t="s">
        <v>865</v>
      </c>
      <c r="H56" s="2" t="s">
        <v>48</v>
      </c>
    </row>
    <row r="57" spans="1:8">
      <c r="A57" s="2" t="s">
        <v>903</v>
      </c>
      <c r="B57">
        <f ca="1">SUMIF([1]CostBill!$D:$M,A57,[1]CostBill!$M:$M)</f>
        <v>2.96</v>
      </c>
      <c r="C57" s="3">
        <v>45707</v>
      </c>
      <c r="D57" s="4" t="str">
        <f t="shared" si="1"/>
        <v>1.139</v>
      </c>
      <c r="G57" s="2" t="s">
        <v>866</v>
      </c>
      <c r="H57" s="2" t="s">
        <v>828</v>
      </c>
    </row>
    <row r="58" spans="1:8">
      <c r="A58" s="2" t="s">
        <v>904</v>
      </c>
      <c r="B58">
        <f ca="1">SUMIF([1]CostBill!$D:$M,A58,[1]CostBill!$M:$M)</f>
        <v>2.96</v>
      </c>
      <c r="C58" s="3">
        <v>45707</v>
      </c>
      <c r="D58" s="4" t="str">
        <f t="shared" si="1"/>
        <v>1.139</v>
      </c>
      <c r="G58" s="2" t="s">
        <v>866</v>
      </c>
      <c r="H58" s="2" t="s">
        <v>828</v>
      </c>
    </row>
    <row r="59" spans="1:8">
      <c r="A59" s="2" t="s">
        <v>905</v>
      </c>
      <c r="B59">
        <f ca="1">SUMIF([1]CostBill!$D:$M,A59,[1]CostBill!$M:$M)</f>
        <v>2.96</v>
      </c>
      <c r="C59" s="3">
        <v>45707</v>
      </c>
      <c r="D59" s="4" t="str">
        <f t="shared" si="1"/>
        <v>1.139</v>
      </c>
      <c r="G59" s="2" t="s">
        <v>867</v>
      </c>
      <c r="H59" s="2" t="s">
        <v>906</v>
      </c>
    </row>
    <row r="60" spans="1:8">
      <c r="A60" s="2" t="s">
        <v>907</v>
      </c>
      <c r="B60">
        <f ca="1">SUMIF([1]CostBill!$D:$M,A60,[1]CostBill!$M:$M)</f>
        <v>2.96</v>
      </c>
      <c r="C60" s="3">
        <v>45707</v>
      </c>
      <c r="D60" s="4" t="str">
        <f t="shared" si="1"/>
        <v>1.139</v>
      </c>
      <c r="G60" s="2" t="s">
        <v>867</v>
      </c>
      <c r="H60" s="2" t="s">
        <v>906</v>
      </c>
    </row>
    <row r="61" spans="1:8">
      <c r="A61" s="2" t="s">
        <v>908</v>
      </c>
      <c r="B61">
        <f ca="1">SUMIF([1]CostBill!$D:$M,A61,[1]CostBill!$M:$M)</f>
        <v>2.96</v>
      </c>
      <c r="C61" s="3">
        <v>45707</v>
      </c>
      <c r="D61" s="4" t="str">
        <f t="shared" si="1"/>
        <v>1.139</v>
      </c>
      <c r="G61" s="2" t="s">
        <v>867</v>
      </c>
      <c r="H61" s="2" t="s">
        <v>906</v>
      </c>
    </row>
    <row r="62" spans="1:8">
      <c r="A62" s="2" t="s">
        <v>909</v>
      </c>
      <c r="B62">
        <f ca="1">SUMIF([1]CostBill!$D:$M,A62,[1]CostBill!$M:$M)</f>
        <v>2.96</v>
      </c>
      <c r="C62" s="3">
        <v>45707</v>
      </c>
      <c r="D62" s="4" t="str">
        <f t="shared" si="1"/>
        <v>1.139</v>
      </c>
      <c r="G62" s="2" t="s">
        <v>868</v>
      </c>
      <c r="H62" s="2" t="s">
        <v>869</v>
      </c>
    </row>
    <row r="63" spans="1:8">
      <c r="A63" s="2" t="s">
        <v>910</v>
      </c>
      <c r="B63">
        <f ca="1">SUMIF([1]CostBill!$D:$M,A63,[1]CostBill!$M:$M)</f>
        <v>2.96</v>
      </c>
      <c r="C63" s="3">
        <v>45707</v>
      </c>
      <c r="D63" s="4" t="str">
        <f t="shared" si="1"/>
        <v>1.139</v>
      </c>
      <c r="G63" s="2" t="s">
        <v>868</v>
      </c>
      <c r="H63" s="2" t="s">
        <v>869</v>
      </c>
    </row>
    <row r="64" spans="1:8">
      <c r="A64" s="2" t="s">
        <v>911</v>
      </c>
      <c r="B64">
        <f ca="1">SUMIF([1]CostBill!$D:$M,A64,[1]CostBill!$M:$M)</f>
        <v>2.96</v>
      </c>
      <c r="C64" s="3">
        <v>45707</v>
      </c>
      <c r="D64" s="4" t="str">
        <f t="shared" si="1"/>
        <v>1.139</v>
      </c>
      <c r="G64" s="2" t="s">
        <v>870</v>
      </c>
      <c r="H64" s="2" t="s">
        <v>100</v>
      </c>
    </row>
    <row r="65" spans="1:8">
      <c r="A65" s="2" t="s">
        <v>912</v>
      </c>
      <c r="B65">
        <f ca="1">SUMIF([1]CostBill!$D:$M,A65,[1]CostBill!$M:$M)</f>
        <v>3.7</v>
      </c>
      <c r="C65" s="3">
        <v>45707</v>
      </c>
      <c r="D65" s="4" t="str">
        <f t="shared" si="1"/>
        <v>2.278</v>
      </c>
      <c r="G65" s="2" t="s">
        <v>870</v>
      </c>
      <c r="H65" s="2" t="s">
        <v>100</v>
      </c>
    </row>
    <row r="66" spans="1:8">
      <c r="A66" s="2" t="s">
        <v>913</v>
      </c>
      <c r="B66">
        <f ca="1">SUMIF([1]CostBill!$D:$M,A66,[1]CostBill!$M:$M)</f>
        <v>2.96</v>
      </c>
      <c r="C66" s="3">
        <v>45707</v>
      </c>
      <c r="D66" s="4" t="str">
        <f t="shared" si="1"/>
        <v>1.139</v>
      </c>
      <c r="G66" s="2" t="s">
        <v>870</v>
      </c>
      <c r="H66" s="2" t="s">
        <v>100</v>
      </c>
    </row>
    <row r="67" spans="1:8">
      <c r="A67" s="2" t="s">
        <v>914</v>
      </c>
      <c r="B67">
        <f ca="1">SUMIF([1]CostBill!$D:$M,A67,[1]CostBill!$M:$M)</f>
        <v>2.96</v>
      </c>
      <c r="C67" s="3">
        <v>45707</v>
      </c>
      <c r="D67" s="4" t="str">
        <f t="shared" ref="D67:D98" si="2">VLOOKUP(A67,G:H,2,0)</f>
        <v>1.139</v>
      </c>
      <c r="G67" s="2" t="s">
        <v>871</v>
      </c>
      <c r="H67" s="2" t="s">
        <v>286</v>
      </c>
    </row>
    <row r="68" spans="1:8">
      <c r="A68" s="2" t="s">
        <v>915</v>
      </c>
      <c r="B68">
        <f ca="1">SUMIF([1]CostBill!$D:$M,A68,[1]CostBill!$M:$M)</f>
        <v>2.96</v>
      </c>
      <c r="C68" s="3">
        <v>45707</v>
      </c>
      <c r="D68" s="4" t="str">
        <f t="shared" si="2"/>
        <v>1.139</v>
      </c>
      <c r="G68" s="2" t="s">
        <v>871</v>
      </c>
      <c r="H68" s="2" t="s">
        <v>286</v>
      </c>
    </row>
    <row r="69" spans="1:8">
      <c r="A69" s="2" t="s">
        <v>916</v>
      </c>
      <c r="B69">
        <f ca="1">SUMIF([1]CostBill!$D:$M,A69,[1]CostBill!$M:$M)</f>
        <v>2.96</v>
      </c>
      <c r="C69" s="3">
        <v>45707</v>
      </c>
      <c r="D69" s="4" t="str">
        <f t="shared" si="2"/>
        <v>1.139</v>
      </c>
      <c r="G69" s="2" t="s">
        <v>871</v>
      </c>
      <c r="H69" s="2" t="s">
        <v>286</v>
      </c>
    </row>
    <row r="70" spans="1:8">
      <c r="A70" s="2" t="s">
        <v>917</v>
      </c>
      <c r="B70">
        <f ca="1">SUMIF([1]CostBill!$D:$M,A70,[1]CostBill!$M:$M)</f>
        <v>2.96</v>
      </c>
      <c r="C70" s="3">
        <v>45707</v>
      </c>
      <c r="D70" s="4" t="str">
        <f t="shared" si="2"/>
        <v>1.139</v>
      </c>
      <c r="G70" s="2" t="s">
        <v>872</v>
      </c>
      <c r="H70" s="2" t="s">
        <v>286</v>
      </c>
    </row>
    <row r="71" spans="1:8">
      <c r="A71" s="2" t="s">
        <v>918</v>
      </c>
      <c r="B71">
        <f ca="1">SUMIF([1]CostBill!$D:$M,A71,[1]CostBill!$M:$M)</f>
        <v>2.96</v>
      </c>
      <c r="C71" s="3">
        <v>45707</v>
      </c>
      <c r="D71" s="4" t="str">
        <f t="shared" si="2"/>
        <v>1.139</v>
      </c>
      <c r="G71" s="2" t="s">
        <v>872</v>
      </c>
      <c r="H71" s="2" t="s">
        <v>286</v>
      </c>
    </row>
    <row r="72" spans="1:8">
      <c r="A72" s="2" t="s">
        <v>919</v>
      </c>
      <c r="B72">
        <f ca="1">SUMIF([1]CostBill!$D:$M,A72,[1]CostBill!$M:$M)</f>
        <v>2.96</v>
      </c>
      <c r="C72" s="3">
        <v>45707</v>
      </c>
      <c r="D72" s="4" t="str">
        <f t="shared" si="2"/>
        <v>1.139</v>
      </c>
      <c r="G72" s="2" t="s">
        <v>872</v>
      </c>
      <c r="H72" s="2" t="s">
        <v>286</v>
      </c>
    </row>
    <row r="73" spans="1:8">
      <c r="A73" s="2" t="s">
        <v>920</v>
      </c>
      <c r="B73">
        <f ca="1">SUMIF([1]CostBill!$D:$M,A73,[1]CostBill!$M:$M)</f>
        <v>2.96</v>
      </c>
      <c r="C73" s="3">
        <v>45707</v>
      </c>
      <c r="D73" s="4" t="str">
        <f t="shared" si="2"/>
        <v>1.139</v>
      </c>
      <c r="G73" s="2" t="s">
        <v>873</v>
      </c>
      <c r="H73" s="2" t="s">
        <v>286</v>
      </c>
    </row>
    <row r="74" spans="1:8">
      <c r="A74" s="2" t="s">
        <v>921</v>
      </c>
      <c r="B74">
        <f ca="1">SUMIF([1]CostBill!$D:$M,A74,[1]CostBill!$M:$M)</f>
        <v>2.96</v>
      </c>
      <c r="C74" s="3">
        <v>45707</v>
      </c>
      <c r="D74" s="4" t="str">
        <f t="shared" si="2"/>
        <v>1.139</v>
      </c>
      <c r="G74" s="2" t="s">
        <v>873</v>
      </c>
      <c r="H74" s="2" t="s">
        <v>286</v>
      </c>
    </row>
    <row r="75" spans="1:8">
      <c r="A75" s="2" t="s">
        <v>922</v>
      </c>
      <c r="B75">
        <f ca="1">SUMIF([1]CostBill!$D:$M,A75,[1]CostBill!$M:$M)</f>
        <v>2.96</v>
      </c>
      <c r="C75" s="3">
        <v>45707</v>
      </c>
      <c r="D75" s="4" t="str">
        <f t="shared" si="2"/>
        <v>1.139</v>
      </c>
      <c r="G75" s="2" t="s">
        <v>873</v>
      </c>
      <c r="H75" s="2" t="s">
        <v>286</v>
      </c>
    </row>
    <row r="76" spans="1:8">
      <c r="A76" s="2" t="s">
        <v>923</v>
      </c>
      <c r="B76">
        <f ca="1">SUMIF([1]CostBill!$D:$M,A76,[1]CostBill!$M:$M)</f>
        <v>2.96</v>
      </c>
      <c r="C76" s="3">
        <v>45707</v>
      </c>
      <c r="D76" s="4" t="str">
        <f t="shared" si="2"/>
        <v>1.674</v>
      </c>
      <c r="G76" s="2" t="s">
        <v>874</v>
      </c>
      <c r="H76" s="2" t="s">
        <v>295</v>
      </c>
    </row>
    <row r="77" spans="1:8">
      <c r="A77" s="2" t="s">
        <v>924</v>
      </c>
      <c r="B77">
        <f ca="1">SUMIF([1]CostBill!$D:$M,A77,[1]CostBill!$M:$M)</f>
        <v>2.96</v>
      </c>
      <c r="C77" s="3">
        <v>45707</v>
      </c>
      <c r="D77" s="4" t="str">
        <f t="shared" si="2"/>
        <v>1.674</v>
      </c>
      <c r="G77" s="2" t="s">
        <v>874</v>
      </c>
      <c r="H77" s="2" t="s">
        <v>295</v>
      </c>
    </row>
    <row r="78" spans="1:8">
      <c r="A78" s="2" t="s">
        <v>925</v>
      </c>
      <c r="B78">
        <f ca="1">SUMIF([1]CostBill!$D:$M,A78,[1]CostBill!$M:$M)</f>
        <v>3.89</v>
      </c>
      <c r="C78" s="3">
        <v>45707</v>
      </c>
      <c r="D78" s="4" t="str">
        <f t="shared" si="2"/>
        <v>0.034</v>
      </c>
      <c r="G78" s="2" t="s">
        <v>875</v>
      </c>
      <c r="H78" s="2" t="s">
        <v>56</v>
      </c>
    </row>
    <row r="79" spans="1:8">
      <c r="A79" s="2" t="s">
        <v>926</v>
      </c>
      <c r="B79">
        <f ca="1">SUMIF([1]CostBill!$D:$M,A79,[1]CostBill!$M:$M)</f>
        <v>2.96</v>
      </c>
      <c r="C79" s="3">
        <v>45706</v>
      </c>
      <c r="D79" s="4" t="str">
        <f t="shared" si="2"/>
        <v>1.674</v>
      </c>
      <c r="G79" s="2" t="s">
        <v>875</v>
      </c>
      <c r="H79" s="2" t="s">
        <v>56</v>
      </c>
    </row>
    <row r="80" spans="1:8">
      <c r="A80" s="2" t="s">
        <v>927</v>
      </c>
      <c r="B80">
        <f ca="1">SUMIF([1]CostBill!$D:$M,A80,[1]CostBill!$M:$M)</f>
        <v>2.96</v>
      </c>
      <c r="C80" s="3">
        <v>45706</v>
      </c>
      <c r="D80" s="4" t="str">
        <f t="shared" si="2"/>
        <v>1.139</v>
      </c>
      <c r="G80" s="2" t="s">
        <v>875</v>
      </c>
      <c r="H80" s="2" t="s">
        <v>56</v>
      </c>
    </row>
    <row r="81" spans="1:8">
      <c r="A81" s="2" t="s">
        <v>928</v>
      </c>
      <c r="B81">
        <f ca="1">SUMIF([1]CostBill!$D:$M,A81,[1]CostBill!$M:$M)</f>
        <v>3.76</v>
      </c>
      <c r="C81" s="3">
        <v>45706</v>
      </c>
      <c r="D81" s="4" t="str">
        <f t="shared" si="2"/>
        <v>1.139</v>
      </c>
      <c r="G81" s="2" t="s">
        <v>876</v>
      </c>
      <c r="H81" s="2" t="s">
        <v>48</v>
      </c>
    </row>
    <row r="82" spans="1:8">
      <c r="A82" s="2" t="s">
        <v>929</v>
      </c>
      <c r="B82">
        <f ca="1">SUMIF([1]CostBill!$D:$M,A82,[1]CostBill!$M:$M)</f>
        <v>2.96</v>
      </c>
      <c r="C82" s="3">
        <v>45705</v>
      </c>
      <c r="D82" s="4" t="str">
        <f t="shared" si="2"/>
        <v>1.139</v>
      </c>
      <c r="G82" s="2" t="s">
        <v>876</v>
      </c>
      <c r="H82" s="2" t="s">
        <v>48</v>
      </c>
    </row>
    <row r="83" spans="1:8">
      <c r="A83" s="2" t="s">
        <v>930</v>
      </c>
      <c r="B83">
        <f ca="1">SUMIF([1]CostBill!$D:$M,A83,[1]CostBill!$M:$M)</f>
        <v>3.76</v>
      </c>
      <c r="C83" s="3">
        <v>45705</v>
      </c>
      <c r="D83" s="4" t="str">
        <f t="shared" si="2"/>
        <v>1.139</v>
      </c>
      <c r="G83" s="2" t="s">
        <v>876</v>
      </c>
      <c r="H83" s="2" t="s">
        <v>48</v>
      </c>
    </row>
    <row r="84" spans="1:8">
      <c r="A84" s="2" t="s">
        <v>931</v>
      </c>
      <c r="B84">
        <f ca="1">SUMIF([1]CostBill!$D:$M,A84,[1]CostBill!$M:$M)</f>
        <v>3.76</v>
      </c>
      <c r="C84" s="3">
        <v>45703</v>
      </c>
      <c r="D84" s="4" t="str">
        <f t="shared" si="2"/>
        <v>1.139</v>
      </c>
      <c r="G84" s="2" t="s">
        <v>877</v>
      </c>
      <c r="H84" s="2" t="s">
        <v>588</v>
      </c>
    </row>
    <row r="85" spans="1:8">
      <c r="A85" s="2" t="s">
        <v>932</v>
      </c>
      <c r="B85">
        <f ca="1">SUMIF([1]CostBill!$D:$M,A85,[1]CostBill!$M:$M)</f>
        <v>3.76</v>
      </c>
      <c r="C85" s="3">
        <v>45704</v>
      </c>
      <c r="D85" s="4" t="str">
        <f t="shared" si="2"/>
        <v>1.139</v>
      </c>
      <c r="G85" s="2" t="s">
        <v>877</v>
      </c>
      <c r="H85" s="2" t="s">
        <v>588</v>
      </c>
    </row>
    <row r="86" spans="1:8">
      <c r="A86" s="2" t="s">
        <v>933</v>
      </c>
      <c r="B86">
        <f ca="1">SUMIF([1]CostBill!$D:$M,A86,[1]CostBill!$M:$M)</f>
        <v>3.76</v>
      </c>
      <c r="C86" s="3">
        <v>45705</v>
      </c>
      <c r="D86" s="4" t="str">
        <f t="shared" si="2"/>
        <v>1.139</v>
      </c>
      <c r="G86" s="2" t="s">
        <v>877</v>
      </c>
      <c r="H86" s="2" t="s">
        <v>588</v>
      </c>
    </row>
    <row r="87" spans="1:8">
      <c r="A87" s="2" t="s">
        <v>934</v>
      </c>
      <c r="B87">
        <f ca="1">SUMIF([1]CostBill!$D:$M,A87,[1]CostBill!$M:$M)</f>
        <v>3.76</v>
      </c>
      <c r="C87" s="3">
        <v>45705</v>
      </c>
      <c r="D87" s="4" t="str">
        <f t="shared" si="2"/>
        <v>1.139</v>
      </c>
      <c r="G87" s="2" t="s">
        <v>878</v>
      </c>
      <c r="H87" s="2" t="s">
        <v>588</v>
      </c>
    </row>
    <row r="88" spans="1:8">
      <c r="A88" s="2" t="s">
        <v>935</v>
      </c>
      <c r="B88">
        <f ca="1">SUMIF([1]CostBill!$D:$M,A88,[1]CostBill!$M:$M)</f>
        <v>3.76</v>
      </c>
      <c r="C88" s="3">
        <v>45703</v>
      </c>
      <c r="D88" s="4" t="str">
        <f t="shared" si="2"/>
        <v>1.139</v>
      </c>
      <c r="G88" s="2" t="s">
        <v>878</v>
      </c>
      <c r="H88" s="2" t="s">
        <v>588</v>
      </c>
    </row>
    <row r="89" spans="1:8">
      <c r="A89" s="2" t="s">
        <v>936</v>
      </c>
      <c r="B89">
        <f ca="1">SUMIF([1]CostBill!$D:$M,A89,[1]CostBill!$M:$M)</f>
        <v>3.76</v>
      </c>
      <c r="C89" s="3">
        <v>45704</v>
      </c>
      <c r="D89" s="4" t="str">
        <f t="shared" si="2"/>
        <v>1.139</v>
      </c>
      <c r="G89" s="2" t="s">
        <v>878</v>
      </c>
      <c r="H89" s="2" t="s">
        <v>588</v>
      </c>
    </row>
    <row r="90" spans="1:8">
      <c r="A90" s="2" t="s">
        <v>937</v>
      </c>
      <c r="B90">
        <f ca="1">SUMIF([1]CostBill!$D:$M,A90,[1]CostBill!$M:$M)</f>
        <v>3.76</v>
      </c>
      <c r="C90" s="3">
        <v>45705</v>
      </c>
      <c r="D90" s="4" t="str">
        <f t="shared" si="2"/>
        <v>1.139</v>
      </c>
      <c r="G90" s="2" t="s">
        <v>879</v>
      </c>
      <c r="H90" s="2" t="s">
        <v>588</v>
      </c>
    </row>
    <row r="91" spans="1:8">
      <c r="A91" s="2" t="s">
        <v>938</v>
      </c>
      <c r="B91">
        <f ca="1">SUMIF([1]CostBill!$D:$M,A91,[1]CostBill!$M:$M)</f>
        <v>3.76</v>
      </c>
      <c r="C91" s="3">
        <v>45703</v>
      </c>
      <c r="D91" s="4" t="str">
        <f t="shared" si="2"/>
        <v>1.139</v>
      </c>
      <c r="G91" s="2" t="s">
        <v>879</v>
      </c>
      <c r="H91" s="2" t="s">
        <v>588</v>
      </c>
    </row>
    <row r="92" spans="1:8">
      <c r="A92" s="2" t="s">
        <v>939</v>
      </c>
      <c r="B92">
        <f ca="1">SUMIF([1]CostBill!$D:$M,A92,[1]CostBill!$M:$M)</f>
        <v>3.76</v>
      </c>
      <c r="C92" s="3">
        <v>45704</v>
      </c>
      <c r="D92" s="4" t="str">
        <f t="shared" si="2"/>
        <v>1.139</v>
      </c>
      <c r="G92" s="2" t="s">
        <v>879</v>
      </c>
      <c r="H92" s="2" t="s">
        <v>588</v>
      </c>
    </row>
    <row r="93" spans="1:8">
      <c r="A93" s="2" t="s">
        <v>940</v>
      </c>
      <c r="B93">
        <f ca="1">SUMIF([1]CostBill!$D:$M,A93,[1]CostBill!$M:$M)</f>
        <v>3.76</v>
      </c>
      <c r="C93" s="3">
        <v>45705</v>
      </c>
      <c r="D93" s="4" t="str">
        <f t="shared" si="2"/>
        <v>1.139</v>
      </c>
      <c r="G93" s="2" t="s">
        <v>880</v>
      </c>
      <c r="H93" s="2" t="s">
        <v>286</v>
      </c>
    </row>
    <row r="94" spans="1:8">
      <c r="A94" s="2" t="s">
        <v>941</v>
      </c>
      <c r="B94">
        <f ca="1">SUMIF([1]CostBill!$D:$M,A94,[1]CostBill!$M:$M)</f>
        <v>3.76</v>
      </c>
      <c r="C94" s="3">
        <v>45705</v>
      </c>
      <c r="D94" s="4" t="str">
        <f t="shared" si="2"/>
        <v>1.139</v>
      </c>
      <c r="G94" s="2" t="s">
        <v>880</v>
      </c>
      <c r="H94" s="2" t="s">
        <v>286</v>
      </c>
    </row>
    <row r="95" spans="1:8">
      <c r="A95" s="2" t="s">
        <v>942</v>
      </c>
      <c r="B95">
        <f ca="1">SUMIF([1]CostBill!$D:$M,A95,[1]CostBill!$M:$M)</f>
        <v>3.76</v>
      </c>
      <c r="C95" s="3">
        <v>45704</v>
      </c>
      <c r="D95" s="4" t="str">
        <f t="shared" si="2"/>
        <v>1.139</v>
      </c>
      <c r="G95" s="2" t="s">
        <v>880</v>
      </c>
      <c r="H95" s="2" t="s">
        <v>286</v>
      </c>
    </row>
    <row r="96" spans="1:8">
      <c r="A96" s="2" t="s">
        <v>943</v>
      </c>
      <c r="B96">
        <f ca="1">SUMIF([1]CostBill!$D:$M,A96,[1]CostBill!$M:$M)</f>
        <v>3.76</v>
      </c>
      <c r="C96" s="3">
        <v>45705</v>
      </c>
      <c r="D96" s="4" t="str">
        <f t="shared" si="2"/>
        <v>1.139</v>
      </c>
      <c r="G96" s="2" t="s">
        <v>881</v>
      </c>
      <c r="H96" s="2" t="s">
        <v>286</v>
      </c>
    </row>
    <row r="97" spans="1:8">
      <c r="A97" s="2" t="s">
        <v>944</v>
      </c>
      <c r="B97">
        <f ca="1">SUMIF([1]CostBill!$D:$M,A97,[1]CostBill!$M:$M)</f>
        <v>3.76</v>
      </c>
      <c r="C97" s="3">
        <v>45705</v>
      </c>
      <c r="D97" s="4" t="str">
        <f t="shared" si="2"/>
        <v>1.139</v>
      </c>
      <c r="G97" s="2" t="s">
        <v>881</v>
      </c>
      <c r="H97" s="2" t="s">
        <v>286</v>
      </c>
    </row>
    <row r="98" spans="1:8">
      <c r="A98" s="2" t="s">
        <v>945</v>
      </c>
      <c r="B98">
        <f ca="1">SUMIF([1]CostBill!$D:$M,A98,[1]CostBill!$M:$M)</f>
        <v>3.76</v>
      </c>
      <c r="C98" s="3">
        <v>45703</v>
      </c>
      <c r="D98" s="4" t="str">
        <f t="shared" si="2"/>
        <v>1.139</v>
      </c>
      <c r="G98" s="2" t="s">
        <v>881</v>
      </c>
      <c r="H98" s="2" t="s">
        <v>286</v>
      </c>
    </row>
    <row r="99" spans="1:8">
      <c r="A99" s="2" t="s">
        <v>946</v>
      </c>
      <c r="B99">
        <f ca="1">SUMIF([1]CostBill!$D:$M,A99,[1]CostBill!$M:$M)</f>
        <v>3.76</v>
      </c>
      <c r="C99" s="3">
        <v>45704</v>
      </c>
      <c r="D99" s="4" t="str">
        <f t="shared" ref="D99:D130" si="3">VLOOKUP(A99,G:H,2,0)</f>
        <v>1.139</v>
      </c>
      <c r="G99" s="2" t="s">
        <v>882</v>
      </c>
      <c r="H99" s="2" t="s">
        <v>56</v>
      </c>
    </row>
    <row r="100" spans="1:8">
      <c r="A100" s="2" t="s">
        <v>947</v>
      </c>
      <c r="B100">
        <f ca="1">SUMIF([1]CostBill!$D:$M,A100,[1]CostBill!$M:$M)</f>
        <v>3.76</v>
      </c>
      <c r="C100" s="3">
        <v>45705</v>
      </c>
      <c r="D100" s="4" t="str">
        <f t="shared" si="3"/>
        <v>1.139</v>
      </c>
      <c r="G100" s="2" t="s">
        <v>882</v>
      </c>
      <c r="H100" s="2" t="s">
        <v>56</v>
      </c>
    </row>
    <row r="101" spans="1:8">
      <c r="A101" s="2" t="s">
        <v>948</v>
      </c>
      <c r="B101">
        <f ca="1">SUMIF([1]CostBill!$D:$M,A101,[1]CostBill!$M:$M)</f>
        <v>3.76</v>
      </c>
      <c r="C101" s="3">
        <v>45703</v>
      </c>
      <c r="D101" s="4" t="str">
        <f t="shared" si="3"/>
        <v>1.139</v>
      </c>
      <c r="G101" s="2" t="s">
        <v>882</v>
      </c>
      <c r="H101" s="2" t="s">
        <v>56</v>
      </c>
    </row>
    <row r="102" spans="1:8">
      <c r="A102" s="2" t="s">
        <v>949</v>
      </c>
      <c r="B102">
        <f ca="1">SUMIF([1]CostBill!$D:$M,A102,[1]CostBill!$M:$M)</f>
        <v>4.73</v>
      </c>
      <c r="C102" s="3">
        <v>45705</v>
      </c>
      <c r="D102" s="4" t="str">
        <f t="shared" si="3"/>
        <v>6.592</v>
      </c>
      <c r="G102" s="2" t="s">
        <v>883</v>
      </c>
      <c r="H102" s="2" t="s">
        <v>184</v>
      </c>
    </row>
    <row r="103" spans="1:8">
      <c r="A103" s="2" t="s">
        <v>950</v>
      </c>
      <c r="B103">
        <f ca="1">SUMIF([1]CostBill!$D:$M,A103,[1]CostBill!$M:$M)</f>
        <v>4.73</v>
      </c>
      <c r="C103" s="3">
        <v>45703</v>
      </c>
      <c r="D103" s="4" t="str">
        <f t="shared" si="3"/>
        <v>6.592</v>
      </c>
      <c r="G103" s="2" t="s">
        <v>883</v>
      </c>
      <c r="H103" s="2" t="s">
        <v>184</v>
      </c>
    </row>
    <row r="104" spans="1:8">
      <c r="A104" s="2" t="s">
        <v>951</v>
      </c>
      <c r="B104">
        <f ca="1">SUMIF([1]CostBill!$D:$M,A104,[1]CostBill!$M:$M)</f>
        <v>3.89</v>
      </c>
      <c r="C104" s="3">
        <v>45704</v>
      </c>
      <c r="D104" s="4" t="str">
        <f t="shared" si="3"/>
        <v>0.034</v>
      </c>
      <c r="G104" s="2" t="s">
        <v>883</v>
      </c>
      <c r="H104" s="2" t="s">
        <v>184</v>
      </c>
    </row>
    <row r="105" spans="1:8">
      <c r="A105" s="2" t="s">
        <v>952</v>
      </c>
      <c r="B105">
        <f ca="1">SUMIF([1]CostBill!$D:$M,A105,[1]CostBill!$M:$M)</f>
        <v>3.89</v>
      </c>
      <c r="C105" s="3">
        <v>45703</v>
      </c>
      <c r="D105" s="4" t="str">
        <f t="shared" si="3"/>
        <v>0.229</v>
      </c>
      <c r="G105" s="2" t="s">
        <v>884</v>
      </c>
      <c r="H105" s="2" t="s">
        <v>588</v>
      </c>
    </row>
    <row r="106" spans="1:8">
      <c r="A106" s="2" t="s">
        <v>953</v>
      </c>
      <c r="B106">
        <f ca="1">SUMIF([1]CostBill!$D:$M,A106,[1]CostBill!$M:$M)</f>
        <v>3.7</v>
      </c>
      <c r="C106" s="3">
        <v>45703</v>
      </c>
      <c r="D106" s="4" t="str">
        <f t="shared" si="3"/>
        <v>2.278</v>
      </c>
      <c r="G106" s="2" t="s">
        <v>884</v>
      </c>
      <c r="H106" s="2" t="s">
        <v>588</v>
      </c>
    </row>
    <row r="107" spans="1:8">
      <c r="A107" s="2" t="s">
        <v>954</v>
      </c>
      <c r="B107">
        <f ca="1">SUMIF([1]CostBill!$D:$M,A107,[1]CostBill!$M:$M)</f>
        <v>2.96</v>
      </c>
      <c r="C107" s="3">
        <v>45702</v>
      </c>
      <c r="D107" s="4" t="str">
        <f t="shared" si="3"/>
        <v>1.139</v>
      </c>
      <c r="G107" s="2" t="s">
        <v>884</v>
      </c>
      <c r="H107" s="2" t="s">
        <v>588</v>
      </c>
    </row>
    <row r="108" spans="1:8">
      <c r="A108" s="2" t="s">
        <v>955</v>
      </c>
      <c r="B108">
        <f ca="1">SUMIF([1]CostBill!$D:$M,A108,[1]CostBill!$M:$M)</f>
        <v>2.96</v>
      </c>
      <c r="C108" s="3">
        <v>45702</v>
      </c>
      <c r="D108" s="4" t="str">
        <f t="shared" si="3"/>
        <v>1.646</v>
      </c>
      <c r="G108" s="2" t="s">
        <v>885</v>
      </c>
      <c r="H108" s="2" t="s">
        <v>588</v>
      </c>
    </row>
    <row r="109" spans="1:8">
      <c r="A109" s="2" t="s">
        <v>956</v>
      </c>
      <c r="B109">
        <f ca="1">SUMIF([1]CostBill!$D:$M,A109,[1]CostBill!$M:$M)</f>
        <v>2.96</v>
      </c>
      <c r="C109" s="3">
        <v>45701</v>
      </c>
      <c r="D109" s="4" t="str">
        <f t="shared" si="3"/>
        <v>1.646</v>
      </c>
      <c r="G109" s="2" t="s">
        <v>885</v>
      </c>
      <c r="H109" s="2" t="s">
        <v>588</v>
      </c>
    </row>
    <row r="110" spans="1:8">
      <c r="A110" s="2" t="s">
        <v>957</v>
      </c>
      <c r="B110">
        <f ca="1">SUMIF([1]CostBill!$D:$M,A110,[1]CostBill!$M:$M)</f>
        <v>3.89</v>
      </c>
      <c r="C110" s="3">
        <v>45701</v>
      </c>
      <c r="D110" s="4" t="str">
        <f t="shared" si="3"/>
        <v>0.605</v>
      </c>
      <c r="G110" s="2" t="s">
        <v>885</v>
      </c>
      <c r="H110" s="2" t="s">
        <v>588</v>
      </c>
    </row>
    <row r="111" spans="1:8">
      <c r="A111" s="2" t="s">
        <v>958</v>
      </c>
      <c r="B111">
        <f ca="1">SUMIF([1]CostBill!$D:$M,A111,[1]CostBill!$M:$M)</f>
        <v>3.89</v>
      </c>
      <c r="C111" s="3">
        <v>45701</v>
      </c>
      <c r="D111" s="4" t="str">
        <f t="shared" si="3"/>
        <v>0.605</v>
      </c>
      <c r="G111" s="2" t="s">
        <v>886</v>
      </c>
      <c r="H111" s="2" t="s">
        <v>588</v>
      </c>
    </row>
    <row r="112" spans="1:8">
      <c r="A112" s="2" t="s">
        <v>959</v>
      </c>
      <c r="B112">
        <f ca="1">SUMIF([1]CostBill!$D:$M,A112,[1]CostBill!$M:$M)</f>
        <v>3.96</v>
      </c>
      <c r="C112" s="3">
        <v>45701</v>
      </c>
      <c r="D112" s="4" t="str">
        <f t="shared" si="3"/>
        <v>1.139</v>
      </c>
      <c r="G112" s="2" t="s">
        <v>886</v>
      </c>
      <c r="H112" s="2" t="s">
        <v>588</v>
      </c>
    </row>
    <row r="113" spans="1:8">
      <c r="A113" s="2" t="s">
        <v>960</v>
      </c>
      <c r="B113">
        <f ca="1">SUMIF([1]CostBill!$D:$M,A113,[1]CostBill!$M:$M)</f>
        <v>3.96</v>
      </c>
      <c r="C113" s="3">
        <v>45701</v>
      </c>
      <c r="D113" s="4" t="str">
        <f t="shared" si="3"/>
        <v>1.139</v>
      </c>
      <c r="G113" s="2" t="s">
        <v>886</v>
      </c>
      <c r="H113" s="2" t="s">
        <v>588</v>
      </c>
    </row>
    <row r="114" spans="1:8">
      <c r="A114" s="2" t="s">
        <v>961</v>
      </c>
      <c r="B114">
        <f ca="1">SUMIF([1]CostBill!$D:$M,A114,[1]CostBill!$M:$M)</f>
        <v>3.96</v>
      </c>
      <c r="C114" s="3">
        <v>45701</v>
      </c>
      <c r="D114" s="4" t="str">
        <f t="shared" si="3"/>
        <v>1.139</v>
      </c>
      <c r="G114" s="2" t="s">
        <v>887</v>
      </c>
      <c r="H114" s="2" t="s">
        <v>588</v>
      </c>
    </row>
    <row r="115" spans="1:8">
      <c r="A115" s="2" t="s">
        <v>962</v>
      </c>
      <c r="B115">
        <f ca="1">SUMIF([1]CostBill!$D:$M,A115,[1]CostBill!$M:$M)</f>
        <v>2.89</v>
      </c>
      <c r="C115" s="3">
        <v>45700</v>
      </c>
      <c r="D115" s="4" t="str">
        <f t="shared" si="3"/>
        <v>0.034</v>
      </c>
      <c r="G115" s="2" t="s">
        <v>887</v>
      </c>
      <c r="H115" s="2" t="s">
        <v>588</v>
      </c>
    </row>
    <row r="116" spans="1:8">
      <c r="A116" s="2" t="s">
        <v>963</v>
      </c>
      <c r="B116">
        <f ca="1">SUMIF([1]CostBill!$D:$M,A116,[1]CostBill!$M:$M)</f>
        <v>2.96</v>
      </c>
      <c r="C116" s="3">
        <v>45700</v>
      </c>
      <c r="D116" s="4" t="str">
        <f t="shared" si="3"/>
        <v>1.646</v>
      </c>
      <c r="G116" s="2" t="s">
        <v>887</v>
      </c>
      <c r="H116" s="2" t="s">
        <v>588</v>
      </c>
    </row>
    <row r="117" spans="1:8">
      <c r="A117" s="2" t="s">
        <v>964</v>
      </c>
      <c r="B117">
        <f ca="1">SUMIF([1]CostBill!$D:$M,A117,[1]CostBill!$M:$M)</f>
        <v>2.96</v>
      </c>
      <c r="C117" s="3">
        <v>45700</v>
      </c>
      <c r="D117" s="4" t="str">
        <f t="shared" si="3"/>
        <v>1.646</v>
      </c>
      <c r="G117" s="2" t="s">
        <v>888</v>
      </c>
      <c r="H117" s="2" t="s">
        <v>588</v>
      </c>
    </row>
    <row r="118" spans="1:8">
      <c r="A118" s="2" t="s">
        <v>965</v>
      </c>
      <c r="B118">
        <f ca="1">SUMIF([1]CostBill!$D:$M,A118,[1]CostBill!$M:$M)</f>
        <v>2.96</v>
      </c>
      <c r="C118" s="3">
        <v>45700</v>
      </c>
      <c r="D118" s="4" t="str">
        <f t="shared" si="3"/>
        <v>1.139</v>
      </c>
      <c r="G118" s="2" t="s">
        <v>888</v>
      </c>
      <c r="H118" s="2" t="s">
        <v>588</v>
      </c>
    </row>
    <row r="119" spans="1:8">
      <c r="A119" s="2" t="s">
        <v>966</v>
      </c>
      <c r="B119">
        <f ca="1">SUMIF([1]CostBill!$D:$M,A119,[1]CostBill!$M:$M)</f>
        <v>2.96</v>
      </c>
      <c r="C119" s="3">
        <v>45700</v>
      </c>
      <c r="D119" s="4" t="str">
        <f t="shared" si="3"/>
        <v>1.139</v>
      </c>
      <c r="G119" s="2" t="s">
        <v>888</v>
      </c>
      <c r="H119" s="2" t="s">
        <v>588</v>
      </c>
    </row>
    <row r="120" spans="1:8">
      <c r="A120" s="2" t="s">
        <v>967</v>
      </c>
      <c r="B120">
        <f ca="1">SUMIF([1]CostBill!$D:$M,A120,[1]CostBill!$M:$M)</f>
        <v>2.96</v>
      </c>
      <c r="C120" s="3">
        <v>45699</v>
      </c>
      <c r="D120" s="4" t="str">
        <f t="shared" si="3"/>
        <v>1.646</v>
      </c>
      <c r="G120" s="2" t="s">
        <v>889</v>
      </c>
      <c r="H120" s="2" t="s">
        <v>588</v>
      </c>
    </row>
    <row r="121" spans="1:8">
      <c r="A121" s="2" t="s">
        <v>968</v>
      </c>
      <c r="B121">
        <f ca="1">SUMIF([1]CostBill!$D:$M,A121,[1]CostBill!$M:$M)</f>
        <v>2.96</v>
      </c>
      <c r="C121" s="3">
        <v>45696</v>
      </c>
      <c r="D121" s="4" t="str">
        <f t="shared" si="3"/>
        <v>1.646</v>
      </c>
      <c r="G121" s="2" t="s">
        <v>889</v>
      </c>
      <c r="H121" s="2" t="s">
        <v>588</v>
      </c>
    </row>
    <row r="122" spans="1:8">
      <c r="A122" s="2" t="s">
        <v>969</v>
      </c>
      <c r="B122">
        <f ca="1">SUMIF([1]CostBill!$D:$M,A122,[1]CostBill!$M:$M)</f>
        <v>2.96</v>
      </c>
      <c r="C122" s="3">
        <v>45698</v>
      </c>
      <c r="D122" s="4" t="str">
        <f t="shared" si="3"/>
        <v>1.646</v>
      </c>
      <c r="G122" s="2" t="s">
        <v>889</v>
      </c>
      <c r="H122" s="2" t="s">
        <v>588</v>
      </c>
    </row>
    <row r="123" spans="1:8">
      <c r="A123" s="2" t="s">
        <v>970</v>
      </c>
      <c r="B123">
        <f ca="1">SUMIF([1]CostBill!$D:$M,A123,[1]CostBill!$M:$M)</f>
        <v>2.96</v>
      </c>
      <c r="C123" s="3">
        <v>45696</v>
      </c>
      <c r="D123" s="4" t="str">
        <f t="shared" si="3"/>
        <v>1.646</v>
      </c>
      <c r="G123" s="2" t="s">
        <v>891</v>
      </c>
      <c r="H123" s="2" t="s">
        <v>588</v>
      </c>
    </row>
    <row r="124" spans="1:8">
      <c r="A124" s="2" t="s">
        <v>971</v>
      </c>
      <c r="B124">
        <f ca="1">SUMIF([1]CostBill!$D:$M,A124,[1]CostBill!$M:$M)</f>
        <v>2.96</v>
      </c>
      <c r="C124" s="3">
        <v>45698</v>
      </c>
      <c r="D124" s="4" t="str">
        <f t="shared" si="3"/>
        <v>1.646</v>
      </c>
      <c r="G124" s="2" t="s">
        <v>891</v>
      </c>
      <c r="H124" s="2" t="s">
        <v>588</v>
      </c>
    </row>
    <row r="125" spans="1:8">
      <c r="A125" s="2" t="s">
        <v>972</v>
      </c>
      <c r="B125">
        <f ca="1">SUMIF([1]CostBill!$D:$M,A125,[1]CostBill!$M:$M)</f>
        <v>2.96</v>
      </c>
      <c r="C125" s="3">
        <v>45698</v>
      </c>
      <c r="D125" s="4" t="str">
        <f t="shared" si="3"/>
        <v>1.362</v>
      </c>
      <c r="G125" s="2" t="s">
        <v>891</v>
      </c>
      <c r="H125" s="2" t="s">
        <v>588</v>
      </c>
    </row>
    <row r="126" spans="1:8">
      <c r="A126" s="2" t="s">
        <v>973</v>
      </c>
      <c r="B126">
        <f ca="1">SUMIF([1]CostBill!$D:$M,A126,[1]CostBill!$M:$M)</f>
        <v>2.96</v>
      </c>
      <c r="C126" s="3">
        <v>45696</v>
      </c>
      <c r="D126" s="4" t="str">
        <f t="shared" si="3"/>
        <v>1.139</v>
      </c>
      <c r="G126" s="2" t="s">
        <v>892</v>
      </c>
      <c r="H126" s="2" t="s">
        <v>588</v>
      </c>
    </row>
    <row r="127" spans="1:8">
      <c r="A127" s="2" t="s">
        <v>974</v>
      </c>
      <c r="B127">
        <f ca="1">SUMIF([1]CostBill!$D:$M,A127,[1]CostBill!$M:$M)</f>
        <v>2.89</v>
      </c>
      <c r="C127" s="3">
        <v>45694</v>
      </c>
      <c r="D127" s="4" t="str">
        <f t="shared" si="3"/>
        <v>0.034</v>
      </c>
      <c r="G127" s="2" t="s">
        <v>892</v>
      </c>
      <c r="H127" s="2" t="s">
        <v>588</v>
      </c>
    </row>
    <row r="128" spans="1:8">
      <c r="A128" s="2" t="s">
        <v>975</v>
      </c>
      <c r="B128">
        <f ca="1">SUMIF([1]CostBill!$D:$M,A128,[1]CostBill!$M:$M)</f>
        <v>2.96</v>
      </c>
      <c r="C128" s="3">
        <v>45694</v>
      </c>
      <c r="D128" s="4" t="str">
        <f t="shared" si="3"/>
        <v>1.907</v>
      </c>
      <c r="G128" s="2" t="s">
        <v>892</v>
      </c>
      <c r="H128" s="2" t="s">
        <v>588</v>
      </c>
    </row>
    <row r="129" spans="1:8">
      <c r="A129" s="2" t="s">
        <v>976</v>
      </c>
      <c r="B129">
        <f ca="1">SUMIF([1]CostBill!$D:$M,A129,[1]CostBill!$M:$M)</f>
        <v>2.89</v>
      </c>
      <c r="C129" s="3">
        <v>45694</v>
      </c>
      <c r="D129" s="4" t="str">
        <f t="shared" si="3"/>
        <v>0.358</v>
      </c>
      <c r="G129" s="2" t="s">
        <v>893</v>
      </c>
      <c r="H129" s="2" t="s">
        <v>977</v>
      </c>
    </row>
    <row r="130" spans="1:8">
      <c r="A130" s="2" t="s">
        <v>978</v>
      </c>
      <c r="B130">
        <f ca="1">SUMIF([1]CostBill!$D:$M,A130,[1]CostBill!$M:$M)</f>
        <v>3.96</v>
      </c>
      <c r="C130" s="3">
        <v>45694</v>
      </c>
      <c r="D130" s="4" t="str">
        <f t="shared" si="3"/>
        <v>1.646</v>
      </c>
      <c r="G130" s="2" t="s">
        <v>893</v>
      </c>
      <c r="H130" s="2" t="s">
        <v>977</v>
      </c>
    </row>
    <row r="131" spans="1:8">
      <c r="A131" s="2" t="s">
        <v>979</v>
      </c>
      <c r="B131">
        <f ca="1">SUMIF([1]CostBill!$D:$M,A131,[1]CostBill!$M:$M)</f>
        <v>3.96</v>
      </c>
      <c r="C131" s="3">
        <v>45693</v>
      </c>
      <c r="D131" s="4" t="str">
        <f>VLOOKUP(A131,G:H,2,0)</f>
        <v>1.139</v>
      </c>
      <c r="G131" s="2" t="s">
        <v>893</v>
      </c>
      <c r="H131" s="2" t="s">
        <v>977</v>
      </c>
    </row>
    <row r="132" spans="1:8">
      <c r="A132" s="2" t="s">
        <v>980</v>
      </c>
      <c r="B132">
        <f ca="1">SUMIF([1]CostBill!$D:$M,A132,[1]CostBill!$M:$M)</f>
        <v>2.89</v>
      </c>
      <c r="C132" s="3">
        <v>45693</v>
      </c>
      <c r="D132" s="4" t="str">
        <f>VLOOKUP(A132,G:H,2,0)</f>
        <v>0.605</v>
      </c>
      <c r="G132" s="2" t="s">
        <v>893</v>
      </c>
      <c r="H132" s="2" t="s">
        <v>977</v>
      </c>
    </row>
    <row r="133" spans="1:8">
      <c r="A133" s="2" t="s">
        <v>981</v>
      </c>
      <c r="B133">
        <f ca="1">SUMIF([1]CostBill!$D:$M,A133,[1]CostBill!$M:$M)</f>
        <v>2.96</v>
      </c>
      <c r="C133" s="3">
        <v>45693</v>
      </c>
      <c r="D133" s="4" t="str">
        <f>VLOOKUP(A133,G:H,2,0)</f>
        <v>1.149</v>
      </c>
      <c r="G133" s="2" t="s">
        <v>893</v>
      </c>
      <c r="H133" s="2" t="s">
        <v>977</v>
      </c>
    </row>
    <row r="134" spans="1:8">
      <c r="A134" s="2" t="s">
        <v>982</v>
      </c>
      <c r="B134">
        <f ca="1">SUMIF([1]CostBill!$D:$M,A134,[1]CostBill!$M:$M)</f>
        <v>3.69</v>
      </c>
      <c r="C134" s="3">
        <v>45692</v>
      </c>
      <c r="D134" s="4" t="str">
        <f>VLOOKUP(A134,G:H,2,0)</f>
        <v>0.151</v>
      </c>
      <c r="G134" s="2" t="s">
        <v>894</v>
      </c>
      <c r="H134" s="2" t="s">
        <v>588</v>
      </c>
    </row>
    <row r="135" spans="1:8">
      <c r="A135" s="2" t="s">
        <v>983</v>
      </c>
      <c r="B135">
        <f ca="1">SUMIF([1]CostBill!$D:$M,A135,[1]CostBill!$M:$M)</f>
        <v>2.96</v>
      </c>
      <c r="C135" s="3">
        <v>45691</v>
      </c>
      <c r="D135" s="4" t="str">
        <f>VLOOKUP(A135,G:H,2,0)</f>
        <v>1.348</v>
      </c>
      <c r="G135" s="2" t="s">
        <v>894</v>
      </c>
      <c r="H135" s="2" t="s">
        <v>588</v>
      </c>
    </row>
    <row r="136" spans="1:8">
      <c r="A136" s="2" t="s">
        <v>984</v>
      </c>
      <c r="B136">
        <f ca="1">SUMIF([1]CostBill!$D:$M,A136,[1]CostBill!$M:$M)</f>
        <v>3.76</v>
      </c>
      <c r="C136" s="3">
        <v>45689</v>
      </c>
      <c r="D136" s="4" t="str">
        <f>VLOOKUP(A136,G:H,2,0)</f>
        <v>1.362</v>
      </c>
      <c r="G136" s="2" t="s">
        <v>894</v>
      </c>
      <c r="H136" s="2" t="s">
        <v>588</v>
      </c>
    </row>
    <row r="137" spans="1:8">
      <c r="A137" s="2" t="s">
        <v>985</v>
      </c>
      <c r="B137">
        <f ca="1">SUMIF([1]CostBill!$D:$M,A137,[1]CostBill!$M:$M)</f>
        <v>3.76</v>
      </c>
      <c r="C137" s="3">
        <v>45690</v>
      </c>
      <c r="D137" s="4" t="str">
        <f>VLOOKUP(A137,G:H,2,0)</f>
        <v>1.362</v>
      </c>
      <c r="G137" s="2" t="s">
        <v>895</v>
      </c>
      <c r="H137" s="2" t="s">
        <v>588</v>
      </c>
    </row>
    <row r="138" spans="1:8">
      <c r="A138" s="2" t="s">
        <v>986</v>
      </c>
      <c r="B138">
        <f ca="1">SUMIF([1]CostBill!$D:$M,A138,[1]CostBill!$M:$M)</f>
        <v>3.69</v>
      </c>
      <c r="C138" s="3">
        <v>45691</v>
      </c>
      <c r="D138" s="4" t="str">
        <f>VLOOKUP(A138,G:H,2,0)</f>
        <v>0.068</v>
      </c>
      <c r="G138" s="2" t="s">
        <v>895</v>
      </c>
      <c r="H138" s="2" t="s">
        <v>588</v>
      </c>
    </row>
    <row r="139" spans="1:8">
      <c r="A139" s="2" t="s">
        <v>987</v>
      </c>
      <c r="B139">
        <f ca="1">SUMIF([1]CostBill!$D:$M,A139,[1]CostBill!$M:$M)</f>
        <v>3.76</v>
      </c>
      <c r="C139" s="3">
        <v>45690</v>
      </c>
      <c r="D139" s="4" t="str">
        <f>VLOOKUP(A139,G:H,2,0)</f>
        <v>1.646</v>
      </c>
      <c r="G139" s="2" t="s">
        <v>895</v>
      </c>
      <c r="H139" s="2" t="s">
        <v>588</v>
      </c>
    </row>
    <row r="140" spans="1:8">
      <c r="A140" s="2" t="s">
        <v>988</v>
      </c>
      <c r="B140">
        <f ca="1">SUMIF([1]CostBill!$D:$M,A140,[1]CostBill!$M:$M)</f>
        <v>3.76</v>
      </c>
      <c r="C140" s="3">
        <v>45691</v>
      </c>
      <c r="D140" s="4" t="str">
        <f>VLOOKUP(A140,G:H,2,0)</f>
        <v>1.646</v>
      </c>
      <c r="G140" s="2" t="s">
        <v>896</v>
      </c>
      <c r="H140" s="2" t="s">
        <v>588</v>
      </c>
    </row>
    <row r="141" spans="1:8">
      <c r="A141" s="2" t="s">
        <v>989</v>
      </c>
      <c r="B141">
        <f ca="1">SUMIF([1]CostBill!$D:$M,A141,[1]CostBill!$M:$M)</f>
        <v>3.69</v>
      </c>
      <c r="C141" s="3">
        <v>45691</v>
      </c>
      <c r="D141" s="4" t="str">
        <f>VLOOKUP(A141,G:H,2,0)</f>
        <v>0.034</v>
      </c>
      <c r="G141" s="2" t="s">
        <v>896</v>
      </c>
      <c r="H141" s="2" t="s">
        <v>588</v>
      </c>
    </row>
    <row r="142" spans="1:8">
      <c r="A142" s="2" t="s">
        <v>990</v>
      </c>
      <c r="B142">
        <f ca="1">SUMIF([1]CostBill!$D:$M,A142,[1]CostBill!$M:$M)</f>
        <v>4.26</v>
      </c>
      <c r="C142" s="3">
        <v>45691</v>
      </c>
      <c r="D142" s="4" t="str">
        <f>VLOOKUP(A142,G:H,2,0)</f>
        <v>1.210</v>
      </c>
      <c r="G142" s="2" t="s">
        <v>896</v>
      </c>
      <c r="H142" s="2" t="s">
        <v>588</v>
      </c>
    </row>
    <row r="143" spans="1:8">
      <c r="A143" s="2" t="s">
        <v>991</v>
      </c>
      <c r="B143">
        <f ca="1">SUMIF([1]CostBill!$D:$M,A143,[1]CostBill!$M:$M)</f>
        <v>4.19</v>
      </c>
      <c r="C143" s="3">
        <v>45691</v>
      </c>
      <c r="D143" s="4" t="str">
        <f>VLOOKUP(A143,G:H,2,0)</f>
        <v>0.148</v>
      </c>
      <c r="G143" s="2" t="s">
        <v>897</v>
      </c>
      <c r="H143" s="2" t="s">
        <v>588</v>
      </c>
    </row>
    <row r="144" spans="7:8">
      <c r="G144" s="2" t="s">
        <v>897</v>
      </c>
      <c r="H144" s="2" t="s">
        <v>588</v>
      </c>
    </row>
    <row r="145" spans="7:8">
      <c r="G145" s="2" t="s">
        <v>897</v>
      </c>
      <c r="H145" s="2" t="s">
        <v>588</v>
      </c>
    </row>
    <row r="146" spans="7:8">
      <c r="G146" s="2" t="s">
        <v>898</v>
      </c>
      <c r="H146" s="2" t="s">
        <v>588</v>
      </c>
    </row>
    <row r="147" spans="7:8">
      <c r="G147" s="2" t="s">
        <v>898</v>
      </c>
      <c r="H147" s="2" t="s">
        <v>588</v>
      </c>
    </row>
    <row r="148" spans="7:8">
      <c r="G148" s="2" t="s">
        <v>898</v>
      </c>
      <c r="H148" s="2" t="s">
        <v>588</v>
      </c>
    </row>
    <row r="149" spans="7:8">
      <c r="G149" s="2" t="s">
        <v>899</v>
      </c>
      <c r="H149" s="2" t="s">
        <v>588</v>
      </c>
    </row>
    <row r="150" spans="7:8">
      <c r="G150" s="2" t="s">
        <v>899</v>
      </c>
      <c r="H150" s="2" t="s">
        <v>588</v>
      </c>
    </row>
    <row r="151" spans="7:8">
      <c r="G151" s="2" t="s">
        <v>899</v>
      </c>
      <c r="H151" s="2" t="s">
        <v>588</v>
      </c>
    </row>
    <row r="152" spans="7:8">
      <c r="G152" s="2" t="s">
        <v>900</v>
      </c>
      <c r="H152" s="2" t="s">
        <v>588</v>
      </c>
    </row>
    <row r="153" spans="7:8">
      <c r="G153" s="2" t="s">
        <v>900</v>
      </c>
      <c r="H153" s="2" t="s">
        <v>588</v>
      </c>
    </row>
    <row r="154" spans="7:8">
      <c r="G154" s="2" t="s">
        <v>900</v>
      </c>
      <c r="H154" s="2" t="s">
        <v>588</v>
      </c>
    </row>
    <row r="155" spans="7:8">
      <c r="G155" s="2" t="s">
        <v>901</v>
      </c>
      <c r="H155" s="2" t="s">
        <v>588</v>
      </c>
    </row>
    <row r="156" spans="7:8">
      <c r="G156" s="2" t="s">
        <v>901</v>
      </c>
      <c r="H156" s="2" t="s">
        <v>588</v>
      </c>
    </row>
    <row r="157" spans="7:8">
      <c r="G157" s="2" t="s">
        <v>901</v>
      </c>
      <c r="H157" s="2" t="s">
        <v>588</v>
      </c>
    </row>
    <row r="158" spans="7:8">
      <c r="G158" s="2" t="s">
        <v>902</v>
      </c>
      <c r="H158" s="2" t="s">
        <v>588</v>
      </c>
    </row>
    <row r="159" spans="7:8">
      <c r="G159" s="2" t="s">
        <v>902</v>
      </c>
      <c r="H159" s="2" t="s">
        <v>588</v>
      </c>
    </row>
    <row r="160" spans="7:8">
      <c r="G160" s="2" t="s">
        <v>902</v>
      </c>
      <c r="H160" s="2" t="s">
        <v>588</v>
      </c>
    </row>
    <row r="161" spans="7:8">
      <c r="G161" s="2" t="s">
        <v>903</v>
      </c>
      <c r="H161" s="2" t="s">
        <v>588</v>
      </c>
    </row>
    <row r="162" spans="7:8">
      <c r="G162" s="2" t="s">
        <v>903</v>
      </c>
      <c r="H162" s="2" t="s">
        <v>588</v>
      </c>
    </row>
    <row r="163" spans="7:8">
      <c r="G163" s="2" t="s">
        <v>903</v>
      </c>
      <c r="H163" s="2" t="s">
        <v>588</v>
      </c>
    </row>
    <row r="164" spans="7:8">
      <c r="G164" s="2" t="s">
        <v>904</v>
      </c>
      <c r="H164" s="2" t="s">
        <v>588</v>
      </c>
    </row>
    <row r="165" spans="7:8">
      <c r="G165" s="2" t="s">
        <v>904</v>
      </c>
      <c r="H165" s="2" t="s">
        <v>588</v>
      </c>
    </row>
    <row r="166" spans="7:8">
      <c r="G166" s="2" t="s">
        <v>904</v>
      </c>
      <c r="H166" s="2" t="s">
        <v>588</v>
      </c>
    </row>
    <row r="167" spans="7:8">
      <c r="G167" s="2" t="s">
        <v>905</v>
      </c>
      <c r="H167" s="2" t="s">
        <v>588</v>
      </c>
    </row>
    <row r="168" spans="7:8">
      <c r="G168" s="2" t="s">
        <v>905</v>
      </c>
      <c r="H168" s="2" t="s">
        <v>588</v>
      </c>
    </row>
    <row r="169" spans="7:8">
      <c r="G169" s="2" t="s">
        <v>905</v>
      </c>
      <c r="H169" s="2" t="s">
        <v>588</v>
      </c>
    </row>
    <row r="170" spans="7:8">
      <c r="G170" s="2" t="s">
        <v>907</v>
      </c>
      <c r="H170" s="2" t="s">
        <v>588</v>
      </c>
    </row>
    <row r="171" spans="7:8">
      <c r="G171" s="2" t="s">
        <v>907</v>
      </c>
      <c r="H171" s="2" t="s">
        <v>588</v>
      </c>
    </row>
    <row r="172" spans="7:8">
      <c r="G172" s="2" t="s">
        <v>907</v>
      </c>
      <c r="H172" s="2" t="s">
        <v>588</v>
      </c>
    </row>
    <row r="173" spans="7:8">
      <c r="G173" s="2" t="s">
        <v>908</v>
      </c>
      <c r="H173" s="2" t="s">
        <v>588</v>
      </c>
    </row>
    <row r="174" spans="7:8">
      <c r="G174" s="2" t="s">
        <v>908</v>
      </c>
      <c r="H174" s="2" t="s">
        <v>588</v>
      </c>
    </row>
    <row r="175" spans="7:8">
      <c r="G175" s="2" t="s">
        <v>908</v>
      </c>
      <c r="H175" s="2" t="s">
        <v>588</v>
      </c>
    </row>
    <row r="176" spans="7:8">
      <c r="G176" s="2" t="s">
        <v>909</v>
      </c>
      <c r="H176" s="2" t="s">
        <v>588</v>
      </c>
    </row>
    <row r="177" spans="7:8">
      <c r="G177" s="2" t="s">
        <v>909</v>
      </c>
      <c r="H177" s="2" t="s">
        <v>588</v>
      </c>
    </row>
    <row r="178" spans="7:8">
      <c r="G178" s="2" t="s">
        <v>909</v>
      </c>
      <c r="H178" s="2" t="s">
        <v>588</v>
      </c>
    </row>
    <row r="179" spans="7:8">
      <c r="G179" s="2" t="s">
        <v>910</v>
      </c>
      <c r="H179" s="2" t="s">
        <v>588</v>
      </c>
    </row>
    <row r="180" spans="7:8">
      <c r="G180" s="2" t="s">
        <v>910</v>
      </c>
      <c r="H180" s="2" t="s">
        <v>588</v>
      </c>
    </row>
    <row r="181" spans="7:8">
      <c r="G181" s="2" t="s">
        <v>910</v>
      </c>
      <c r="H181" s="2" t="s">
        <v>588</v>
      </c>
    </row>
    <row r="182" spans="7:8">
      <c r="G182" s="2" t="s">
        <v>911</v>
      </c>
      <c r="H182" s="2" t="s">
        <v>588</v>
      </c>
    </row>
    <row r="183" spans="7:8">
      <c r="G183" s="2" t="s">
        <v>911</v>
      </c>
      <c r="H183" s="2" t="s">
        <v>588</v>
      </c>
    </row>
    <row r="184" spans="7:8">
      <c r="G184" s="2" t="s">
        <v>911</v>
      </c>
      <c r="H184" s="2" t="s">
        <v>588</v>
      </c>
    </row>
    <row r="185" spans="7:8">
      <c r="G185" s="2" t="s">
        <v>912</v>
      </c>
      <c r="H185" s="2" t="s">
        <v>977</v>
      </c>
    </row>
    <row r="186" spans="7:8">
      <c r="G186" s="2" t="s">
        <v>912</v>
      </c>
      <c r="H186" s="2" t="s">
        <v>977</v>
      </c>
    </row>
    <row r="187" spans="7:8">
      <c r="G187" s="2" t="s">
        <v>912</v>
      </c>
      <c r="H187" s="2" t="s">
        <v>977</v>
      </c>
    </row>
    <row r="188" spans="7:8">
      <c r="G188" s="2" t="s">
        <v>912</v>
      </c>
      <c r="H188" s="2" t="s">
        <v>977</v>
      </c>
    </row>
    <row r="189" spans="7:8">
      <c r="G189" s="2" t="s">
        <v>913</v>
      </c>
      <c r="H189" s="2" t="s">
        <v>588</v>
      </c>
    </row>
    <row r="190" spans="7:8">
      <c r="G190" s="2" t="s">
        <v>913</v>
      </c>
      <c r="H190" s="2" t="s">
        <v>588</v>
      </c>
    </row>
    <row r="191" spans="7:8">
      <c r="G191" s="2" t="s">
        <v>913</v>
      </c>
      <c r="H191" s="2" t="s">
        <v>588</v>
      </c>
    </row>
    <row r="192" spans="7:8">
      <c r="G192" s="2" t="s">
        <v>914</v>
      </c>
      <c r="H192" s="2" t="s">
        <v>588</v>
      </c>
    </row>
    <row r="193" spans="7:8">
      <c r="G193" s="2" t="s">
        <v>914</v>
      </c>
      <c r="H193" s="2" t="s">
        <v>588</v>
      </c>
    </row>
    <row r="194" spans="7:8">
      <c r="G194" s="2" t="s">
        <v>914</v>
      </c>
      <c r="H194" s="2" t="s">
        <v>588</v>
      </c>
    </row>
    <row r="195" spans="7:8">
      <c r="G195" s="2" t="s">
        <v>915</v>
      </c>
      <c r="H195" s="2" t="s">
        <v>588</v>
      </c>
    </row>
    <row r="196" spans="7:8">
      <c r="G196" s="2" t="s">
        <v>915</v>
      </c>
      <c r="H196" s="2" t="s">
        <v>588</v>
      </c>
    </row>
    <row r="197" spans="7:8">
      <c r="G197" s="2" t="s">
        <v>915</v>
      </c>
      <c r="H197" s="2" t="s">
        <v>588</v>
      </c>
    </row>
    <row r="198" spans="7:8">
      <c r="G198" s="2" t="s">
        <v>916</v>
      </c>
      <c r="H198" s="2" t="s">
        <v>588</v>
      </c>
    </row>
    <row r="199" spans="7:8">
      <c r="G199" s="2" t="s">
        <v>916</v>
      </c>
      <c r="H199" s="2" t="s">
        <v>588</v>
      </c>
    </row>
    <row r="200" spans="7:8">
      <c r="G200" s="2" t="s">
        <v>916</v>
      </c>
      <c r="H200" s="2" t="s">
        <v>588</v>
      </c>
    </row>
    <row r="201" spans="7:8">
      <c r="G201" s="2" t="s">
        <v>917</v>
      </c>
      <c r="H201" s="2" t="s">
        <v>588</v>
      </c>
    </row>
    <row r="202" spans="7:8">
      <c r="G202" s="2" t="s">
        <v>917</v>
      </c>
      <c r="H202" s="2" t="s">
        <v>588</v>
      </c>
    </row>
    <row r="203" spans="7:8">
      <c r="G203" s="2" t="s">
        <v>917</v>
      </c>
      <c r="H203" s="2" t="s">
        <v>588</v>
      </c>
    </row>
    <row r="204" spans="7:8">
      <c r="G204" s="2" t="s">
        <v>918</v>
      </c>
      <c r="H204" s="2" t="s">
        <v>588</v>
      </c>
    </row>
    <row r="205" spans="7:8">
      <c r="G205" s="2" t="s">
        <v>918</v>
      </c>
      <c r="H205" s="2" t="s">
        <v>588</v>
      </c>
    </row>
    <row r="206" spans="7:8">
      <c r="G206" s="2" t="s">
        <v>918</v>
      </c>
      <c r="H206" s="2" t="s">
        <v>588</v>
      </c>
    </row>
    <row r="207" spans="7:8">
      <c r="G207" s="2" t="s">
        <v>919</v>
      </c>
      <c r="H207" s="2" t="s">
        <v>588</v>
      </c>
    </row>
    <row r="208" spans="7:8">
      <c r="G208" s="2" t="s">
        <v>919</v>
      </c>
      <c r="H208" s="2" t="s">
        <v>588</v>
      </c>
    </row>
    <row r="209" spans="7:8">
      <c r="G209" s="2" t="s">
        <v>919</v>
      </c>
      <c r="H209" s="2" t="s">
        <v>588</v>
      </c>
    </row>
    <row r="210" spans="7:8">
      <c r="G210" s="2" t="s">
        <v>920</v>
      </c>
      <c r="H210" s="2" t="s">
        <v>588</v>
      </c>
    </row>
    <row r="211" spans="7:8">
      <c r="G211" s="2" t="s">
        <v>920</v>
      </c>
      <c r="H211" s="2" t="s">
        <v>588</v>
      </c>
    </row>
    <row r="212" spans="7:8">
      <c r="G212" s="2" t="s">
        <v>920</v>
      </c>
      <c r="H212" s="2" t="s">
        <v>588</v>
      </c>
    </row>
    <row r="213" spans="7:8">
      <c r="G213" s="2" t="s">
        <v>921</v>
      </c>
      <c r="H213" s="2" t="s">
        <v>588</v>
      </c>
    </row>
    <row r="214" spans="7:8">
      <c r="G214" s="2" t="s">
        <v>921</v>
      </c>
      <c r="H214" s="2" t="s">
        <v>588</v>
      </c>
    </row>
    <row r="215" spans="7:8">
      <c r="G215" s="2" t="s">
        <v>921</v>
      </c>
      <c r="H215" s="2" t="s">
        <v>588</v>
      </c>
    </row>
    <row r="216" spans="7:8">
      <c r="G216" s="2" t="s">
        <v>922</v>
      </c>
      <c r="H216" s="2" t="s">
        <v>588</v>
      </c>
    </row>
    <row r="217" spans="7:8">
      <c r="G217" s="2" t="s">
        <v>922</v>
      </c>
      <c r="H217" s="2" t="s">
        <v>588</v>
      </c>
    </row>
    <row r="218" spans="7:8">
      <c r="G218" s="2" t="s">
        <v>922</v>
      </c>
      <c r="H218" s="2" t="s">
        <v>588</v>
      </c>
    </row>
    <row r="219" spans="7:8">
      <c r="G219" s="2" t="s">
        <v>923</v>
      </c>
      <c r="H219" s="2" t="s">
        <v>286</v>
      </c>
    </row>
    <row r="220" spans="7:8">
      <c r="G220" s="2" t="s">
        <v>923</v>
      </c>
      <c r="H220" s="2" t="s">
        <v>286</v>
      </c>
    </row>
    <row r="221" spans="7:8">
      <c r="G221" s="2" t="s">
        <v>923</v>
      </c>
      <c r="H221" s="2" t="s">
        <v>286</v>
      </c>
    </row>
    <row r="222" spans="7:8">
      <c r="G222" s="2" t="s">
        <v>924</v>
      </c>
      <c r="H222" s="2" t="s">
        <v>286</v>
      </c>
    </row>
    <row r="223" spans="7:8">
      <c r="G223" s="2" t="s">
        <v>924</v>
      </c>
      <c r="H223" s="2" t="s">
        <v>286</v>
      </c>
    </row>
    <row r="224" spans="7:8">
      <c r="G224" s="2" t="s">
        <v>924</v>
      </c>
      <c r="H224" s="2" t="s">
        <v>286</v>
      </c>
    </row>
    <row r="225" spans="7:8">
      <c r="G225" s="2" t="s">
        <v>925</v>
      </c>
      <c r="H225" s="2" t="s">
        <v>295</v>
      </c>
    </row>
    <row r="226" spans="7:8">
      <c r="G226" s="2" t="s">
        <v>925</v>
      </c>
      <c r="H226" s="2" t="s">
        <v>295</v>
      </c>
    </row>
    <row r="227" spans="7:8">
      <c r="G227" s="2" t="s">
        <v>925</v>
      </c>
      <c r="H227" s="2" t="s">
        <v>295</v>
      </c>
    </row>
    <row r="228" spans="7:8">
      <c r="G228" s="2" t="s">
        <v>926</v>
      </c>
      <c r="H228" s="2" t="s">
        <v>286</v>
      </c>
    </row>
    <row r="229" spans="7:8">
      <c r="G229" s="2" t="s">
        <v>926</v>
      </c>
      <c r="H229" s="2" t="s">
        <v>286</v>
      </c>
    </row>
    <row r="230" spans="7:8">
      <c r="G230" s="2" t="s">
        <v>926</v>
      </c>
      <c r="H230" s="2" t="s">
        <v>286</v>
      </c>
    </row>
    <row r="231" spans="7:8">
      <c r="G231" s="2" t="s">
        <v>927</v>
      </c>
      <c r="H231" s="2" t="s">
        <v>588</v>
      </c>
    </row>
    <row r="232" spans="7:8">
      <c r="G232" s="2" t="s">
        <v>927</v>
      </c>
      <c r="H232" s="2" t="s">
        <v>588</v>
      </c>
    </row>
    <row r="233" spans="7:8">
      <c r="G233" s="2" t="s">
        <v>927</v>
      </c>
      <c r="H233" s="2" t="s">
        <v>588</v>
      </c>
    </row>
    <row r="234" spans="7:8">
      <c r="G234" s="2" t="s">
        <v>928</v>
      </c>
      <c r="H234" s="2" t="s">
        <v>588</v>
      </c>
    </row>
    <row r="235" spans="7:8">
      <c r="G235" s="2" t="s">
        <v>928</v>
      </c>
      <c r="H235" s="2" t="s">
        <v>588</v>
      </c>
    </row>
    <row r="236" spans="7:8">
      <c r="G236" s="2" t="s">
        <v>928</v>
      </c>
      <c r="H236" s="2" t="s">
        <v>588</v>
      </c>
    </row>
    <row r="237" spans="7:8">
      <c r="G237" s="2" t="s">
        <v>928</v>
      </c>
      <c r="H237" s="2" t="s">
        <v>588</v>
      </c>
    </row>
    <row r="238" spans="7:8">
      <c r="G238" s="2" t="s">
        <v>929</v>
      </c>
      <c r="H238" s="2" t="s">
        <v>588</v>
      </c>
    </row>
    <row r="239" spans="7:8">
      <c r="G239" s="2" t="s">
        <v>929</v>
      </c>
      <c r="H239" s="2" t="s">
        <v>588</v>
      </c>
    </row>
    <row r="240" spans="7:8">
      <c r="G240" s="2" t="s">
        <v>929</v>
      </c>
      <c r="H240" s="2" t="s">
        <v>588</v>
      </c>
    </row>
    <row r="241" spans="7:8">
      <c r="G241" s="2" t="s">
        <v>930</v>
      </c>
      <c r="H241" s="2" t="s">
        <v>588</v>
      </c>
    </row>
    <row r="242" spans="7:8">
      <c r="G242" s="2" t="s">
        <v>930</v>
      </c>
      <c r="H242" s="2" t="s">
        <v>588</v>
      </c>
    </row>
    <row r="243" spans="7:8">
      <c r="G243" s="2" t="s">
        <v>930</v>
      </c>
      <c r="H243" s="2" t="s">
        <v>588</v>
      </c>
    </row>
    <row r="244" spans="7:8">
      <c r="G244" s="2" t="s">
        <v>930</v>
      </c>
      <c r="H244" s="2" t="s">
        <v>588</v>
      </c>
    </row>
    <row r="245" spans="7:8">
      <c r="G245" s="2" t="s">
        <v>931</v>
      </c>
      <c r="H245" s="2" t="s">
        <v>588</v>
      </c>
    </row>
    <row r="246" spans="7:8">
      <c r="G246" s="2" t="s">
        <v>931</v>
      </c>
      <c r="H246" s="2" t="s">
        <v>588</v>
      </c>
    </row>
    <row r="247" spans="7:8">
      <c r="G247" s="2" t="s">
        <v>931</v>
      </c>
      <c r="H247" s="2" t="s">
        <v>588</v>
      </c>
    </row>
    <row r="248" spans="7:8">
      <c r="G248" s="2" t="s">
        <v>931</v>
      </c>
      <c r="H248" s="2" t="s">
        <v>588</v>
      </c>
    </row>
    <row r="249" spans="7:8">
      <c r="G249" s="2" t="s">
        <v>932</v>
      </c>
      <c r="H249" s="2" t="s">
        <v>588</v>
      </c>
    </row>
    <row r="250" spans="7:8">
      <c r="G250" s="2" t="s">
        <v>932</v>
      </c>
      <c r="H250" s="2" t="s">
        <v>588</v>
      </c>
    </row>
    <row r="251" spans="7:8">
      <c r="G251" s="2" t="s">
        <v>932</v>
      </c>
      <c r="H251" s="2" t="s">
        <v>588</v>
      </c>
    </row>
    <row r="252" spans="7:8">
      <c r="G252" s="2" t="s">
        <v>932</v>
      </c>
      <c r="H252" s="2" t="s">
        <v>588</v>
      </c>
    </row>
    <row r="253" spans="7:8">
      <c r="G253" s="2" t="s">
        <v>933</v>
      </c>
      <c r="H253" s="2" t="s">
        <v>588</v>
      </c>
    </row>
    <row r="254" spans="7:8">
      <c r="G254" s="2" t="s">
        <v>933</v>
      </c>
      <c r="H254" s="2" t="s">
        <v>588</v>
      </c>
    </row>
    <row r="255" spans="7:8">
      <c r="G255" s="2" t="s">
        <v>933</v>
      </c>
      <c r="H255" s="2" t="s">
        <v>588</v>
      </c>
    </row>
    <row r="256" spans="7:8">
      <c r="G256" s="2" t="s">
        <v>933</v>
      </c>
      <c r="H256" s="2" t="s">
        <v>588</v>
      </c>
    </row>
    <row r="257" spans="7:8">
      <c r="G257" s="2" t="s">
        <v>934</v>
      </c>
      <c r="H257" s="2" t="s">
        <v>588</v>
      </c>
    </row>
    <row r="258" spans="7:8">
      <c r="G258" s="2" t="s">
        <v>934</v>
      </c>
      <c r="H258" s="2" t="s">
        <v>588</v>
      </c>
    </row>
    <row r="259" spans="7:8">
      <c r="G259" s="2" t="s">
        <v>934</v>
      </c>
      <c r="H259" s="2" t="s">
        <v>588</v>
      </c>
    </row>
    <row r="260" spans="7:8">
      <c r="G260" s="2" t="s">
        <v>934</v>
      </c>
      <c r="H260" s="2" t="s">
        <v>588</v>
      </c>
    </row>
    <row r="261" spans="7:8">
      <c r="G261" s="2" t="s">
        <v>935</v>
      </c>
      <c r="H261" s="2" t="s">
        <v>588</v>
      </c>
    </row>
    <row r="262" spans="7:8">
      <c r="G262" s="2" t="s">
        <v>935</v>
      </c>
      <c r="H262" s="2" t="s">
        <v>588</v>
      </c>
    </row>
    <row r="263" spans="7:8">
      <c r="G263" s="2" t="s">
        <v>935</v>
      </c>
      <c r="H263" s="2" t="s">
        <v>588</v>
      </c>
    </row>
    <row r="264" spans="7:8">
      <c r="G264" s="2" t="s">
        <v>935</v>
      </c>
      <c r="H264" s="2" t="s">
        <v>588</v>
      </c>
    </row>
    <row r="265" spans="7:8">
      <c r="G265" s="2" t="s">
        <v>936</v>
      </c>
      <c r="H265" s="2" t="s">
        <v>588</v>
      </c>
    </row>
    <row r="266" spans="7:8">
      <c r="G266" s="2" t="s">
        <v>936</v>
      </c>
      <c r="H266" s="2" t="s">
        <v>588</v>
      </c>
    </row>
    <row r="267" spans="7:8">
      <c r="G267" s="2" t="s">
        <v>936</v>
      </c>
      <c r="H267" s="2" t="s">
        <v>588</v>
      </c>
    </row>
    <row r="268" spans="7:8">
      <c r="G268" s="2" t="s">
        <v>936</v>
      </c>
      <c r="H268" s="2" t="s">
        <v>588</v>
      </c>
    </row>
    <row r="269" spans="7:8">
      <c r="G269" s="2" t="s">
        <v>937</v>
      </c>
      <c r="H269" s="2" t="s">
        <v>588</v>
      </c>
    </row>
    <row r="270" spans="7:8">
      <c r="G270" s="2" t="s">
        <v>937</v>
      </c>
      <c r="H270" s="2" t="s">
        <v>588</v>
      </c>
    </row>
    <row r="271" spans="7:8">
      <c r="G271" s="2" t="s">
        <v>937</v>
      </c>
      <c r="H271" s="2" t="s">
        <v>588</v>
      </c>
    </row>
    <row r="272" spans="7:8">
      <c r="G272" s="2" t="s">
        <v>937</v>
      </c>
      <c r="H272" s="2" t="s">
        <v>588</v>
      </c>
    </row>
    <row r="273" spans="7:8">
      <c r="G273" s="2" t="s">
        <v>938</v>
      </c>
      <c r="H273" s="2" t="s">
        <v>588</v>
      </c>
    </row>
    <row r="274" spans="7:8">
      <c r="G274" s="2" t="s">
        <v>938</v>
      </c>
      <c r="H274" s="2" t="s">
        <v>588</v>
      </c>
    </row>
    <row r="275" spans="7:8">
      <c r="G275" s="2" t="s">
        <v>938</v>
      </c>
      <c r="H275" s="2" t="s">
        <v>588</v>
      </c>
    </row>
    <row r="276" spans="7:8">
      <c r="G276" s="2" t="s">
        <v>938</v>
      </c>
      <c r="H276" s="2" t="s">
        <v>588</v>
      </c>
    </row>
    <row r="277" spans="7:8">
      <c r="G277" s="2" t="s">
        <v>939</v>
      </c>
      <c r="H277" s="2" t="s">
        <v>588</v>
      </c>
    </row>
    <row r="278" spans="7:8">
      <c r="G278" s="2" t="s">
        <v>939</v>
      </c>
      <c r="H278" s="2" t="s">
        <v>588</v>
      </c>
    </row>
    <row r="279" spans="7:8">
      <c r="G279" s="2" t="s">
        <v>939</v>
      </c>
      <c r="H279" s="2" t="s">
        <v>588</v>
      </c>
    </row>
    <row r="280" spans="7:8">
      <c r="G280" s="2" t="s">
        <v>939</v>
      </c>
      <c r="H280" s="2" t="s">
        <v>588</v>
      </c>
    </row>
    <row r="281" spans="7:8">
      <c r="G281" s="2" t="s">
        <v>940</v>
      </c>
      <c r="H281" s="2" t="s">
        <v>588</v>
      </c>
    </row>
    <row r="282" spans="7:8">
      <c r="G282" s="2" t="s">
        <v>940</v>
      </c>
      <c r="H282" s="2" t="s">
        <v>588</v>
      </c>
    </row>
    <row r="283" spans="7:8">
      <c r="G283" s="2" t="s">
        <v>940</v>
      </c>
      <c r="H283" s="2" t="s">
        <v>588</v>
      </c>
    </row>
    <row r="284" spans="7:8">
      <c r="G284" s="2" t="s">
        <v>940</v>
      </c>
      <c r="H284" s="2" t="s">
        <v>588</v>
      </c>
    </row>
    <row r="285" spans="7:8">
      <c r="G285" s="2" t="s">
        <v>941</v>
      </c>
      <c r="H285" s="2" t="s">
        <v>588</v>
      </c>
    </row>
    <row r="286" spans="7:8">
      <c r="G286" s="2" t="s">
        <v>941</v>
      </c>
      <c r="H286" s="2" t="s">
        <v>588</v>
      </c>
    </row>
    <row r="287" spans="7:8">
      <c r="G287" s="2" t="s">
        <v>941</v>
      </c>
      <c r="H287" s="2" t="s">
        <v>588</v>
      </c>
    </row>
    <row r="288" spans="7:8">
      <c r="G288" s="2" t="s">
        <v>941</v>
      </c>
      <c r="H288" s="2" t="s">
        <v>588</v>
      </c>
    </row>
    <row r="289" spans="7:8">
      <c r="G289" s="2" t="s">
        <v>942</v>
      </c>
      <c r="H289" s="2" t="s">
        <v>588</v>
      </c>
    </row>
    <row r="290" spans="7:8">
      <c r="G290" s="2" t="s">
        <v>942</v>
      </c>
      <c r="H290" s="2" t="s">
        <v>588</v>
      </c>
    </row>
    <row r="291" spans="7:8">
      <c r="G291" s="2" t="s">
        <v>942</v>
      </c>
      <c r="H291" s="2" t="s">
        <v>588</v>
      </c>
    </row>
    <row r="292" spans="7:8">
      <c r="G292" s="2" t="s">
        <v>942</v>
      </c>
      <c r="H292" s="2" t="s">
        <v>588</v>
      </c>
    </row>
    <row r="293" spans="7:8">
      <c r="G293" s="2" t="s">
        <v>943</v>
      </c>
      <c r="H293" s="2" t="s">
        <v>588</v>
      </c>
    </row>
    <row r="294" spans="7:8">
      <c r="G294" s="2" t="s">
        <v>943</v>
      </c>
      <c r="H294" s="2" t="s">
        <v>588</v>
      </c>
    </row>
    <row r="295" spans="7:8">
      <c r="G295" s="2" t="s">
        <v>943</v>
      </c>
      <c r="H295" s="2" t="s">
        <v>588</v>
      </c>
    </row>
    <row r="296" spans="7:8">
      <c r="G296" s="2" t="s">
        <v>943</v>
      </c>
      <c r="H296" s="2" t="s">
        <v>588</v>
      </c>
    </row>
    <row r="297" spans="7:8">
      <c r="G297" s="2" t="s">
        <v>944</v>
      </c>
      <c r="H297" s="2" t="s">
        <v>588</v>
      </c>
    </row>
    <row r="298" spans="7:8">
      <c r="G298" s="2" t="s">
        <v>944</v>
      </c>
      <c r="H298" s="2" t="s">
        <v>588</v>
      </c>
    </row>
    <row r="299" spans="7:8">
      <c r="G299" s="2" t="s">
        <v>944</v>
      </c>
      <c r="H299" s="2" t="s">
        <v>588</v>
      </c>
    </row>
    <row r="300" spans="7:8">
      <c r="G300" s="2" t="s">
        <v>944</v>
      </c>
      <c r="H300" s="2" t="s">
        <v>588</v>
      </c>
    </row>
    <row r="301" spans="7:8">
      <c r="G301" s="2" t="s">
        <v>945</v>
      </c>
      <c r="H301" s="2" t="s">
        <v>588</v>
      </c>
    </row>
    <row r="302" spans="7:8">
      <c r="G302" s="2" t="s">
        <v>945</v>
      </c>
      <c r="H302" s="2" t="s">
        <v>588</v>
      </c>
    </row>
    <row r="303" spans="7:8">
      <c r="G303" s="2" t="s">
        <v>945</v>
      </c>
      <c r="H303" s="2" t="s">
        <v>588</v>
      </c>
    </row>
    <row r="304" spans="7:8">
      <c r="G304" s="2" t="s">
        <v>945</v>
      </c>
      <c r="H304" s="2" t="s">
        <v>588</v>
      </c>
    </row>
    <row r="305" spans="7:8">
      <c r="G305" s="2" t="s">
        <v>946</v>
      </c>
      <c r="H305" s="2" t="s">
        <v>588</v>
      </c>
    </row>
    <row r="306" spans="7:8">
      <c r="G306" s="2" t="s">
        <v>946</v>
      </c>
      <c r="H306" s="2" t="s">
        <v>588</v>
      </c>
    </row>
    <row r="307" spans="7:8">
      <c r="G307" s="2" t="s">
        <v>946</v>
      </c>
      <c r="H307" s="2" t="s">
        <v>588</v>
      </c>
    </row>
    <row r="308" spans="7:8">
      <c r="G308" s="2" t="s">
        <v>946</v>
      </c>
      <c r="H308" s="2" t="s">
        <v>588</v>
      </c>
    </row>
    <row r="309" spans="7:8">
      <c r="G309" s="2" t="s">
        <v>947</v>
      </c>
      <c r="H309" s="2" t="s">
        <v>588</v>
      </c>
    </row>
    <row r="310" spans="7:8">
      <c r="G310" s="2" t="s">
        <v>947</v>
      </c>
      <c r="H310" s="2" t="s">
        <v>588</v>
      </c>
    </row>
    <row r="311" spans="7:8">
      <c r="G311" s="2" t="s">
        <v>947</v>
      </c>
      <c r="H311" s="2" t="s">
        <v>588</v>
      </c>
    </row>
    <row r="312" spans="7:8">
      <c r="G312" s="2" t="s">
        <v>947</v>
      </c>
      <c r="H312" s="2" t="s">
        <v>588</v>
      </c>
    </row>
    <row r="313" spans="7:8">
      <c r="G313" s="2" t="s">
        <v>948</v>
      </c>
      <c r="H313" s="2" t="s">
        <v>588</v>
      </c>
    </row>
    <row r="314" spans="7:8">
      <c r="G314" s="2" t="s">
        <v>948</v>
      </c>
      <c r="H314" s="2" t="s">
        <v>588</v>
      </c>
    </row>
    <row r="315" spans="7:8">
      <c r="G315" s="2" t="s">
        <v>948</v>
      </c>
      <c r="H315" s="2" t="s">
        <v>588</v>
      </c>
    </row>
    <row r="316" spans="7:8">
      <c r="G316" s="2" t="s">
        <v>948</v>
      </c>
      <c r="H316" s="2" t="s">
        <v>588</v>
      </c>
    </row>
    <row r="317" spans="7:8">
      <c r="G317" s="2" t="s">
        <v>949</v>
      </c>
      <c r="H317" s="2" t="s">
        <v>992</v>
      </c>
    </row>
    <row r="318" spans="7:8">
      <c r="G318" s="2" t="s">
        <v>949</v>
      </c>
      <c r="H318" s="2" t="s">
        <v>992</v>
      </c>
    </row>
    <row r="319" spans="7:8">
      <c r="G319" s="2" t="s">
        <v>949</v>
      </c>
      <c r="H319" s="2" t="s">
        <v>992</v>
      </c>
    </row>
    <row r="320" spans="7:8">
      <c r="G320" s="2" t="s">
        <v>949</v>
      </c>
      <c r="H320" s="2" t="s">
        <v>992</v>
      </c>
    </row>
    <row r="321" spans="7:8">
      <c r="G321" s="2" t="s">
        <v>950</v>
      </c>
      <c r="H321" s="2" t="s">
        <v>992</v>
      </c>
    </row>
    <row r="322" spans="7:8">
      <c r="G322" s="2" t="s">
        <v>950</v>
      </c>
      <c r="H322" s="2" t="s">
        <v>992</v>
      </c>
    </row>
    <row r="323" spans="7:8">
      <c r="G323" s="2" t="s">
        <v>950</v>
      </c>
      <c r="H323" s="2" t="s">
        <v>992</v>
      </c>
    </row>
    <row r="324" spans="7:8">
      <c r="G324" s="2" t="s">
        <v>950</v>
      </c>
      <c r="H324" s="2" t="s">
        <v>992</v>
      </c>
    </row>
    <row r="325" spans="7:8">
      <c r="G325" s="2" t="s">
        <v>951</v>
      </c>
      <c r="H325" s="2" t="s">
        <v>295</v>
      </c>
    </row>
    <row r="326" spans="7:8">
      <c r="G326" s="2" t="s">
        <v>951</v>
      </c>
      <c r="H326" s="2" t="s">
        <v>295</v>
      </c>
    </row>
    <row r="327" spans="7:8">
      <c r="G327" s="2" t="s">
        <v>951</v>
      </c>
      <c r="H327" s="2" t="s">
        <v>295</v>
      </c>
    </row>
    <row r="328" spans="7:8">
      <c r="G328" s="2" t="s">
        <v>952</v>
      </c>
      <c r="H328" s="2" t="s">
        <v>279</v>
      </c>
    </row>
    <row r="329" spans="7:8">
      <c r="G329" s="2" t="s">
        <v>952</v>
      </c>
      <c r="H329" s="2" t="s">
        <v>279</v>
      </c>
    </row>
    <row r="330" spans="7:8">
      <c r="G330" s="2" t="s">
        <v>952</v>
      </c>
      <c r="H330" s="2" t="s">
        <v>279</v>
      </c>
    </row>
    <row r="331" spans="7:8">
      <c r="G331" s="2" t="s">
        <v>953</v>
      </c>
      <c r="H331" s="2" t="s">
        <v>977</v>
      </c>
    </row>
    <row r="332" spans="7:8">
      <c r="G332" s="2" t="s">
        <v>953</v>
      </c>
      <c r="H332" s="2" t="s">
        <v>977</v>
      </c>
    </row>
    <row r="333" spans="7:8">
      <c r="G333" s="2" t="s">
        <v>953</v>
      </c>
      <c r="H333" s="2" t="s">
        <v>977</v>
      </c>
    </row>
    <row r="334" spans="7:8">
      <c r="G334" s="2" t="s">
        <v>953</v>
      </c>
      <c r="H334" s="2" t="s">
        <v>977</v>
      </c>
    </row>
    <row r="335" spans="7:8">
      <c r="G335" s="2" t="s">
        <v>954</v>
      </c>
      <c r="H335" s="2" t="s">
        <v>588</v>
      </c>
    </row>
    <row r="336" spans="7:8">
      <c r="G336" s="2" t="s">
        <v>954</v>
      </c>
      <c r="H336" s="2" t="s">
        <v>588</v>
      </c>
    </row>
    <row r="337" spans="7:8">
      <c r="G337" s="2" t="s">
        <v>954</v>
      </c>
      <c r="H337" s="2" t="s">
        <v>588</v>
      </c>
    </row>
    <row r="338" spans="7:8">
      <c r="G338" s="2" t="s">
        <v>955</v>
      </c>
      <c r="H338" s="2" t="s">
        <v>48</v>
      </c>
    </row>
    <row r="339" spans="7:8">
      <c r="G339" s="2" t="s">
        <v>955</v>
      </c>
      <c r="H339" s="2" t="s">
        <v>48</v>
      </c>
    </row>
    <row r="340" spans="7:8">
      <c r="G340" s="2" t="s">
        <v>955</v>
      </c>
      <c r="H340" s="2" t="s">
        <v>48</v>
      </c>
    </row>
    <row r="341" spans="7:8">
      <c r="G341" s="2" t="s">
        <v>956</v>
      </c>
      <c r="H341" s="2" t="s">
        <v>48</v>
      </c>
    </row>
    <row r="342" spans="7:8">
      <c r="G342" s="2" t="s">
        <v>956</v>
      </c>
      <c r="H342" s="2" t="s">
        <v>48</v>
      </c>
    </row>
    <row r="343" spans="7:8">
      <c r="G343" s="2" t="s">
        <v>956</v>
      </c>
      <c r="H343" s="2" t="s">
        <v>48</v>
      </c>
    </row>
    <row r="344" spans="7:8">
      <c r="G344" s="2" t="s">
        <v>957</v>
      </c>
      <c r="H344" s="2" t="s">
        <v>192</v>
      </c>
    </row>
    <row r="345" spans="7:8">
      <c r="G345" s="2" t="s">
        <v>957</v>
      </c>
      <c r="H345" s="2" t="s">
        <v>192</v>
      </c>
    </row>
    <row r="346" spans="7:8">
      <c r="G346" s="2" t="s">
        <v>957</v>
      </c>
      <c r="H346" s="2" t="s">
        <v>192</v>
      </c>
    </row>
    <row r="347" spans="7:8">
      <c r="G347" s="2" t="s">
        <v>958</v>
      </c>
      <c r="H347" s="2" t="s">
        <v>192</v>
      </c>
    </row>
    <row r="348" spans="7:8">
      <c r="G348" s="2" t="s">
        <v>958</v>
      </c>
      <c r="H348" s="2" t="s">
        <v>192</v>
      </c>
    </row>
    <row r="349" spans="7:8">
      <c r="G349" s="2" t="s">
        <v>958</v>
      </c>
      <c r="H349" s="2" t="s">
        <v>192</v>
      </c>
    </row>
    <row r="350" spans="7:8">
      <c r="G350" s="2" t="s">
        <v>959</v>
      </c>
      <c r="H350" s="2" t="s">
        <v>588</v>
      </c>
    </row>
    <row r="351" spans="7:8">
      <c r="G351" s="2" t="s">
        <v>959</v>
      </c>
      <c r="H351" s="2" t="s">
        <v>588</v>
      </c>
    </row>
    <row r="352" spans="7:8">
      <c r="G352" s="2" t="s">
        <v>959</v>
      </c>
      <c r="H352" s="2" t="s">
        <v>588</v>
      </c>
    </row>
    <row r="353" spans="7:8">
      <c r="G353" s="2" t="s">
        <v>959</v>
      </c>
      <c r="H353" s="2" t="s">
        <v>588</v>
      </c>
    </row>
    <row r="354" spans="7:8">
      <c r="G354" s="2" t="s">
        <v>960</v>
      </c>
      <c r="H354" s="2" t="s">
        <v>588</v>
      </c>
    </row>
    <row r="355" spans="7:8">
      <c r="G355" s="2" t="s">
        <v>960</v>
      </c>
      <c r="H355" s="2" t="s">
        <v>588</v>
      </c>
    </row>
    <row r="356" spans="7:8">
      <c r="G356" s="2" t="s">
        <v>960</v>
      </c>
      <c r="H356" s="2" t="s">
        <v>588</v>
      </c>
    </row>
    <row r="357" spans="7:8">
      <c r="G357" s="2" t="s">
        <v>960</v>
      </c>
      <c r="H357" s="2" t="s">
        <v>588</v>
      </c>
    </row>
    <row r="358" spans="7:8">
      <c r="G358" s="2" t="s">
        <v>961</v>
      </c>
      <c r="H358" s="2" t="s">
        <v>588</v>
      </c>
    </row>
    <row r="359" spans="7:8">
      <c r="G359" s="2" t="s">
        <v>961</v>
      </c>
      <c r="H359" s="2" t="s">
        <v>588</v>
      </c>
    </row>
    <row r="360" spans="7:8">
      <c r="G360" s="2" t="s">
        <v>961</v>
      </c>
      <c r="H360" s="2" t="s">
        <v>588</v>
      </c>
    </row>
    <row r="361" spans="7:8">
      <c r="G361" s="2" t="s">
        <v>961</v>
      </c>
      <c r="H361" s="2" t="s">
        <v>588</v>
      </c>
    </row>
    <row r="362" spans="7:8">
      <c r="G362" s="2" t="s">
        <v>962</v>
      </c>
      <c r="H362" s="2" t="s">
        <v>295</v>
      </c>
    </row>
    <row r="363" spans="7:8">
      <c r="G363" s="2" t="s">
        <v>962</v>
      </c>
      <c r="H363" s="2" t="s">
        <v>295</v>
      </c>
    </row>
    <row r="364" spans="7:8">
      <c r="G364" s="2" t="s">
        <v>963</v>
      </c>
      <c r="H364" s="2" t="s">
        <v>48</v>
      </c>
    </row>
    <row r="365" spans="7:8">
      <c r="G365" s="2" t="s">
        <v>963</v>
      </c>
      <c r="H365" s="2" t="s">
        <v>48</v>
      </c>
    </row>
    <row r="366" spans="7:8">
      <c r="G366" s="2" t="s">
        <v>963</v>
      </c>
      <c r="H366" s="2" t="s">
        <v>48</v>
      </c>
    </row>
    <row r="367" spans="7:8">
      <c r="G367" s="2" t="s">
        <v>964</v>
      </c>
      <c r="H367" s="2" t="s">
        <v>48</v>
      </c>
    </row>
    <row r="368" spans="7:8">
      <c r="G368" s="2" t="s">
        <v>964</v>
      </c>
      <c r="H368" s="2" t="s">
        <v>48</v>
      </c>
    </row>
    <row r="369" spans="7:8">
      <c r="G369" s="2" t="s">
        <v>964</v>
      </c>
      <c r="H369" s="2" t="s">
        <v>48</v>
      </c>
    </row>
    <row r="370" spans="7:8">
      <c r="G370" s="2" t="s">
        <v>965</v>
      </c>
      <c r="H370" s="2" t="s">
        <v>588</v>
      </c>
    </row>
    <row r="371" spans="7:8">
      <c r="G371" s="2" t="s">
        <v>965</v>
      </c>
      <c r="H371" s="2" t="s">
        <v>588</v>
      </c>
    </row>
    <row r="372" spans="7:8">
      <c r="G372" s="2" t="s">
        <v>965</v>
      </c>
      <c r="H372" s="2" t="s">
        <v>588</v>
      </c>
    </row>
    <row r="373" spans="7:8">
      <c r="G373" s="2" t="s">
        <v>966</v>
      </c>
      <c r="H373" s="2" t="s">
        <v>588</v>
      </c>
    </row>
    <row r="374" spans="7:8">
      <c r="G374" s="2" t="s">
        <v>966</v>
      </c>
      <c r="H374" s="2" t="s">
        <v>588</v>
      </c>
    </row>
    <row r="375" spans="7:8">
      <c r="G375" s="2" t="s">
        <v>966</v>
      </c>
      <c r="H375" s="2" t="s">
        <v>588</v>
      </c>
    </row>
    <row r="376" spans="7:8">
      <c r="G376" s="2" t="s">
        <v>967</v>
      </c>
      <c r="H376" s="2" t="s">
        <v>48</v>
      </c>
    </row>
    <row r="377" spans="7:8">
      <c r="G377" s="2" t="s">
        <v>967</v>
      </c>
      <c r="H377" s="2" t="s">
        <v>48</v>
      </c>
    </row>
    <row r="378" spans="7:8">
      <c r="G378" s="2" t="s">
        <v>967</v>
      </c>
      <c r="H378" s="2" t="s">
        <v>48</v>
      </c>
    </row>
    <row r="379" spans="7:8">
      <c r="G379" s="2" t="s">
        <v>968</v>
      </c>
      <c r="H379" s="2" t="s">
        <v>48</v>
      </c>
    </row>
    <row r="380" spans="7:8">
      <c r="G380" s="2" t="s">
        <v>968</v>
      </c>
      <c r="H380" s="2" t="s">
        <v>48</v>
      </c>
    </row>
    <row r="381" spans="7:8">
      <c r="G381" s="2" t="s">
        <v>968</v>
      </c>
      <c r="H381" s="2" t="s">
        <v>48</v>
      </c>
    </row>
    <row r="382" spans="7:8">
      <c r="G382" s="2" t="s">
        <v>969</v>
      </c>
      <c r="H382" s="2" t="s">
        <v>48</v>
      </c>
    </row>
    <row r="383" spans="7:8">
      <c r="G383" s="2" t="s">
        <v>969</v>
      </c>
      <c r="H383" s="2" t="s">
        <v>48</v>
      </c>
    </row>
    <row r="384" spans="7:8">
      <c r="G384" s="2" t="s">
        <v>969</v>
      </c>
      <c r="H384" s="2" t="s">
        <v>48</v>
      </c>
    </row>
    <row r="385" spans="7:8">
      <c r="G385" s="2" t="s">
        <v>970</v>
      </c>
      <c r="H385" s="2" t="s">
        <v>48</v>
      </c>
    </row>
    <row r="386" spans="7:8">
      <c r="G386" s="2" t="s">
        <v>970</v>
      </c>
      <c r="H386" s="2" t="s">
        <v>48</v>
      </c>
    </row>
    <row r="387" spans="7:8">
      <c r="G387" s="2" t="s">
        <v>970</v>
      </c>
      <c r="H387" s="2" t="s">
        <v>48</v>
      </c>
    </row>
    <row r="388" spans="7:8">
      <c r="G388" s="2" t="s">
        <v>971</v>
      </c>
      <c r="H388" s="2" t="s">
        <v>48</v>
      </c>
    </row>
    <row r="389" spans="7:8">
      <c r="G389" s="2" t="s">
        <v>971</v>
      </c>
      <c r="H389" s="2" t="s">
        <v>48</v>
      </c>
    </row>
    <row r="390" spans="7:8">
      <c r="G390" s="2" t="s">
        <v>971</v>
      </c>
      <c r="H390" s="2" t="s">
        <v>48</v>
      </c>
    </row>
    <row r="391" spans="7:8">
      <c r="G391" s="2" t="s">
        <v>972</v>
      </c>
      <c r="H391" s="2" t="s">
        <v>56</v>
      </c>
    </row>
    <row r="392" spans="7:8">
      <c r="G392" s="2" t="s">
        <v>972</v>
      </c>
      <c r="H392" s="2" t="s">
        <v>56</v>
      </c>
    </row>
    <row r="393" spans="7:8">
      <c r="G393" s="2" t="s">
        <v>972</v>
      </c>
      <c r="H393" s="2" t="s">
        <v>56</v>
      </c>
    </row>
    <row r="394" spans="7:8">
      <c r="G394" s="2" t="s">
        <v>973</v>
      </c>
      <c r="H394" s="2" t="s">
        <v>588</v>
      </c>
    </row>
    <row r="395" spans="7:8">
      <c r="G395" s="2" t="s">
        <v>973</v>
      </c>
      <c r="H395" s="2" t="s">
        <v>588</v>
      </c>
    </row>
    <row r="396" spans="7:8">
      <c r="G396" s="2" t="s">
        <v>973</v>
      </c>
      <c r="H396" s="2" t="s">
        <v>588</v>
      </c>
    </row>
    <row r="397" spans="7:8">
      <c r="G397" s="2" t="s">
        <v>974</v>
      </c>
      <c r="H397" s="2" t="s">
        <v>295</v>
      </c>
    </row>
    <row r="398" spans="7:8">
      <c r="G398" s="2" t="s">
        <v>974</v>
      </c>
      <c r="H398" s="2" t="s">
        <v>295</v>
      </c>
    </row>
    <row r="399" spans="7:8">
      <c r="G399" s="2" t="s">
        <v>975</v>
      </c>
      <c r="H399" s="2" t="s">
        <v>184</v>
      </c>
    </row>
    <row r="400" spans="7:8">
      <c r="G400" s="2" t="s">
        <v>975</v>
      </c>
      <c r="H400" s="2" t="s">
        <v>184</v>
      </c>
    </row>
    <row r="401" spans="7:8">
      <c r="G401" s="2" t="s">
        <v>975</v>
      </c>
      <c r="H401" s="2" t="s">
        <v>184</v>
      </c>
    </row>
    <row r="402" spans="7:8">
      <c r="G402" s="2" t="s">
        <v>976</v>
      </c>
      <c r="H402" s="2" t="s">
        <v>828</v>
      </c>
    </row>
    <row r="403" spans="7:8">
      <c r="G403" s="2" t="s">
        <v>976</v>
      </c>
      <c r="H403" s="2" t="s">
        <v>828</v>
      </c>
    </row>
    <row r="404" spans="7:8">
      <c r="G404" s="2" t="s">
        <v>978</v>
      </c>
      <c r="H404" s="2" t="s">
        <v>48</v>
      </c>
    </row>
    <row r="405" spans="7:8">
      <c r="G405" s="2" t="s">
        <v>978</v>
      </c>
      <c r="H405" s="2" t="s">
        <v>48</v>
      </c>
    </row>
    <row r="406" spans="7:8">
      <c r="G406" s="2" t="s">
        <v>978</v>
      </c>
      <c r="H406" s="2" t="s">
        <v>48</v>
      </c>
    </row>
    <row r="407" spans="7:8">
      <c r="G407" s="2" t="s">
        <v>978</v>
      </c>
      <c r="H407" s="2" t="s">
        <v>48</v>
      </c>
    </row>
    <row r="408" spans="7:8">
      <c r="G408" s="2" t="s">
        <v>979</v>
      </c>
      <c r="H408" s="2" t="s">
        <v>588</v>
      </c>
    </row>
    <row r="409" spans="7:8">
      <c r="G409" s="2" t="s">
        <v>979</v>
      </c>
      <c r="H409" s="2" t="s">
        <v>588</v>
      </c>
    </row>
    <row r="410" spans="7:8">
      <c r="G410" s="2" t="s">
        <v>979</v>
      </c>
      <c r="H410" s="2" t="s">
        <v>588</v>
      </c>
    </row>
    <row r="411" spans="7:8">
      <c r="G411" s="2" t="s">
        <v>979</v>
      </c>
      <c r="H411" s="2" t="s">
        <v>588</v>
      </c>
    </row>
    <row r="412" spans="7:8">
      <c r="G412" s="2" t="s">
        <v>980</v>
      </c>
      <c r="H412" s="2" t="s">
        <v>192</v>
      </c>
    </row>
    <row r="413" spans="7:8">
      <c r="G413" s="2" t="s">
        <v>980</v>
      </c>
      <c r="H413" s="2" t="s">
        <v>192</v>
      </c>
    </row>
    <row r="414" spans="7:8">
      <c r="G414" s="2" t="s">
        <v>981</v>
      </c>
      <c r="H414" s="2" t="s">
        <v>166</v>
      </c>
    </row>
    <row r="415" spans="7:8">
      <c r="G415" s="2" t="s">
        <v>981</v>
      </c>
      <c r="H415" s="2" t="s">
        <v>166</v>
      </c>
    </row>
    <row r="416" spans="7:8">
      <c r="G416" s="2" t="s">
        <v>981</v>
      </c>
      <c r="H416" s="2" t="s">
        <v>166</v>
      </c>
    </row>
    <row r="417" spans="7:8">
      <c r="G417" s="2" t="s">
        <v>982</v>
      </c>
      <c r="H417" s="2" t="s">
        <v>199</v>
      </c>
    </row>
    <row r="418" spans="7:8">
      <c r="G418" s="2" t="s">
        <v>982</v>
      </c>
      <c r="H418" s="2" t="s">
        <v>199</v>
      </c>
    </row>
    <row r="419" spans="7:8">
      <c r="G419" s="2" t="s">
        <v>982</v>
      </c>
      <c r="H419" s="2" t="s">
        <v>199</v>
      </c>
    </row>
    <row r="420" spans="7:8">
      <c r="G420" s="2" t="s">
        <v>983</v>
      </c>
      <c r="H420" s="2" t="s">
        <v>316</v>
      </c>
    </row>
    <row r="421" spans="7:8">
      <c r="G421" s="2" t="s">
        <v>983</v>
      </c>
      <c r="H421" s="2" t="s">
        <v>316</v>
      </c>
    </row>
    <row r="422" spans="7:8">
      <c r="G422" s="2" t="s">
        <v>983</v>
      </c>
      <c r="H422" s="2" t="s">
        <v>316</v>
      </c>
    </row>
    <row r="423" spans="7:8">
      <c r="G423" s="2" t="s">
        <v>984</v>
      </c>
      <c r="H423" s="2" t="s">
        <v>56</v>
      </c>
    </row>
    <row r="424" spans="7:8">
      <c r="G424" s="2" t="s">
        <v>984</v>
      </c>
      <c r="H424" s="2" t="s">
        <v>56</v>
      </c>
    </row>
    <row r="425" spans="7:8">
      <c r="G425" s="2" t="s">
        <v>984</v>
      </c>
      <c r="H425" s="2" t="s">
        <v>56</v>
      </c>
    </row>
    <row r="426" spans="7:8">
      <c r="G426" s="2" t="s">
        <v>984</v>
      </c>
      <c r="H426" s="2" t="s">
        <v>56</v>
      </c>
    </row>
    <row r="427" spans="7:8">
      <c r="G427" s="2" t="s">
        <v>985</v>
      </c>
      <c r="H427" s="2" t="s">
        <v>56</v>
      </c>
    </row>
    <row r="428" spans="7:8">
      <c r="G428" s="2" t="s">
        <v>985</v>
      </c>
      <c r="H428" s="2" t="s">
        <v>56</v>
      </c>
    </row>
    <row r="429" spans="7:8">
      <c r="G429" s="2" t="s">
        <v>985</v>
      </c>
      <c r="H429" s="2" t="s">
        <v>56</v>
      </c>
    </row>
    <row r="430" spans="7:8">
      <c r="G430" s="2" t="s">
        <v>985</v>
      </c>
      <c r="H430" s="2" t="s">
        <v>56</v>
      </c>
    </row>
    <row r="431" spans="7:8">
      <c r="G431" s="2" t="s">
        <v>986</v>
      </c>
      <c r="H431" s="2" t="s">
        <v>600</v>
      </c>
    </row>
    <row r="432" spans="7:8">
      <c r="G432" s="2" t="s">
        <v>986</v>
      </c>
      <c r="H432" s="2" t="s">
        <v>600</v>
      </c>
    </row>
    <row r="433" spans="7:8">
      <c r="G433" s="2" t="s">
        <v>986</v>
      </c>
      <c r="H433" s="2" t="s">
        <v>600</v>
      </c>
    </row>
    <row r="434" spans="7:8">
      <c r="G434" s="2" t="s">
        <v>987</v>
      </c>
      <c r="H434" s="2" t="s">
        <v>48</v>
      </c>
    </row>
    <row r="435" spans="7:8">
      <c r="G435" s="2" t="s">
        <v>987</v>
      </c>
      <c r="H435" s="2" t="s">
        <v>48</v>
      </c>
    </row>
    <row r="436" spans="7:8">
      <c r="G436" s="2" t="s">
        <v>987</v>
      </c>
      <c r="H436" s="2" t="s">
        <v>48</v>
      </c>
    </row>
    <row r="437" spans="7:8">
      <c r="G437" s="2" t="s">
        <v>987</v>
      </c>
      <c r="H437" s="2" t="s">
        <v>48</v>
      </c>
    </row>
    <row r="438" spans="7:8">
      <c r="G438" s="2" t="s">
        <v>988</v>
      </c>
      <c r="H438" s="2" t="s">
        <v>48</v>
      </c>
    </row>
    <row r="439" spans="7:8">
      <c r="G439" s="2" t="s">
        <v>988</v>
      </c>
      <c r="H439" s="2" t="s">
        <v>48</v>
      </c>
    </row>
    <row r="440" spans="7:8">
      <c r="G440" s="2" t="s">
        <v>988</v>
      </c>
      <c r="H440" s="2" t="s">
        <v>48</v>
      </c>
    </row>
    <row r="441" spans="7:8">
      <c r="G441" s="2" t="s">
        <v>988</v>
      </c>
      <c r="H441" s="2" t="s">
        <v>48</v>
      </c>
    </row>
    <row r="442" spans="7:8">
      <c r="G442" s="2" t="s">
        <v>989</v>
      </c>
      <c r="H442" s="2" t="s">
        <v>295</v>
      </c>
    </row>
    <row r="443" spans="7:8">
      <c r="G443" s="2" t="s">
        <v>989</v>
      </c>
      <c r="H443" s="2" t="s">
        <v>295</v>
      </c>
    </row>
    <row r="444" spans="7:8">
      <c r="G444" s="2" t="s">
        <v>989</v>
      </c>
      <c r="H444" s="2" t="s">
        <v>295</v>
      </c>
    </row>
    <row r="445" spans="7:8">
      <c r="G445" s="2" t="s">
        <v>990</v>
      </c>
      <c r="H445" s="2" t="s">
        <v>815</v>
      </c>
    </row>
    <row r="446" spans="7:8">
      <c r="G446" s="2" t="s">
        <v>990</v>
      </c>
      <c r="H446" s="2" t="s">
        <v>815</v>
      </c>
    </row>
    <row r="447" spans="7:8">
      <c r="G447" s="2" t="s">
        <v>990</v>
      </c>
      <c r="H447" s="2" t="s">
        <v>815</v>
      </c>
    </row>
    <row r="448" spans="7:8">
      <c r="G448" s="2" t="s">
        <v>990</v>
      </c>
      <c r="H448" s="2" t="s">
        <v>815</v>
      </c>
    </row>
    <row r="449" spans="7:8">
      <c r="G449" s="2" t="s">
        <v>990</v>
      </c>
      <c r="H449" s="2" t="s">
        <v>815</v>
      </c>
    </row>
    <row r="450" spans="7:8">
      <c r="G450" s="2" t="s">
        <v>991</v>
      </c>
      <c r="H450" s="2" t="s">
        <v>993</v>
      </c>
    </row>
    <row r="451" spans="7:8">
      <c r="G451" s="2" t="s">
        <v>991</v>
      </c>
      <c r="H451" s="2" t="s">
        <v>993</v>
      </c>
    </row>
    <row r="452" spans="7:8">
      <c r="G452" s="2" t="s">
        <v>991</v>
      </c>
      <c r="H452" s="2" t="s">
        <v>993</v>
      </c>
    </row>
    <row r="453" spans="7:8">
      <c r="G453" s="2" t="s">
        <v>991</v>
      </c>
      <c r="H453" s="2" t="s">
        <v>993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CostBill</vt:lpstr>
      <vt:lpstr>CostBill 一件代发费用录入</vt:lpstr>
      <vt:lpstr>vlookup重量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蓓蓓</cp:lastModifiedBy>
  <cp:revision>0</cp:revision>
  <dcterms:created xsi:type="dcterms:W3CDTF">2025-02-18T11:12:00Z</dcterms:created>
  <dcterms:modified xsi:type="dcterms:W3CDTF">2025-03-05T09:31:27Z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77644A792E3C41F69110F2C815B04D12_13</vt:lpwstr>
  </property>
  <property fmtid="{D5CDD505-2E9C-101B-9397-08002B2CF9AE}" pid="3" name="KSOProductBuildVer">
    <vt:lpwstr>2052-12.1.0.20305</vt:lpwstr>
  </property>
</Properties>
</file>