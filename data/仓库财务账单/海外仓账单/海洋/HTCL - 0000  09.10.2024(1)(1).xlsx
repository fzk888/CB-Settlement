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140" windowHeight="4230" activeTab="1"/>
  </bookViews>
  <sheets>
    <sheet name="英国FBA托盘包车价格" sheetId="1" r:id="rId1"/>
    <sheet name="海运卸柜价格" sheetId="2" r:id="rId2"/>
    <sheet name="拣货费" sheetId="3" r:id="rId3"/>
  </sheets>
  <definedNames>
    <definedName name="_xlnm._FilterDatabase" localSheetId="1" hidden="1">海运卸柜价格!$A$1:$M$44</definedName>
    <definedName name="_xlnm._FilterDatabase" localSheetId="2" hidden="1">拣货费!$A$1:$E$37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<sst xmlns="http://schemas.openxmlformats.org/spreadsheetml/2006/main" count="169" uniqueCount="136">
  <si>
    <t>海洋国际 英国 FBA 托盘包车价</t>
  </si>
  <si>
    <t>英国</t>
  </si>
  <si>
    <t>06.07.2021</t>
  </si>
  <si>
    <t>Code</t>
  </si>
  <si>
    <t>FBA Address</t>
  </si>
  <si>
    <t>Postcode</t>
  </si>
  <si>
    <t>区域</t>
  </si>
  <si>
    <t>包车</t>
  </si>
  <si>
    <t>散托</t>
  </si>
  <si>
    <t xml:space="preserve">建议包车托盘数 </t>
  </si>
  <si>
    <t>LTN2</t>
  </si>
  <si>
    <t xml:space="preserve">Amazon.co.uk Hemel Hempstead ，Hertfordshire </t>
  </si>
  <si>
    <t>HP27LF</t>
  </si>
  <si>
    <t>LTN1</t>
  </si>
  <si>
    <t>Amazon.co.uk Ridgmont，Bedfordshire Miton Keynes</t>
  </si>
  <si>
    <t>MK43 0ZA</t>
  </si>
  <si>
    <t>LBA1</t>
  </si>
  <si>
    <t>Amazon.co.uk  Firstpoint Business Park Balby Carr Bank，Doncaster</t>
  </si>
  <si>
    <t>DN4 5JS</t>
  </si>
  <si>
    <t>LBA2</t>
  </si>
  <si>
    <t>Amazon Fulfillment Center Unit 1 (IP1= Amazon)  Iport Avenue  Doncaster, Yorkshire and the Humber</t>
  </si>
  <si>
    <t>DN11 0BG</t>
  </si>
  <si>
    <t>BHX1</t>
  </si>
  <si>
    <t>Amazon.co.uk  Towers Business Park Power Station Road，RUGELEY</t>
  </si>
  <si>
    <t>WS15 1LX</t>
  </si>
  <si>
    <t>EUK5</t>
  </si>
  <si>
    <t>Amazon.co.uk  Phase Two, Kingston Park Flaxley Road，Peterborough</t>
  </si>
  <si>
    <t>PE2 9EN</t>
  </si>
  <si>
    <t>XUKD</t>
  </si>
  <si>
    <t xml:space="preserve">ND Logistics NS 3PL Bigfoot, Royal Oak Distribution Centre Royal Oak Way North
    Daventry </t>
  </si>
  <si>
    <t>NN11 8QL</t>
  </si>
  <si>
    <t>BHX2</t>
  </si>
  <si>
    <t xml:space="preserve">  Amazon EU SARL
    Robson Way
    COALVILLE, Leicestershire </t>
  </si>
  <si>
    <t>LE67 1GQ</t>
  </si>
  <si>
    <t>MAN1</t>
  </si>
  <si>
    <t xml:space="preserve">Amazon EU SARL 6 Sunbank Lane Airport City Manchester, Altrincham </t>
  </si>
  <si>
    <t>M90 5AA</t>
  </si>
  <si>
    <t>MAN2</t>
  </si>
  <si>
    <t>Amazon Fulfillment Center Omega Plot 7c Orion Boulevard Warrington, North West England</t>
  </si>
  <si>
    <t>WA5 3XA</t>
  </si>
  <si>
    <t>LTN4</t>
  </si>
  <si>
    <t>Amazon.co.uk unit dc1（proligis）boscombe road dunstable LU5 4FE</t>
  </si>
  <si>
    <t>LU5 4FE</t>
  </si>
  <si>
    <t>EDI4</t>
  </si>
  <si>
    <t>Amazon.co.uk Amazon Way，Dunfermline</t>
  </si>
  <si>
    <t xml:space="preserve">KY11 8ST </t>
  </si>
  <si>
    <t>CWL1</t>
  </si>
  <si>
    <t>Amazon.co.uk, Ffordd Amazon，Crymlyn Burrows，Swansea</t>
  </si>
  <si>
    <t>SA1 8QX</t>
  </si>
  <si>
    <t>GLA1</t>
  </si>
  <si>
    <t>Amazon.co.uk, 2 Cloch Road Faulds Park，Gourock，Inverclyde</t>
  </si>
  <si>
    <t>PA19 1BQ</t>
  </si>
  <si>
    <t>LCY2</t>
  </si>
  <si>
    <t xml:space="preserve">Amazon Distribution Depot Unit 2, London Distribution Park Tilbury, United Kingdom </t>
  </si>
  <si>
    <t>RM18 7AN</t>
  </si>
  <si>
    <t>MME1</t>
  </si>
  <si>
    <t xml:space="preserve">Amazon, Darlington, United Kingdom </t>
  </si>
  <si>
    <t>DL1 4BF</t>
  </si>
  <si>
    <t>包车价，每一票FBA Job 加£5.00 手续费。多票每票£5.00。</t>
  </si>
  <si>
    <t>散托，价钱无其它费用。包车价，如为亚马逊，天气，不可预计原因造成二次送货，可加收额外的费用，实报实销。</t>
  </si>
  <si>
    <t>本服务为UPS承运直接派送。</t>
  </si>
  <si>
    <t>法国</t>
  </si>
  <si>
    <t>1 to 15</t>
  </si>
  <si>
    <t>ORY1</t>
  </si>
  <si>
    <t>Pole 45 1401 Rue Du Champ Rouge
45772 SARAN CEDEX France</t>
  </si>
  <si>
    <t>MRS1</t>
  </si>
  <si>
    <t>building 2,ZAC Les Portes de Provence,F-26200,Montelimar,France</t>
  </si>
  <si>
    <t>LIL1</t>
  </si>
  <si>
    <t>Rue de la Plaine,59553,Lauwin-Planque,Nord-Pas-de-Calais,France</t>
  </si>
  <si>
    <t>德国</t>
  </si>
  <si>
    <t>STR1</t>
  </si>
  <si>
    <t>Amazon.co.EU Amazonstrasse 1 Pforzheim, Baden-Wurttemberg 75177</t>
  </si>
  <si>
    <t>EDE5</t>
  </si>
  <si>
    <t>Amazon.de - Werne Wahrbrink 23 59368 Werne</t>
  </si>
  <si>
    <t>DTM2</t>
  </si>
  <si>
    <t>Kaltbandstrasse 4 Dortmund, North Rhine-Westphalia 44145 DE</t>
  </si>
  <si>
    <t>PRG2</t>
  </si>
  <si>
    <t>c/o Amazon FC PRG2 DHL Solution Fashion GmbH
c/o Amazon FC PRG2 Am Wald 1 16515 Oranienburg Germany（PRG2）</t>
  </si>
  <si>
    <t>WRO2</t>
  </si>
  <si>
    <t>Amazon FC WRO2，Am Wald 1，Oranienburg, Brandenburg 16515 DE (WRO2)</t>
  </si>
  <si>
    <t>意大利</t>
  </si>
  <si>
    <t>BITA</t>
  </si>
  <si>
    <t>MXP3</t>
  </si>
  <si>
    <t>Amazon Fulfillment Center Via Rita Levi Montalcini, 2 Vercelli, Piedmont</t>
  </si>
  <si>
    <t>MXP5</t>
  </si>
  <si>
    <t>Amazon Italia Logistica S.r.l Strada Dogana Po, 2U 29015 Castel San Giovanni (PC)，Italy</t>
  </si>
  <si>
    <t>2U 29015</t>
  </si>
  <si>
    <t>西班牙</t>
  </si>
  <si>
    <t xml:space="preserve">MAD4 </t>
  </si>
  <si>
    <t>Amazon.es Avenida de la Astronomia, 24 San Fernando de Henares Madrid 28830 Spain</t>
  </si>
  <si>
    <t>BCN1</t>
  </si>
  <si>
    <t>Amazon Fulfillment Center Av. de les Garrigues num. 6-8 El Prat de LlobregatBarcelona 08820 Spain</t>
  </si>
  <si>
    <t>08820</t>
  </si>
  <si>
    <r>
      <rPr>
        <b/>
        <sz val="24"/>
        <color theme="0"/>
        <rFont val="SimSun"/>
        <charset val="134"/>
      </rPr>
      <t>海洋国际</t>
    </r>
    <r>
      <rPr>
        <b/>
        <sz val="24"/>
        <color theme="0"/>
        <rFont val="Times New Roman"/>
        <charset val="134"/>
      </rPr>
      <t xml:space="preserve"> </t>
    </r>
    <r>
      <rPr>
        <b/>
        <sz val="24"/>
        <color theme="0"/>
        <rFont val="SimSun"/>
        <charset val="134"/>
      </rPr>
      <t>英国</t>
    </r>
    <r>
      <rPr>
        <b/>
        <sz val="24"/>
        <color theme="0"/>
        <rFont val="Times New Roman"/>
        <charset val="134"/>
      </rPr>
      <t xml:space="preserve"> </t>
    </r>
    <r>
      <rPr>
        <b/>
        <sz val="24"/>
        <color theme="0"/>
        <rFont val="SimSun"/>
        <charset val="134"/>
      </rPr>
      <t>海运卸柜　</t>
    </r>
    <r>
      <rPr>
        <b/>
        <sz val="24"/>
        <color theme="0"/>
        <rFont val="Times New Roman"/>
        <charset val="134"/>
      </rPr>
      <t>FBA</t>
    </r>
    <r>
      <rPr>
        <b/>
        <sz val="24"/>
        <color theme="0"/>
        <rFont val="SimSun"/>
        <charset val="134"/>
      </rPr>
      <t>转运 FBA退货换标</t>
    </r>
  </si>
  <si>
    <t>本表格用于计算功能，确切报价请参考报价单和包车价格表</t>
  </si>
  <si>
    <r>
      <rPr>
        <sz val="16"/>
        <color rgb="FF000000"/>
        <rFont val="SimSun"/>
        <charset val="134"/>
      </rPr>
      <t xml:space="preserve">              HTCL</t>
    </r>
    <r>
      <rPr>
        <sz val="16"/>
        <color rgb="FF000000"/>
        <rFont val="Times New Roman"/>
        <charset val="134"/>
      </rPr>
      <t xml:space="preserve"> - 0000  09.10.2024</t>
    </r>
  </si>
  <si>
    <t>Description</t>
  </si>
  <si>
    <t>Day</t>
  </si>
  <si>
    <t>Qty</t>
  </si>
  <si>
    <t>Rate</t>
  </si>
  <si>
    <t>VAT %</t>
  </si>
  <si>
    <t>VAT</t>
  </si>
  <si>
    <t>Gross</t>
  </si>
  <si>
    <t>小结</t>
  </si>
  <si>
    <t>已打款</t>
  </si>
  <si>
    <t xml:space="preserve">小结 </t>
  </si>
  <si>
    <t xml:space="preserve">欠款 </t>
  </si>
  <si>
    <t>预交费用</t>
  </si>
  <si>
    <r>
      <rPr>
        <sz val="16"/>
        <color rgb="FF000000"/>
        <rFont val="SimSun"/>
        <charset val="134"/>
      </rPr>
      <t>英国海运到港清关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实报实销</t>
    </r>
  </si>
  <si>
    <t>弗里克斯托港口陆路运输到海洋国际伯明翰仓　</t>
  </si>
  <si>
    <t>无预约，临时或当周入库，手续费</t>
  </si>
  <si>
    <r>
      <rPr>
        <sz val="16"/>
        <color rgb="FF000000"/>
        <rFont val="SimSun"/>
        <charset val="134"/>
      </rPr>
      <t>卸货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每托盘</t>
    </r>
  </si>
  <si>
    <r>
      <rPr>
        <sz val="16"/>
        <color rgb="FF000000"/>
        <rFont val="Times New Roman"/>
        <charset val="134"/>
      </rPr>
      <t>45</t>
    </r>
    <r>
      <rPr>
        <sz val="16"/>
        <color rgb="FF000000"/>
        <rFont val="SimSun"/>
        <charset val="134"/>
      </rPr>
      <t>高柜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拆柜费</t>
    </r>
    <r>
      <rPr>
        <sz val="16"/>
        <color rgb="FF000000"/>
        <rFont val="Times New Roman"/>
        <charset val="134"/>
      </rPr>
      <t xml:space="preserve"> </t>
    </r>
  </si>
  <si>
    <r>
      <rPr>
        <sz val="16"/>
        <color rgb="FF000000"/>
        <rFont val="Times New Roman"/>
        <charset val="134"/>
      </rPr>
      <t>40</t>
    </r>
    <r>
      <rPr>
        <sz val="16"/>
        <color rgb="FF000000"/>
        <rFont val="SimSun"/>
        <charset val="134"/>
      </rPr>
      <t>高柜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拆柜费</t>
    </r>
    <r>
      <rPr>
        <sz val="16"/>
        <color rgb="FF000000"/>
        <rFont val="Times New Roman"/>
        <charset val="134"/>
      </rPr>
      <t xml:space="preserve"> </t>
    </r>
  </si>
  <si>
    <r>
      <rPr>
        <sz val="16"/>
        <color rgb="FF000000"/>
        <rFont val="Times New Roman"/>
        <charset val="134"/>
      </rPr>
      <t>40</t>
    </r>
    <r>
      <rPr>
        <sz val="16"/>
        <color rgb="FF000000"/>
        <rFont val="SimSun"/>
        <charset val="134"/>
      </rPr>
      <t>标准柜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拆柜费</t>
    </r>
    <r>
      <rPr>
        <sz val="16"/>
        <color rgb="FF000000"/>
        <rFont val="Times New Roman"/>
        <charset val="134"/>
      </rPr>
      <t xml:space="preserve"> </t>
    </r>
  </si>
  <si>
    <r>
      <rPr>
        <sz val="16"/>
        <color rgb="FF000000"/>
        <rFont val="Times New Roman"/>
        <charset val="134"/>
      </rPr>
      <t>20</t>
    </r>
    <r>
      <rPr>
        <sz val="16"/>
        <color rgb="FF000000"/>
        <rFont val="SimSun"/>
        <charset val="134"/>
      </rPr>
      <t>柜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拆柜费</t>
    </r>
    <r>
      <rPr>
        <sz val="16"/>
        <color rgb="FF000000"/>
        <rFont val="Times New Roman"/>
        <charset val="134"/>
      </rPr>
      <t xml:space="preserve"> </t>
    </r>
  </si>
  <si>
    <r>
      <rPr>
        <sz val="16"/>
        <color rgb="FF000000"/>
        <rFont val="SimSun"/>
        <charset val="134"/>
      </rPr>
      <t>迟到每小时</t>
    </r>
    <r>
      <rPr>
        <sz val="16"/>
        <color rgb="FF000000"/>
        <rFont val="Times New Roman"/>
        <charset val="134"/>
      </rPr>
      <t>50</t>
    </r>
    <r>
      <rPr>
        <sz val="16"/>
        <color rgb="FF000000"/>
        <rFont val="SimSun"/>
        <charset val="134"/>
      </rPr>
      <t>英镑，不足一小时按一小时收费</t>
    </r>
  </si>
  <si>
    <r>
      <rPr>
        <sz val="16"/>
        <color rgb="FF000000"/>
        <rFont val="SimSun"/>
        <charset val="134"/>
      </rPr>
      <t>爽约按拆柜费</t>
    </r>
    <r>
      <rPr>
        <sz val="16"/>
        <color rgb="FF000000"/>
        <rFont val="Times New Roman"/>
        <charset val="134"/>
      </rPr>
      <t>70%</t>
    </r>
    <r>
      <rPr>
        <sz val="16"/>
        <color rgb="FF000000"/>
        <rFont val="SimSun"/>
        <charset val="134"/>
      </rPr>
      <t>征收。</t>
    </r>
  </si>
  <si>
    <r>
      <rPr>
        <sz val="16"/>
        <color rgb="FF000000"/>
        <rFont val="SimSun"/>
        <charset val="134"/>
      </rPr>
      <t>卸货费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每托盘</t>
    </r>
  </si>
  <si>
    <t>清点费（每件）</t>
  </si>
  <si>
    <t>FBA装箱单，每件 （FBA标准）</t>
  </si>
  <si>
    <t>清点费（按sku）</t>
  </si>
  <si>
    <t>拍照费</t>
  </si>
  <si>
    <t>剪綳帶操作費</t>
  </si>
  <si>
    <r>
      <rPr>
        <sz val="16"/>
        <rFont val="Times New Roman"/>
        <charset val="134"/>
      </rPr>
      <t xml:space="preserve">FBA </t>
    </r>
    <r>
      <rPr>
        <sz val="16"/>
        <rFont val="SimSun"/>
        <charset val="134"/>
      </rPr>
      <t>箱单标</t>
    </r>
    <r>
      <rPr>
        <sz val="16"/>
        <rFont val="Times New Roman"/>
        <charset val="134"/>
      </rPr>
      <t xml:space="preserve"> </t>
    </r>
  </si>
  <si>
    <r>
      <rPr>
        <sz val="16"/>
        <color rgb="FF000000"/>
        <rFont val="SimSun"/>
        <charset val="134"/>
      </rPr>
      <t>重新打托费</t>
    </r>
    <r>
      <rPr>
        <sz val="16"/>
        <color rgb="FF000000"/>
        <rFont val="Times New Roman"/>
        <charset val="134"/>
      </rPr>
      <t xml:space="preserve"> </t>
    </r>
  </si>
  <si>
    <r>
      <rPr>
        <sz val="16"/>
        <rFont val="Times New Roman"/>
        <charset val="134"/>
      </rPr>
      <t xml:space="preserve">FBA </t>
    </r>
    <r>
      <rPr>
        <sz val="16"/>
        <rFont val="SimSun"/>
        <charset val="134"/>
      </rPr>
      <t>托盘单标</t>
    </r>
    <r>
      <rPr>
        <sz val="16"/>
        <rFont val="Times New Roman"/>
        <charset val="134"/>
      </rPr>
      <t xml:space="preserve"> </t>
    </r>
  </si>
  <si>
    <t>出仓 拣货费 每箱 （23公斤FBA标准箱）</t>
  </si>
  <si>
    <r>
      <rPr>
        <sz val="16"/>
        <rFont val="SimSun"/>
        <charset val="134"/>
      </rPr>
      <t>出仓费</t>
    </r>
    <r>
      <rPr>
        <sz val="16"/>
        <rFont val="Times New Roman"/>
        <charset val="134"/>
      </rPr>
      <t xml:space="preserve"> </t>
    </r>
    <r>
      <rPr>
        <sz val="16"/>
        <rFont val="SimSun"/>
        <charset val="134"/>
      </rPr>
      <t>每托</t>
    </r>
  </si>
  <si>
    <t>自提(UPS)</t>
  </si>
  <si>
    <r>
      <rPr>
        <sz val="16"/>
        <rFont val="SimSun"/>
        <charset val="134"/>
      </rPr>
      <t>仓储价</t>
    </r>
    <r>
      <rPr>
        <sz val="16"/>
        <rFont val="Times New Roman"/>
        <charset val="134"/>
      </rPr>
      <t xml:space="preserve"> </t>
    </r>
    <r>
      <rPr>
        <sz val="16"/>
        <rFont val="SimSun"/>
        <charset val="134"/>
      </rPr>
      <t>每立方米</t>
    </r>
    <r>
      <rPr>
        <sz val="16"/>
        <rFont val="Times New Roman"/>
        <charset val="134"/>
      </rPr>
      <t>/</t>
    </r>
    <r>
      <rPr>
        <sz val="16"/>
        <rFont val="SimSun"/>
        <charset val="134"/>
      </rPr>
      <t>每天（</t>
    </r>
    <r>
      <rPr>
        <sz val="16"/>
        <rFont val="Times New Roman"/>
        <charset val="134"/>
      </rPr>
      <t>16.09.2024-04.10.2024</t>
    </r>
    <r>
      <rPr>
        <sz val="16"/>
        <rFont val="SimSun"/>
        <charset val="134"/>
      </rPr>
      <t>）</t>
    </r>
  </si>
  <si>
    <t>燃油附加費</t>
  </si>
  <si>
    <r>
      <rPr>
        <sz val="16"/>
        <rFont val="SimSun"/>
        <charset val="134"/>
      </rPr>
      <t>仓储价</t>
    </r>
    <r>
      <rPr>
        <sz val="16"/>
        <rFont val="Times New Roman"/>
        <charset val="134"/>
      </rPr>
      <t xml:space="preserve"> </t>
    </r>
    <r>
      <rPr>
        <sz val="16"/>
        <rFont val="SimSun"/>
        <charset val="134"/>
      </rPr>
      <t>每立方米</t>
    </r>
    <r>
      <rPr>
        <sz val="16"/>
        <rFont val="Times New Roman"/>
        <charset val="134"/>
      </rPr>
      <t>/</t>
    </r>
    <r>
      <rPr>
        <sz val="16"/>
        <rFont val="SimSun"/>
        <charset val="134"/>
      </rPr>
      <t>每天（</t>
    </r>
    <r>
      <rPr>
        <sz val="16"/>
        <rFont val="Times New Roman"/>
        <charset val="134"/>
      </rPr>
      <t>11.20.2023-01.05.2024</t>
    </r>
    <r>
      <rPr>
        <sz val="16"/>
        <rFont val="SimSun"/>
        <charset val="134"/>
      </rPr>
      <t>）</t>
    </r>
  </si>
  <si>
    <r>
      <rPr>
        <sz val="16"/>
        <rFont val="SimSun"/>
        <charset val="134"/>
      </rPr>
      <t>仓储价</t>
    </r>
    <r>
      <rPr>
        <sz val="16"/>
        <rFont val="Times New Roman"/>
        <charset val="134"/>
      </rPr>
      <t xml:space="preserve"> </t>
    </r>
    <r>
      <rPr>
        <sz val="16"/>
        <rFont val="SimSun"/>
        <charset val="134"/>
      </rPr>
      <t>每托</t>
    </r>
    <r>
      <rPr>
        <sz val="16"/>
        <rFont val="Times New Roman"/>
        <charset val="134"/>
      </rPr>
      <t>/</t>
    </r>
    <r>
      <rPr>
        <sz val="16"/>
        <rFont val="SimSun"/>
        <charset val="134"/>
      </rPr>
      <t>每天（</t>
    </r>
    <r>
      <rPr>
        <sz val="16"/>
        <rFont val="Times New Roman"/>
        <charset val="134"/>
      </rPr>
      <t>12.08.2021-17.09.2021</t>
    </r>
    <r>
      <rPr>
        <sz val="16"/>
        <rFont val="SimSun"/>
        <charset val="134"/>
      </rPr>
      <t>）</t>
    </r>
  </si>
  <si>
    <r>
      <rPr>
        <sz val="16"/>
        <color rgb="FF000000"/>
        <rFont val="SimSun"/>
        <charset val="134"/>
      </rPr>
      <t>注意：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报价结算单位为英镑，客户可以直接付款至海洋国际英国公账，如为英国本土公司支付需在总额基础上加收</t>
    </r>
    <r>
      <rPr>
        <sz val="16"/>
        <color rgb="FF000000"/>
        <rFont val="Times New Roman"/>
        <charset val="134"/>
      </rPr>
      <t>20%VAT</t>
    </r>
    <r>
      <rPr>
        <sz val="16"/>
        <color rgb="FF000000"/>
        <rFont val="SimSun"/>
        <charset val="134"/>
      </rPr>
      <t>，我司可为客户开具</t>
    </r>
    <r>
      <rPr>
        <sz val="16"/>
        <color rgb="FF000000"/>
        <rFont val="Times New Roman"/>
        <charset val="134"/>
      </rPr>
      <t>VAT</t>
    </r>
    <r>
      <rPr>
        <sz val="16"/>
        <color rgb="FF000000"/>
        <rFont val="SimSun"/>
        <charset val="134"/>
      </rPr>
      <t>发票，用于客户做账及抵扣税金。如需付款至国内账号，请联系我司负责人确认当日汇率后，计算出双方认可的人民币付款总额再行付款。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</si>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</sst>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0_ "/>
    <numFmt numFmtId="181" formatCode="&quot;£ &quot;#,##0.00"/>
    <numFmt numFmtId="182" formatCode="&quot;£&quot;#,##0.00"/>
  </numFmts>
  <fonts count="55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6"/>
      <color theme="1"/>
      <name val="Times New Roman"/>
      <charset val="134"/>
    </font>
    <font>
      <sz val="11"/>
      <color theme="1"/>
      <name val="Arial Black"/>
      <charset val="134"/>
    </font>
    <font>
      <b/>
      <sz val="24"/>
      <color theme="0"/>
      <name val="SimSun"/>
      <charset val="134"/>
    </font>
    <font>
      <b/>
      <sz val="24"/>
      <color theme="0"/>
      <name val="Arial Black"/>
      <charset val="134"/>
    </font>
    <font>
      <b/>
      <sz val="24"/>
      <color theme="0"/>
      <name val="Times New Roman"/>
      <charset val="134"/>
    </font>
    <font>
      <sz val="16"/>
      <color rgb="FF000000"/>
      <name val="SimSun"/>
      <charset val="134"/>
    </font>
    <font>
      <sz val="20"/>
      <color rgb="FF000000"/>
      <name val="Arial Black"/>
      <charset val="134"/>
    </font>
    <font>
      <sz val="16"/>
      <color rgb="FF000000"/>
      <name val="Times New Roman"/>
      <charset val="134"/>
    </font>
    <font>
      <sz val="10"/>
      <color rgb="FF000000"/>
      <name val="Arial Black"/>
      <charset val="134"/>
    </font>
    <font>
      <sz val="10"/>
      <color theme="1"/>
      <name val="Arial Black"/>
      <charset val="134"/>
    </font>
    <font>
      <sz val="14"/>
      <color rgb="FF000000"/>
      <name val="Arial Black"/>
      <charset val="134"/>
    </font>
    <font>
      <sz val="12"/>
      <color theme="1"/>
      <name val="Arial Black"/>
      <charset val="134"/>
    </font>
    <font>
      <sz val="12"/>
      <color rgb="FF000000"/>
      <name val="Arial Black"/>
      <charset val="134"/>
    </font>
    <font>
      <sz val="12"/>
      <color theme="9" tint="-0.249977111117893"/>
      <name val="Arial Black"/>
      <charset val="134"/>
    </font>
    <font>
      <sz val="14"/>
      <name val="Arial Black"/>
      <charset val="134"/>
    </font>
    <font>
      <sz val="16"/>
      <name val="SimSun"/>
      <charset val="134"/>
    </font>
    <font>
      <sz val="14"/>
      <color theme="1"/>
      <name val="Arial Black"/>
      <charset val="134"/>
    </font>
    <font>
      <i/>
      <sz val="12"/>
      <name val="Arial Black"/>
      <charset val="134"/>
    </font>
    <font>
      <sz val="12"/>
      <name val="Arial Black"/>
      <charset val="134"/>
    </font>
    <font>
      <sz val="14"/>
      <color rgb="FFFF0000"/>
      <name val="SimSun"/>
      <charset val="134"/>
    </font>
    <font>
      <sz val="16"/>
      <name val="Times New Roman"/>
      <charset val="134"/>
    </font>
    <font>
      <b/>
      <sz val="14"/>
      <color theme="1"/>
      <name val="Arial Black"/>
      <charset val="134"/>
    </font>
    <font>
      <b/>
      <sz val="14"/>
      <color rgb="FF000000"/>
      <name val="SimSun"/>
      <charset val="134"/>
    </font>
    <font>
      <sz val="11"/>
      <color theme="9" tint="-0.249977111117893"/>
      <name val="Arial Black"/>
      <charset val="134"/>
    </font>
    <font>
      <sz val="11"/>
      <name val="Arial Black"/>
      <charset val="134"/>
    </font>
    <font>
      <sz val="12"/>
      <color theme="1" tint="0.499984740745262"/>
      <name val="Arial Black"/>
      <charset val="134"/>
    </font>
    <font>
      <sz val="11"/>
      <color theme="1" tint="0.499984740745262"/>
      <name val="Arial Black"/>
      <charset val="134"/>
    </font>
    <font>
      <b/>
      <sz val="24"/>
      <color theme="1"/>
      <name val="Arial Black"/>
      <charset val="134"/>
    </font>
    <font>
      <b/>
      <sz val="16"/>
      <color theme="0"/>
      <name val="Arial Black"/>
      <charset val="134"/>
    </font>
    <font>
      <b/>
      <sz val="11"/>
      <color theme="0"/>
      <name val="Arial Black"/>
      <charset val="134"/>
    </font>
    <font>
      <b/>
      <sz val="11"/>
      <color theme="1"/>
      <name val="Arial Black"/>
      <charset val="134"/>
    </font>
    <font>
      <b/>
      <sz val="16"/>
      <color theme="1"/>
      <name val="Arial Black"/>
      <charset val="134"/>
    </font>
    <font>
      <sz val="11"/>
      <color rgb="FF353535"/>
      <name val="Arial Black"/>
      <charset val="134"/>
    </font>
    <font>
      <b/>
      <sz val="11"/>
      <color rgb="FF353535"/>
      <name val="Arial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8"/>
        <bgColor rgb="FFF3F3F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21" borderId="4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2" borderId="7" applyNumberFormat="0" applyAlignment="0" applyProtection="0">
      <alignment vertical="center"/>
    </xf>
    <xf numFmtId="0" fontId="46" fillId="23" borderId="8" applyNumberFormat="0" applyAlignment="0" applyProtection="0">
      <alignment vertical="center"/>
    </xf>
    <xf numFmtId="0" fontId="47" fillId="23" borderId="7" applyNumberFormat="0" applyAlignment="0" applyProtection="0">
      <alignment vertical="center"/>
    </xf>
    <xf numFmtId="0" fontId="48" fillId="24" borderId="9" applyNumberFormat="0" applyAlignment="0" applyProtection="0">
      <alignment vertical="center"/>
    </xf>
    <xf numFmtId="0" fontId="49" fillId="0" borderId="10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</cellStyleXfs>
  <cellXfs count="1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/>
    <xf numFmtId="0" fontId="2" fillId="0" borderId="2" xfId="0" applyFont="1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80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80" fontId="6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80" fontId="5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80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180" fontId="11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180" fontId="12" fillId="3" borderId="0" xfId="0" applyNumberFormat="1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181" fontId="8" fillId="4" borderId="1" xfId="0" applyNumberFormat="1" applyFont="1" applyFill="1" applyBorder="1" applyAlignment="1">
      <alignment horizontal="left" vertical="center" wrapText="1"/>
    </xf>
    <xf numFmtId="180" fontId="13" fillId="5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182" fontId="15" fillId="7" borderId="1" xfId="0" applyNumberFormat="1" applyFont="1" applyFill="1" applyBorder="1" applyAlignment="1">
      <alignment horizontal="center" vertical="center" wrapText="1"/>
    </xf>
    <xf numFmtId="4" fontId="15" fillId="7" borderId="1" xfId="0" applyNumberFormat="1" applyFont="1" applyFill="1" applyBorder="1" applyAlignment="1">
      <alignment horizontal="center" vertical="center" wrapText="1"/>
    </xf>
    <xf numFmtId="182" fontId="16" fillId="7" borderId="1" xfId="0" applyNumberFormat="1" applyFont="1" applyFill="1" applyBorder="1" applyAlignment="1">
      <alignment horizontal="center" vertical="center" wrapText="1"/>
    </xf>
    <xf numFmtId="182" fontId="15" fillId="8" borderId="1" xfId="0" applyNumberFormat="1" applyFont="1" applyFill="1" applyBorder="1" applyAlignment="1">
      <alignment horizontal="center" vertical="center" wrapText="1"/>
    </xf>
    <xf numFmtId="182" fontId="14" fillId="7" borderId="1" xfId="0" applyNumberFormat="1" applyFont="1" applyFill="1" applyBorder="1" applyAlignment="1">
      <alignment horizontal="center" vertical="center" wrapText="1"/>
    </xf>
    <xf numFmtId="182" fontId="16" fillId="0" borderId="1" xfId="0" applyNumberFormat="1" applyFont="1" applyBorder="1" applyAlignment="1">
      <alignment horizontal="center" vertical="center" wrapText="1"/>
    </xf>
    <xf numFmtId="181" fontId="10" fillId="9" borderId="1" xfId="0" applyNumberFormat="1" applyFont="1" applyFill="1" applyBorder="1" applyAlignment="1">
      <alignment horizontal="left" vertical="center" wrapText="1"/>
    </xf>
    <xf numFmtId="180" fontId="13" fillId="0" borderId="1" xfId="0" applyNumberFormat="1" applyFont="1" applyBorder="1" applyAlignment="1">
      <alignment horizontal="center" vertical="center" wrapText="1"/>
    </xf>
    <xf numFmtId="181" fontId="8" fillId="9" borderId="1" xfId="0" applyNumberFormat="1" applyFont="1" applyFill="1" applyBorder="1" applyAlignment="1">
      <alignment horizontal="left" vertical="center" wrapText="1"/>
    </xf>
    <xf numFmtId="180" fontId="17" fillId="0" borderId="1" xfId="0" applyNumberFormat="1" applyFont="1" applyBorder="1" applyAlignment="1">
      <alignment horizontal="center" vertical="center" wrapText="1"/>
    </xf>
    <xf numFmtId="181" fontId="18" fillId="10" borderId="1" xfId="0" applyNumberFormat="1" applyFont="1" applyFill="1" applyBorder="1" applyAlignment="1">
      <alignment horizontal="left" vertical="center" wrapText="1"/>
    </xf>
    <xf numFmtId="180" fontId="19" fillId="0" borderId="1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182" fontId="20" fillId="0" borderId="1" xfId="0" applyNumberFormat="1" applyFont="1" applyBorder="1" applyAlignment="1">
      <alignment horizontal="center" vertical="center" wrapText="1"/>
    </xf>
    <xf numFmtId="182" fontId="21" fillId="0" borderId="1" xfId="0" applyNumberFormat="1" applyFont="1" applyBorder="1" applyAlignment="1">
      <alignment horizontal="center" vertical="center" wrapText="1"/>
    </xf>
    <xf numFmtId="180" fontId="22" fillId="0" borderId="1" xfId="0" applyNumberFormat="1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182" fontId="21" fillId="7" borderId="1" xfId="0" applyNumberFormat="1" applyFont="1" applyFill="1" applyBorder="1" applyAlignment="1">
      <alignment horizontal="center" vertical="center" wrapText="1"/>
    </xf>
    <xf numFmtId="181" fontId="23" fillId="10" borderId="1" xfId="0" applyNumberFormat="1" applyFont="1" applyFill="1" applyBorder="1" applyAlignment="1">
      <alignment horizontal="left" vertical="center" wrapText="1"/>
    </xf>
    <xf numFmtId="182" fontId="20" fillId="7" borderId="1" xfId="0" applyNumberFormat="1" applyFont="1" applyFill="1" applyBorder="1" applyAlignment="1">
      <alignment horizontal="center" vertical="center" wrapText="1"/>
    </xf>
    <xf numFmtId="181" fontId="8" fillId="10" borderId="1" xfId="0" applyNumberFormat="1" applyFont="1" applyFill="1" applyBorder="1" applyAlignment="1">
      <alignment horizontal="left" vertical="center" wrapText="1"/>
    </xf>
    <xf numFmtId="181" fontId="18" fillId="11" borderId="1" xfId="0" applyNumberFormat="1" applyFont="1" applyFill="1" applyBorder="1" applyAlignment="1">
      <alignment horizontal="left" vertical="center" wrapText="1"/>
    </xf>
    <xf numFmtId="180" fontId="17" fillId="0" borderId="2" xfId="0" applyNumberFormat="1" applyFont="1" applyBorder="1" applyAlignment="1">
      <alignment horizontal="center" vertical="center" wrapText="1"/>
    </xf>
    <xf numFmtId="180" fontId="24" fillId="0" borderId="1" xfId="0" applyNumberFormat="1" applyFont="1" applyBorder="1" applyAlignment="1">
      <alignment horizontal="center" vertical="center" wrapText="1"/>
    </xf>
    <xf numFmtId="181" fontId="18" fillId="11" borderId="2" xfId="0" applyNumberFormat="1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center" vertical="center"/>
    </xf>
    <xf numFmtId="182" fontId="21" fillId="0" borderId="2" xfId="0" applyNumberFormat="1" applyFont="1" applyBorder="1" applyAlignment="1">
      <alignment horizontal="center" vertical="center" wrapText="1"/>
    </xf>
    <xf numFmtId="181" fontId="18" fillId="12" borderId="1" xfId="0" applyNumberFormat="1" applyFont="1" applyFill="1" applyBorder="1" applyAlignment="1">
      <alignment horizontal="left" vertical="center" wrapText="1"/>
    </xf>
    <xf numFmtId="181" fontId="18" fillId="13" borderId="1" xfId="0" applyNumberFormat="1" applyFont="1" applyFill="1" applyBorder="1" applyAlignment="1">
      <alignment horizontal="left" vertical="center" wrapText="1"/>
    </xf>
    <xf numFmtId="181" fontId="8" fillId="0" borderId="1" xfId="0" applyNumberFormat="1" applyFont="1" applyBorder="1" applyAlignment="1">
      <alignment horizontal="left" vertical="center" wrapText="1"/>
    </xf>
    <xf numFmtId="181" fontId="25" fillId="0" borderId="1" xfId="0" applyNumberFormat="1" applyFont="1" applyBorder="1" applyAlignment="1">
      <alignment horizontal="center" vertical="center" wrapText="1"/>
    </xf>
    <xf numFmtId="182" fontId="4" fillId="14" borderId="1" xfId="0" applyNumberFormat="1" applyFont="1" applyFill="1" applyBorder="1" applyAlignment="1">
      <alignment horizontal="center" vertical="center"/>
    </xf>
    <xf numFmtId="182" fontId="14" fillId="8" borderId="1" xfId="0" applyNumberFormat="1" applyFont="1" applyFill="1" applyBorder="1" applyAlignment="1">
      <alignment horizontal="center" vertical="center"/>
    </xf>
    <xf numFmtId="181" fontId="10" fillId="0" borderId="3" xfId="0" applyNumberFormat="1" applyFont="1" applyBorder="1" applyAlignment="1">
      <alignment horizontal="left" vertical="center" wrapText="1"/>
    </xf>
    <xf numFmtId="181" fontId="25" fillId="0" borderId="0" xfId="0" applyNumberFormat="1" applyFont="1" applyAlignment="1">
      <alignment vertical="center" wrapText="1"/>
    </xf>
    <xf numFmtId="181" fontId="10" fillId="0" borderId="1" xfId="0" applyNumberFormat="1" applyFont="1" applyBorder="1" applyAlignment="1">
      <alignment horizontal="left" vertical="center" wrapText="1"/>
    </xf>
    <xf numFmtId="177" fontId="4" fillId="0" borderId="0" xfId="0" applyNumberFormat="1" applyFont="1" applyAlignment="1">
      <alignment horizontal="center" vertical="center"/>
    </xf>
    <xf numFmtId="177" fontId="12" fillId="3" borderId="0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177" fontId="14" fillId="15" borderId="1" xfId="0" applyNumberFormat="1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2" fontId="14" fillId="15" borderId="1" xfId="0" applyNumberFormat="1" applyFont="1" applyFill="1" applyBorder="1" applyAlignment="1">
      <alignment horizontal="center" vertical="center"/>
    </xf>
    <xf numFmtId="182" fontId="14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77" fontId="28" fillId="0" borderId="1" xfId="0" applyNumberFormat="1" applyFont="1" applyBorder="1" applyAlignment="1">
      <alignment horizontal="center" vertical="center" wrapText="1"/>
    </xf>
    <xf numFmtId="182" fontId="4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left" vertical="center"/>
    </xf>
    <xf numFmtId="182" fontId="4" fillId="17" borderId="0" xfId="0" applyNumberFormat="1" applyFont="1" applyFill="1" applyAlignment="1">
      <alignment horizontal="left" vertical="center"/>
    </xf>
    <xf numFmtId="182" fontId="4" fillId="6" borderId="0" xfId="0" applyNumberFormat="1" applyFont="1" applyFill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34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1" fontId="4" fillId="18" borderId="0" xfId="0" applyNumberFormat="1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" fontId="4" fillId="1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4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1" fontId="4" fillId="19" borderId="0" xfId="0" applyNumberFormat="1" applyFont="1" applyFill="1" applyAlignment="1">
      <alignment horizontal="center" vertical="center"/>
    </xf>
    <xf numFmtId="0" fontId="31" fillId="20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1" fontId="4" fillId="20" borderId="0" xfId="0" applyNumberFormat="1" applyFont="1" applyFill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zoomScale="80" zoomScaleNormal="80" workbookViewId="0">
      <selection activeCell="F25" sqref="F25"/>
    </sheetView>
  </sheetViews>
  <sheetFormatPr defaultColWidth="9" defaultRowHeight="18.75"/>
  <cols>
    <col min="1" max="1" width="8.56666666666667" style="10" customWidth="1"/>
    <col min="2" max="2" width="124.566666666667" style="10" customWidth="1"/>
    <col min="3" max="3" width="13.8583333333333" style="10" customWidth="1"/>
    <col min="4" max="4" width="5.14166666666667" style="10" customWidth="1"/>
    <col min="5" max="5" width="12.7083333333333" style="10" customWidth="1"/>
    <col min="6" max="6" width="9.425" style="10" customWidth="1"/>
    <col min="7" max="7" width="2.70833333333333" style="10" customWidth="1"/>
    <col min="8" max="8" width="15.425" style="83" customWidth="1"/>
    <col min="9" max="13" width="9" style="84"/>
    <col min="14" max="16384" width="9" style="10"/>
  </cols>
  <sheetData>
    <row r="1" spans="1:8">
      <c r="A1" s="13" t="s">
        <v>0</v>
      </c>
      <c r="B1" s="85"/>
      <c r="C1" s="85"/>
      <c r="D1" s="85"/>
      <c r="E1" s="85"/>
      <c r="F1" s="85"/>
      <c r="G1" s="85"/>
      <c r="H1" s="85"/>
    </row>
    <row r="2" spans="1:8">
      <c r="A2" s="85"/>
      <c r="B2" s="85"/>
      <c r="C2" s="85"/>
      <c r="D2" s="85"/>
      <c r="E2" s="85"/>
      <c r="F2" s="85"/>
      <c r="G2" s="85"/>
      <c r="H2" s="85"/>
    </row>
    <row r="3" spans="1:8">
      <c r="A3" s="85"/>
      <c r="B3" s="85"/>
      <c r="C3" s="85"/>
      <c r="D3" s="85"/>
      <c r="E3" s="85"/>
      <c r="F3" s="85"/>
      <c r="G3" s="85"/>
      <c r="H3" s="85"/>
    </row>
    <row r="4" ht="24.75" spans="1:8">
      <c r="A4" s="86" t="s">
        <v>1</v>
      </c>
      <c r="B4" s="87" t="s">
        <v>2</v>
      </c>
      <c r="C4" s="87"/>
      <c r="D4" s="87"/>
      <c r="E4" s="87"/>
      <c r="F4" s="87"/>
      <c r="G4" s="87"/>
      <c r="H4" s="87"/>
    </row>
    <row r="5" spans="1:13">
      <c r="A5" s="88" t="s">
        <v>3</v>
      </c>
      <c r="B5" s="89" t="s">
        <v>4</v>
      </c>
      <c r="C5" s="89" t="s">
        <v>5</v>
      </c>
      <c r="D5" s="89" t="s">
        <v>6</v>
      </c>
      <c r="E5" s="88" t="s">
        <v>7</v>
      </c>
      <c r="F5" s="89" t="s">
        <v>8</v>
      </c>
      <c r="G5" s="88"/>
      <c r="H5" s="90" t="s">
        <v>9</v>
      </c>
      <c r="J5" s="10"/>
      <c r="K5" s="10"/>
      <c r="L5" s="10"/>
      <c r="M5" s="10"/>
    </row>
    <row r="6" spans="1:13">
      <c r="A6" s="88"/>
      <c r="B6" s="89"/>
      <c r="C6" s="89"/>
      <c r="D6" s="89"/>
      <c r="E6" s="88"/>
      <c r="F6" s="89"/>
      <c r="G6" s="88"/>
      <c r="H6" s="90"/>
      <c r="J6" s="10"/>
      <c r="K6" s="10"/>
      <c r="L6" s="10"/>
      <c r="M6" s="10"/>
    </row>
    <row r="7" spans="1:13">
      <c r="A7" s="88"/>
      <c r="B7" s="89"/>
      <c r="C7" s="89"/>
      <c r="D7" s="89"/>
      <c r="E7" s="88"/>
      <c r="F7" s="89"/>
      <c r="G7" s="88"/>
      <c r="H7" s="90"/>
      <c r="J7" s="10"/>
      <c r="K7" s="10"/>
      <c r="L7" s="10"/>
      <c r="M7" s="10"/>
    </row>
    <row r="8" spans="1:13">
      <c r="A8" s="10" t="s">
        <v>10</v>
      </c>
      <c r="B8" s="91" t="s">
        <v>11</v>
      </c>
      <c r="C8" s="91" t="s">
        <v>12</v>
      </c>
      <c r="D8" s="91"/>
      <c r="E8" s="84">
        <v>544.2816</v>
      </c>
      <c r="F8" s="84">
        <v>65</v>
      </c>
      <c r="G8" s="91"/>
      <c r="H8" s="90">
        <f>E8/F8</f>
        <v>8.37356307692308</v>
      </c>
      <c r="J8" s="81"/>
      <c r="K8" s="10"/>
      <c r="L8" s="81"/>
      <c r="M8" s="81"/>
    </row>
    <row r="9" spans="1:13">
      <c r="A9" s="10" t="s">
        <v>13</v>
      </c>
      <c r="B9" s="91" t="s">
        <v>14</v>
      </c>
      <c r="C9" s="91" t="s">
        <v>15</v>
      </c>
      <c r="D9" s="91"/>
      <c r="E9" s="84">
        <v>521.976</v>
      </c>
      <c r="F9" s="84">
        <v>65</v>
      </c>
      <c r="G9" s="91"/>
      <c r="H9" s="90">
        <f t="shared" ref="H9:H22" si="0">E9/F9</f>
        <v>8.0304</v>
      </c>
      <c r="J9" s="81"/>
      <c r="K9" s="10"/>
      <c r="L9" s="81"/>
      <c r="M9" s="81"/>
    </row>
    <row r="10" spans="1:13">
      <c r="A10" s="10" t="s">
        <v>16</v>
      </c>
      <c r="B10" s="91" t="s">
        <v>17</v>
      </c>
      <c r="C10" s="91" t="s">
        <v>18</v>
      </c>
      <c r="D10" s="91"/>
      <c r="E10" s="84">
        <v>536.8512</v>
      </c>
      <c r="F10" s="84">
        <v>65</v>
      </c>
      <c r="G10" s="91"/>
      <c r="H10" s="90">
        <f t="shared" si="0"/>
        <v>8.25924923076923</v>
      </c>
      <c r="J10" s="81"/>
      <c r="K10" s="10"/>
      <c r="L10" s="81"/>
      <c r="M10" s="81"/>
    </row>
    <row r="11" s="82" customFormat="1" spans="1:13">
      <c r="A11" s="82" t="s">
        <v>19</v>
      </c>
      <c r="B11" s="92" t="s">
        <v>20</v>
      </c>
      <c r="C11" s="92" t="s">
        <v>21</v>
      </c>
      <c r="D11" s="92"/>
      <c r="E11" s="84">
        <v>536.8512</v>
      </c>
      <c r="F11" s="84">
        <v>65</v>
      </c>
      <c r="G11" s="92"/>
      <c r="H11" s="90">
        <f t="shared" si="0"/>
        <v>8.25924923076923</v>
      </c>
      <c r="I11" s="96"/>
      <c r="J11" s="81"/>
      <c r="L11" s="81"/>
      <c r="M11" s="81"/>
    </row>
    <row r="12" s="82" customFormat="1" spans="1:13">
      <c r="A12" s="82" t="s">
        <v>22</v>
      </c>
      <c r="B12" s="92" t="s">
        <v>23</v>
      </c>
      <c r="C12" s="92" t="s">
        <v>24</v>
      </c>
      <c r="D12" s="92"/>
      <c r="E12" s="84">
        <v>462.4752</v>
      </c>
      <c r="F12" s="84">
        <v>65</v>
      </c>
      <c r="G12" s="92"/>
      <c r="H12" s="90">
        <f t="shared" si="0"/>
        <v>7.11500307692308</v>
      </c>
      <c r="I12" s="96"/>
      <c r="J12" s="81"/>
      <c r="L12" s="81"/>
      <c r="M12" s="81"/>
    </row>
    <row r="13" s="82" customFormat="1" spans="1:13">
      <c r="A13" s="82" t="s">
        <v>25</v>
      </c>
      <c r="B13" s="92" t="s">
        <v>26</v>
      </c>
      <c r="C13" s="92" t="s">
        <v>27</v>
      </c>
      <c r="D13" s="92"/>
      <c r="E13" s="84">
        <v>536.8512</v>
      </c>
      <c r="F13" s="84">
        <v>65</v>
      </c>
      <c r="G13" s="92"/>
      <c r="H13" s="90">
        <f t="shared" si="0"/>
        <v>8.25924923076923</v>
      </c>
      <c r="I13" s="96"/>
      <c r="J13" s="81"/>
      <c r="L13" s="81"/>
      <c r="M13" s="81"/>
    </row>
    <row r="14" s="82" customFormat="1" spans="1:13">
      <c r="A14" s="82" t="s">
        <v>28</v>
      </c>
      <c r="B14" s="92" t="s">
        <v>29</v>
      </c>
      <c r="C14" s="92" t="s">
        <v>30</v>
      </c>
      <c r="D14" s="92"/>
      <c r="E14" s="84">
        <v>492.2256</v>
      </c>
      <c r="F14" s="84">
        <v>65</v>
      </c>
      <c r="G14" s="92"/>
      <c r="H14" s="90">
        <f t="shared" si="0"/>
        <v>7.57270153846154</v>
      </c>
      <c r="I14" s="96"/>
      <c r="J14" s="81"/>
      <c r="L14" s="81"/>
      <c r="M14" s="81"/>
    </row>
    <row r="15" s="82" customFormat="1" spans="1:13">
      <c r="A15" s="82" t="s">
        <v>31</v>
      </c>
      <c r="B15" s="92" t="s">
        <v>32</v>
      </c>
      <c r="C15" s="92" t="s">
        <v>33</v>
      </c>
      <c r="D15" s="92"/>
      <c r="E15" s="84">
        <v>492.2256</v>
      </c>
      <c r="F15" s="84">
        <v>65</v>
      </c>
      <c r="G15" s="92"/>
      <c r="H15" s="90">
        <f t="shared" si="0"/>
        <v>7.57270153846154</v>
      </c>
      <c r="I15" s="96"/>
      <c r="J15" s="81"/>
      <c r="L15" s="81"/>
      <c r="M15" s="81"/>
    </row>
    <row r="16" s="82" customFormat="1" spans="1:13">
      <c r="A16" s="82" t="s">
        <v>34</v>
      </c>
      <c r="B16" s="92" t="s">
        <v>35</v>
      </c>
      <c r="C16" s="92" t="s">
        <v>36</v>
      </c>
      <c r="D16" s="92"/>
      <c r="E16" s="84">
        <v>521.976</v>
      </c>
      <c r="F16" s="84">
        <v>65</v>
      </c>
      <c r="G16" s="92"/>
      <c r="H16" s="90">
        <f t="shared" si="0"/>
        <v>8.0304</v>
      </c>
      <c r="I16" s="96"/>
      <c r="J16" s="81"/>
      <c r="L16" s="81"/>
      <c r="M16" s="81"/>
    </row>
    <row r="17" s="82" customFormat="1" spans="1:13">
      <c r="A17" s="82" t="s">
        <v>37</v>
      </c>
      <c r="B17" s="92" t="s">
        <v>38</v>
      </c>
      <c r="C17" s="92" t="s">
        <v>39</v>
      </c>
      <c r="D17" s="92"/>
      <c r="E17" s="84">
        <v>521.976</v>
      </c>
      <c r="F17" s="84">
        <v>65</v>
      </c>
      <c r="G17" s="92"/>
      <c r="H17" s="90">
        <f t="shared" si="0"/>
        <v>8.0304</v>
      </c>
      <c r="I17" s="96"/>
      <c r="J17" s="81"/>
      <c r="L17" s="81"/>
      <c r="M17" s="81"/>
    </row>
    <row r="18" s="82" customFormat="1" spans="1:13">
      <c r="A18" s="82" t="s">
        <v>40</v>
      </c>
      <c r="B18" s="92" t="s">
        <v>41</v>
      </c>
      <c r="C18" s="92" t="s">
        <v>42</v>
      </c>
      <c r="D18" s="92"/>
      <c r="E18" s="84">
        <v>536.8512</v>
      </c>
      <c r="F18" s="84">
        <v>65</v>
      </c>
      <c r="G18" s="92"/>
      <c r="H18" s="90">
        <f t="shared" si="0"/>
        <v>8.25924923076923</v>
      </c>
      <c r="I18" s="96"/>
      <c r="J18" s="81"/>
      <c r="L18" s="81"/>
      <c r="M18" s="81"/>
    </row>
    <row r="19" s="82" customFormat="1" spans="1:13">
      <c r="A19" s="93" t="s">
        <v>43</v>
      </c>
      <c r="B19" s="94" t="s">
        <v>44</v>
      </c>
      <c r="C19" s="94" t="s">
        <v>45</v>
      </c>
      <c r="D19" s="94"/>
      <c r="E19" s="95">
        <v>1347.4704</v>
      </c>
      <c r="F19" s="95">
        <v>80</v>
      </c>
      <c r="G19" s="92"/>
      <c r="H19" s="90">
        <f t="shared" si="0"/>
        <v>16.84338</v>
      </c>
      <c r="I19" s="96"/>
      <c r="J19" s="81"/>
      <c r="L19" s="81"/>
      <c r="M19" s="81"/>
    </row>
    <row r="20" s="82" customFormat="1" spans="1:13">
      <c r="A20" s="82" t="s">
        <v>46</v>
      </c>
      <c r="B20" s="92" t="s">
        <v>47</v>
      </c>
      <c r="C20" s="92" t="s">
        <v>48</v>
      </c>
      <c r="D20" s="92"/>
      <c r="E20" s="84">
        <v>670.7136</v>
      </c>
      <c r="F20" s="96">
        <v>65</v>
      </c>
      <c r="G20" s="92"/>
      <c r="H20" s="90">
        <f t="shared" si="0"/>
        <v>10.3186707692308</v>
      </c>
      <c r="I20" s="96"/>
      <c r="J20" s="81"/>
      <c r="L20" s="81"/>
      <c r="M20" s="81"/>
    </row>
    <row r="21" spans="1:13">
      <c r="A21" s="93" t="s">
        <v>49</v>
      </c>
      <c r="B21" s="94" t="s">
        <v>50</v>
      </c>
      <c r="C21" s="94" t="s">
        <v>51</v>
      </c>
      <c r="D21" s="94"/>
      <c r="E21" s="95">
        <v>1347.4704</v>
      </c>
      <c r="F21" s="95">
        <v>95</v>
      </c>
      <c r="G21" s="91"/>
      <c r="H21" s="90">
        <f t="shared" si="0"/>
        <v>14.1838989473684</v>
      </c>
      <c r="J21" s="81"/>
      <c r="K21" s="10"/>
      <c r="L21" s="81"/>
      <c r="M21" s="81"/>
    </row>
    <row r="22" spans="1:13">
      <c r="A22" s="10" t="s">
        <v>52</v>
      </c>
      <c r="B22" s="91" t="s">
        <v>53</v>
      </c>
      <c r="C22" s="91" t="s">
        <v>54</v>
      </c>
      <c r="D22" s="91"/>
      <c r="E22" s="84">
        <v>700.4496</v>
      </c>
      <c r="F22" s="84">
        <v>65</v>
      </c>
      <c r="G22" s="91"/>
      <c r="H22" s="90">
        <f t="shared" si="0"/>
        <v>10.7761476923077</v>
      </c>
      <c r="J22" s="81"/>
      <c r="K22" s="10"/>
      <c r="L22" s="81"/>
      <c r="M22" s="81"/>
    </row>
    <row r="23" spans="1:13">
      <c r="A23" s="10" t="s">
        <v>55</v>
      </c>
      <c r="B23" s="91" t="s">
        <v>56</v>
      </c>
      <c r="C23" s="91" t="s">
        <v>57</v>
      </c>
      <c r="D23" s="91"/>
      <c r="E23" s="84">
        <v>880</v>
      </c>
      <c r="F23" s="91"/>
      <c r="G23" s="91"/>
      <c r="H23" s="97"/>
      <c r="J23" s="10"/>
      <c r="K23" s="10"/>
      <c r="L23" s="10"/>
      <c r="M23" s="10"/>
    </row>
    <row r="24" spans="1:2">
      <c r="A24" s="91"/>
      <c r="B24" s="91" t="s">
        <v>58</v>
      </c>
    </row>
    <row r="25" spans="1:2">
      <c r="A25" s="91"/>
      <c r="B25" s="91" t="s">
        <v>59</v>
      </c>
    </row>
    <row r="26" spans="1:2">
      <c r="A26" s="91"/>
      <c r="B26" s="91" t="s">
        <v>60</v>
      </c>
    </row>
    <row r="27" ht="24.75" spans="1:8">
      <c r="A27" s="98" t="s">
        <v>61</v>
      </c>
      <c r="B27" s="99"/>
      <c r="C27" s="99"/>
      <c r="D27" s="99"/>
      <c r="E27" s="99"/>
      <c r="F27" s="99"/>
      <c r="G27" s="99"/>
      <c r="H27" s="100"/>
    </row>
    <row r="28" spans="1:8">
      <c r="A28" s="88" t="s">
        <v>3</v>
      </c>
      <c r="B28" s="89" t="s">
        <v>4</v>
      </c>
      <c r="C28" s="89" t="s">
        <v>5</v>
      </c>
      <c r="D28" s="89" t="s">
        <v>6</v>
      </c>
      <c r="E28" s="88" t="s">
        <v>7</v>
      </c>
      <c r="F28" s="89" t="s">
        <v>8</v>
      </c>
      <c r="G28" s="88"/>
      <c r="H28" s="90" t="s">
        <v>9</v>
      </c>
    </row>
    <row r="29" spans="1:8">
      <c r="A29" s="88"/>
      <c r="B29" s="89"/>
      <c r="C29" s="89"/>
      <c r="D29" s="89"/>
      <c r="E29" s="88"/>
      <c r="F29" s="88" t="s">
        <v>62</v>
      </c>
      <c r="G29" s="88"/>
      <c r="H29" s="90"/>
    </row>
    <row r="30" spans="1:8">
      <c r="A30" s="88"/>
      <c r="B30" s="89"/>
      <c r="C30" s="89"/>
      <c r="D30" s="89"/>
      <c r="E30" s="88"/>
      <c r="F30" s="88"/>
      <c r="G30" s="88"/>
      <c r="H30" s="90"/>
    </row>
    <row r="31" spans="1:3">
      <c r="A31" s="10" t="s">
        <v>63</v>
      </c>
      <c r="B31" s="10" t="s">
        <v>64</v>
      </c>
      <c r="C31" s="88">
        <v>45772</v>
      </c>
    </row>
    <row r="32" spans="1:3">
      <c r="A32" s="10" t="s">
        <v>65</v>
      </c>
      <c r="B32" s="101" t="s">
        <v>66</v>
      </c>
      <c r="C32" s="102">
        <v>26200</v>
      </c>
    </row>
    <row r="33" spans="1:3">
      <c r="A33" s="10" t="s">
        <v>67</v>
      </c>
      <c r="B33" s="101" t="s">
        <v>68</v>
      </c>
      <c r="C33" s="102">
        <v>59553</v>
      </c>
    </row>
    <row r="34" ht="24.75" spans="1:8">
      <c r="A34" s="103" t="s">
        <v>69</v>
      </c>
      <c r="B34" s="104"/>
      <c r="C34" s="104"/>
      <c r="D34" s="104"/>
      <c r="E34" s="104"/>
      <c r="F34" s="104"/>
      <c r="G34" s="104"/>
      <c r="H34" s="105"/>
    </row>
    <row r="35" spans="1:8">
      <c r="A35" s="88" t="s">
        <v>3</v>
      </c>
      <c r="B35" s="89" t="s">
        <v>4</v>
      </c>
      <c r="C35" s="89" t="s">
        <v>5</v>
      </c>
      <c r="D35" s="89" t="s">
        <v>6</v>
      </c>
      <c r="E35" s="88" t="s">
        <v>7</v>
      </c>
      <c r="F35" s="89" t="s">
        <v>8</v>
      </c>
      <c r="G35" s="88"/>
      <c r="H35" s="90" t="s">
        <v>9</v>
      </c>
    </row>
    <row r="36" spans="1:8">
      <c r="A36" s="88"/>
      <c r="B36" s="89"/>
      <c r="C36" s="89"/>
      <c r="D36" s="89"/>
      <c r="E36" s="88"/>
      <c r="F36" s="88" t="s">
        <v>62</v>
      </c>
      <c r="G36" s="88"/>
      <c r="H36" s="90"/>
    </row>
    <row r="37" spans="1:8">
      <c r="A37" s="88"/>
      <c r="B37" s="89"/>
      <c r="C37" s="89"/>
      <c r="D37" s="89"/>
      <c r="E37" s="88"/>
      <c r="F37" s="88"/>
      <c r="G37" s="88"/>
      <c r="H37" s="90"/>
    </row>
    <row r="38" spans="1:4">
      <c r="A38" s="10" t="s">
        <v>70</v>
      </c>
      <c r="B38" s="101" t="s">
        <v>71</v>
      </c>
      <c r="C38" s="102">
        <v>75177</v>
      </c>
      <c r="D38" s="106"/>
    </row>
    <row r="39" spans="1:3">
      <c r="A39" s="10" t="s">
        <v>72</v>
      </c>
      <c r="B39" s="101" t="s">
        <v>73</v>
      </c>
      <c r="C39" s="102">
        <v>59368</v>
      </c>
    </row>
    <row r="40" spans="1:3">
      <c r="A40" s="10" t="s">
        <v>74</v>
      </c>
      <c r="B40" s="101" t="s">
        <v>75</v>
      </c>
      <c r="C40" s="102">
        <v>44145</v>
      </c>
    </row>
    <row r="41" ht="37.5" spans="1:3">
      <c r="A41" s="10" t="s">
        <v>76</v>
      </c>
      <c r="B41" s="106" t="s">
        <v>77</v>
      </c>
      <c r="C41" s="102">
        <v>16515</v>
      </c>
    </row>
    <row r="42" spans="1:3">
      <c r="A42" s="10" t="s">
        <v>78</v>
      </c>
      <c r="B42" s="101" t="s">
        <v>79</v>
      </c>
      <c r="C42" s="102">
        <v>16515</v>
      </c>
    </row>
    <row r="43" ht="24.75" spans="1:8">
      <c r="A43" s="107" t="s">
        <v>80</v>
      </c>
      <c r="B43" s="108"/>
      <c r="C43" s="108"/>
      <c r="D43" s="108"/>
      <c r="E43" s="108"/>
      <c r="F43" s="108"/>
      <c r="G43" s="108"/>
      <c r="H43" s="109"/>
    </row>
    <row r="44" spans="1:8">
      <c r="A44" s="88" t="s">
        <v>3</v>
      </c>
      <c r="B44" s="89" t="s">
        <v>4</v>
      </c>
      <c r="C44" s="89" t="s">
        <v>5</v>
      </c>
      <c r="D44" s="89" t="s">
        <v>6</v>
      </c>
      <c r="E44" s="88" t="s">
        <v>7</v>
      </c>
      <c r="F44" s="89" t="s">
        <v>8</v>
      </c>
      <c r="G44" s="88"/>
      <c r="H44" s="90" t="s">
        <v>9</v>
      </c>
    </row>
    <row r="45" spans="1:8">
      <c r="A45" s="88"/>
      <c r="B45" s="89"/>
      <c r="C45" s="89"/>
      <c r="D45" s="89"/>
      <c r="E45" s="88"/>
      <c r="F45" s="88" t="s">
        <v>62</v>
      </c>
      <c r="G45" s="88"/>
      <c r="H45" s="90"/>
    </row>
    <row r="46" spans="1:8">
      <c r="A46" s="88"/>
      <c r="B46" s="89"/>
      <c r="C46" s="89"/>
      <c r="D46" s="89"/>
      <c r="E46" s="88"/>
      <c r="F46" s="88"/>
      <c r="G46" s="88"/>
      <c r="H46" s="90"/>
    </row>
    <row r="47" spans="1:1">
      <c r="A47" s="10" t="s">
        <v>81</v>
      </c>
    </row>
    <row r="48" spans="1:3">
      <c r="A48" s="10" t="s">
        <v>82</v>
      </c>
      <c r="B48" s="106" t="s">
        <v>83</v>
      </c>
      <c r="C48" s="10">
        <v>13100</v>
      </c>
    </row>
    <row r="49" spans="1:3">
      <c r="A49" s="10" t="s">
        <v>84</v>
      </c>
      <c r="B49" s="101" t="s">
        <v>85</v>
      </c>
      <c r="C49" s="102" t="s">
        <v>86</v>
      </c>
    </row>
    <row r="50" ht="24.75" spans="1:8">
      <c r="A50" s="110" t="s">
        <v>87</v>
      </c>
      <c r="B50" s="111"/>
      <c r="C50" s="111"/>
      <c r="D50" s="111"/>
      <c r="E50" s="111"/>
      <c r="F50" s="111"/>
      <c r="G50" s="111"/>
      <c r="H50" s="112"/>
    </row>
    <row r="51" spans="1:8">
      <c r="A51" s="88" t="s">
        <v>3</v>
      </c>
      <c r="B51" s="89" t="s">
        <v>4</v>
      </c>
      <c r="C51" s="89" t="s">
        <v>5</v>
      </c>
      <c r="D51" s="89" t="s">
        <v>6</v>
      </c>
      <c r="E51" s="88" t="s">
        <v>7</v>
      </c>
      <c r="F51" s="89" t="s">
        <v>8</v>
      </c>
      <c r="G51" s="88"/>
      <c r="H51" s="90" t="s">
        <v>9</v>
      </c>
    </row>
    <row r="52" spans="1:8">
      <c r="A52" s="88"/>
      <c r="B52" s="89"/>
      <c r="C52" s="89"/>
      <c r="D52" s="89"/>
      <c r="E52" s="88"/>
      <c r="F52" s="88" t="s">
        <v>62</v>
      </c>
      <c r="G52" s="88"/>
      <c r="H52" s="90"/>
    </row>
    <row r="53" spans="1:8">
      <c r="A53" s="88"/>
      <c r="B53" s="89"/>
      <c r="C53" s="89"/>
      <c r="D53" s="89"/>
      <c r="E53" s="88"/>
      <c r="F53" s="88"/>
      <c r="G53" s="88"/>
      <c r="H53" s="90"/>
    </row>
    <row r="54" spans="1:3">
      <c r="A54" s="10" t="s">
        <v>88</v>
      </c>
      <c r="B54" s="101" t="s">
        <v>89</v>
      </c>
      <c r="C54" s="88">
        <v>28830</v>
      </c>
    </row>
    <row r="55" spans="1:3">
      <c r="A55" s="10" t="s">
        <v>90</v>
      </c>
      <c r="B55" s="101" t="s">
        <v>91</v>
      </c>
      <c r="C55" s="113" t="s">
        <v>92</v>
      </c>
    </row>
  </sheetData>
  <mergeCells count="37">
    <mergeCell ref="B4:H4"/>
    <mergeCell ref="A5:A7"/>
    <mergeCell ref="A28:A30"/>
    <mergeCell ref="A35:A37"/>
    <mergeCell ref="A44:A46"/>
    <mergeCell ref="A51:A53"/>
    <mergeCell ref="B5:B7"/>
    <mergeCell ref="B28:B30"/>
    <mergeCell ref="B35:B37"/>
    <mergeCell ref="B44:B46"/>
    <mergeCell ref="B51:B53"/>
    <mergeCell ref="C5:C7"/>
    <mergeCell ref="C28:C30"/>
    <mergeCell ref="C35:C37"/>
    <mergeCell ref="C44:C46"/>
    <mergeCell ref="C51:C53"/>
    <mergeCell ref="D5:D7"/>
    <mergeCell ref="D28:D30"/>
    <mergeCell ref="D35:D37"/>
    <mergeCell ref="D44:D46"/>
    <mergeCell ref="D51:D53"/>
    <mergeCell ref="E5:E7"/>
    <mergeCell ref="E28:E30"/>
    <mergeCell ref="E35:E37"/>
    <mergeCell ref="E44:E46"/>
    <mergeCell ref="E51:E53"/>
    <mergeCell ref="F5:F7"/>
    <mergeCell ref="F29:F30"/>
    <mergeCell ref="F36:F37"/>
    <mergeCell ref="F45:F46"/>
    <mergeCell ref="F52:F53"/>
    <mergeCell ref="H5:H7"/>
    <mergeCell ref="H28:H30"/>
    <mergeCell ref="H35:H37"/>
    <mergeCell ref="H44:H46"/>
    <mergeCell ref="H51:H53"/>
    <mergeCell ref="A1:H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3"/>
  <sheetViews>
    <sheetView tabSelected="1" zoomScale="80" zoomScaleNormal="80" workbookViewId="0">
      <selection activeCell="A37" sqref="A37:F44"/>
    </sheetView>
  </sheetViews>
  <sheetFormatPr defaultColWidth="9" defaultRowHeight="20.25"/>
  <cols>
    <col min="1" max="1" width="57.2833333333333" style="8" customWidth="1"/>
    <col min="2" max="2" width="7.85833333333333" style="9" customWidth="1"/>
    <col min="3" max="3" width="9.14166666666667" style="10" customWidth="1"/>
    <col min="4" max="4" width="11.425" style="10" customWidth="1"/>
    <col min="5" max="5" width="9" style="10"/>
    <col min="6" max="6" width="9.14166666666667" style="10" customWidth="1"/>
    <col min="7" max="7" width="11.5416666666667" style="10" customWidth="1"/>
    <col min="8" max="8" width="14" style="10" customWidth="1"/>
    <col min="9" max="9" width="14.3666666666667" style="10" customWidth="1"/>
    <col min="10" max="16384" width="9" style="10"/>
  </cols>
  <sheetData>
    <row r="1" ht="14.45" customHeight="1" spans="1:13">
      <c r="A1" s="11" t="s">
        <v>93</v>
      </c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ht="14.45" customHeight="1" spans="1:13">
      <c r="A2" s="14"/>
      <c r="B2" s="1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ht="14.45" customHeight="1" spans="1:13">
      <c r="A3" s="14"/>
      <c r="B3" s="15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ht="14.25" spans="1:13">
      <c r="A4" s="14"/>
      <c r="B4" s="15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ht="31.5" spans="1:13">
      <c r="A5" s="16" t="s">
        <v>94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ht="27.75" customHeight="1" spans="1:13">
      <c r="A6" s="19" t="s">
        <v>95</v>
      </c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ht="14.45" customHeight="1" spans="1:10">
      <c r="A7" s="22"/>
      <c r="B7" s="23"/>
      <c r="C7" s="24"/>
      <c r="D7" s="24"/>
      <c r="E7" s="24"/>
      <c r="F7" s="24"/>
      <c r="G7" s="24"/>
      <c r="H7" s="24"/>
      <c r="J7" s="67"/>
    </row>
    <row r="8" ht="14.45" customHeight="1" spans="1:13">
      <c r="A8" s="25" t="s">
        <v>96</v>
      </c>
      <c r="B8" s="26" t="s">
        <v>97</v>
      </c>
      <c r="C8" s="27" t="s">
        <v>98</v>
      </c>
      <c r="D8" s="27" t="s">
        <v>99</v>
      </c>
      <c r="E8" s="27"/>
      <c r="F8" s="27" t="s">
        <v>100</v>
      </c>
      <c r="G8" s="27" t="s">
        <v>101</v>
      </c>
      <c r="H8" s="27" t="s">
        <v>102</v>
      </c>
      <c r="I8" s="27" t="s">
        <v>103</v>
      </c>
      <c r="J8" s="68" t="s">
        <v>104</v>
      </c>
      <c r="K8" s="27" t="s">
        <v>105</v>
      </c>
      <c r="L8" s="27" t="s">
        <v>106</v>
      </c>
      <c r="M8" s="27" t="s">
        <v>107</v>
      </c>
    </row>
    <row r="9" ht="44.25" hidden="1" customHeight="1" spans="1:13">
      <c r="A9" s="28" t="s">
        <v>108</v>
      </c>
      <c r="B9" s="29"/>
      <c r="C9" s="30">
        <v>0</v>
      </c>
      <c r="D9" s="31">
        <v>0</v>
      </c>
      <c r="E9" s="30"/>
      <c r="F9" s="32">
        <v>0.2</v>
      </c>
      <c r="G9" s="33">
        <f t="shared" ref="G9:G36" si="0">F9*D9*C9*B9</f>
        <v>0</v>
      </c>
      <c r="H9" s="34">
        <f t="shared" ref="H9:H36" si="1">D9*C9*B9</f>
        <v>0</v>
      </c>
      <c r="I9" s="69"/>
      <c r="J9" s="70"/>
      <c r="K9" s="71"/>
      <c r="L9" s="30"/>
      <c r="M9" s="72"/>
    </row>
    <row r="10" ht="44.25" hidden="1" customHeight="1" spans="1:13">
      <c r="A10" s="28" t="s">
        <v>109</v>
      </c>
      <c r="B10" s="29"/>
      <c r="C10" s="30">
        <v>0</v>
      </c>
      <c r="D10" s="35">
        <v>0</v>
      </c>
      <c r="E10" s="36"/>
      <c r="F10" s="32">
        <v>0.2</v>
      </c>
      <c r="G10" s="33">
        <f t="shared" si="0"/>
        <v>0</v>
      </c>
      <c r="H10" s="34">
        <f t="shared" si="1"/>
        <v>0</v>
      </c>
      <c r="I10" s="69"/>
      <c r="J10" s="70"/>
      <c r="K10" s="71"/>
      <c r="L10" s="73"/>
      <c r="M10" s="72"/>
    </row>
    <row r="11" ht="44.25" hidden="1" customHeight="1" spans="1:13">
      <c r="A11" s="28" t="s">
        <v>110</v>
      </c>
      <c r="B11" s="29"/>
      <c r="C11" s="30">
        <v>0</v>
      </c>
      <c r="D11" s="35">
        <v>100</v>
      </c>
      <c r="E11" s="36"/>
      <c r="F11" s="32">
        <v>0.2</v>
      </c>
      <c r="G11" s="33">
        <f t="shared" si="0"/>
        <v>0</v>
      </c>
      <c r="H11" s="34">
        <f t="shared" si="1"/>
        <v>0</v>
      </c>
      <c r="I11" s="69"/>
      <c r="J11" s="70"/>
      <c r="K11" s="71"/>
      <c r="L11" s="73"/>
      <c r="M11" s="72"/>
    </row>
    <row r="12" ht="44.25" hidden="1" customHeight="1" spans="1:13">
      <c r="A12" s="28" t="s">
        <v>111</v>
      </c>
      <c r="B12" s="29"/>
      <c r="C12" s="30">
        <v>0</v>
      </c>
      <c r="D12" s="35">
        <v>3</v>
      </c>
      <c r="E12" s="36"/>
      <c r="F12" s="32">
        <v>0.2</v>
      </c>
      <c r="G12" s="33">
        <f t="shared" si="0"/>
        <v>0</v>
      </c>
      <c r="H12" s="34">
        <f t="shared" si="1"/>
        <v>0</v>
      </c>
      <c r="I12" s="69"/>
      <c r="J12" s="70"/>
      <c r="K12" s="71"/>
      <c r="L12" s="73"/>
      <c r="M12" s="72"/>
    </row>
    <row r="13" ht="44.25" hidden="1" customHeight="1" spans="1:13">
      <c r="A13" s="37" t="s">
        <v>112</v>
      </c>
      <c r="B13" s="38"/>
      <c r="C13" s="30">
        <v>0</v>
      </c>
      <c r="D13" s="35">
        <v>460</v>
      </c>
      <c r="E13" s="33"/>
      <c r="F13" s="32">
        <v>0.2</v>
      </c>
      <c r="G13" s="33">
        <f t="shared" si="0"/>
        <v>0</v>
      </c>
      <c r="H13" s="34">
        <f t="shared" si="1"/>
        <v>0</v>
      </c>
      <c r="I13" s="69"/>
      <c r="J13" s="70"/>
      <c r="K13" s="71"/>
      <c r="L13" s="73"/>
      <c r="M13" s="72"/>
    </row>
    <row r="14" ht="44.25" hidden="1" customHeight="1" spans="1:13">
      <c r="A14" s="37" t="s">
        <v>113</v>
      </c>
      <c r="B14" s="38"/>
      <c r="C14" s="30">
        <v>0</v>
      </c>
      <c r="D14" s="35">
        <v>400</v>
      </c>
      <c r="E14" s="33"/>
      <c r="F14" s="32">
        <v>0.2</v>
      </c>
      <c r="G14" s="33">
        <f t="shared" si="0"/>
        <v>0</v>
      </c>
      <c r="H14" s="34">
        <f t="shared" si="1"/>
        <v>0</v>
      </c>
      <c r="I14" s="69"/>
      <c r="J14" s="70"/>
      <c r="K14" s="71"/>
      <c r="L14" s="73"/>
      <c r="M14" s="72"/>
    </row>
    <row r="15" ht="44.25" hidden="1" customHeight="1" spans="1:13">
      <c r="A15" s="37" t="s">
        <v>114</v>
      </c>
      <c r="B15" s="38"/>
      <c r="C15" s="30">
        <v>0</v>
      </c>
      <c r="D15" s="35">
        <v>350</v>
      </c>
      <c r="E15" s="33"/>
      <c r="F15" s="32">
        <v>0.2</v>
      </c>
      <c r="G15" s="33">
        <f t="shared" si="0"/>
        <v>0</v>
      </c>
      <c r="H15" s="34">
        <f t="shared" si="1"/>
        <v>0</v>
      </c>
      <c r="I15" s="69"/>
      <c r="J15" s="70"/>
      <c r="K15" s="71"/>
      <c r="L15" s="73"/>
      <c r="M15" s="72"/>
    </row>
    <row r="16" ht="44.25" hidden="1" customHeight="1" spans="1:13">
      <c r="A16" s="37" t="s">
        <v>115</v>
      </c>
      <c r="B16" s="38"/>
      <c r="C16" s="30">
        <v>0</v>
      </c>
      <c r="D16" s="35">
        <v>200</v>
      </c>
      <c r="E16" s="33"/>
      <c r="F16" s="32">
        <v>0.2</v>
      </c>
      <c r="G16" s="33">
        <f t="shared" si="0"/>
        <v>0</v>
      </c>
      <c r="H16" s="34">
        <f t="shared" si="1"/>
        <v>0</v>
      </c>
      <c r="I16" s="69"/>
      <c r="J16" s="70"/>
      <c r="K16" s="71"/>
      <c r="L16" s="73"/>
      <c r="M16" s="72"/>
    </row>
    <row r="17" ht="44.25" hidden="1" customHeight="1" spans="1:13">
      <c r="A17" s="39" t="s">
        <v>116</v>
      </c>
      <c r="B17" s="38"/>
      <c r="C17" s="30">
        <v>0</v>
      </c>
      <c r="D17" s="35">
        <v>50</v>
      </c>
      <c r="E17" s="33"/>
      <c r="F17" s="32">
        <v>0.2</v>
      </c>
      <c r="G17" s="33">
        <f t="shared" si="0"/>
        <v>0</v>
      </c>
      <c r="H17" s="34">
        <f t="shared" si="1"/>
        <v>0</v>
      </c>
      <c r="I17" s="69"/>
      <c r="J17" s="70"/>
      <c r="K17" s="71"/>
      <c r="L17" s="73"/>
      <c r="M17" s="72"/>
    </row>
    <row r="18" ht="44.25" hidden="1" customHeight="1" spans="1:13">
      <c r="A18" s="39" t="s">
        <v>117</v>
      </c>
      <c r="B18" s="38"/>
      <c r="C18" s="30">
        <v>0</v>
      </c>
      <c r="D18" s="35">
        <v>0</v>
      </c>
      <c r="E18" s="33"/>
      <c r="F18" s="32">
        <v>0.2</v>
      </c>
      <c r="G18" s="33">
        <f t="shared" si="0"/>
        <v>0</v>
      </c>
      <c r="H18" s="34">
        <f t="shared" si="1"/>
        <v>0</v>
      </c>
      <c r="I18" s="69"/>
      <c r="J18" s="70"/>
      <c r="K18" s="71"/>
      <c r="L18" s="73"/>
      <c r="M18" s="72"/>
    </row>
    <row r="19" ht="44.25" hidden="1" customHeight="1" spans="1:13">
      <c r="A19" s="39" t="s">
        <v>118</v>
      </c>
      <c r="B19" s="40">
        <v>1</v>
      </c>
      <c r="C19" s="30">
        <v>0</v>
      </c>
      <c r="D19" s="35">
        <v>3</v>
      </c>
      <c r="E19" s="33"/>
      <c r="F19" s="32">
        <v>0</v>
      </c>
      <c r="G19" s="33">
        <f t="shared" si="0"/>
        <v>0</v>
      </c>
      <c r="H19" s="34">
        <f t="shared" si="1"/>
        <v>0</v>
      </c>
      <c r="I19" s="69"/>
      <c r="J19" s="70"/>
      <c r="K19" s="71"/>
      <c r="L19" s="73"/>
      <c r="M19" s="72"/>
    </row>
    <row r="20" ht="44.25" customHeight="1" spans="1:13">
      <c r="A20" s="41" t="s">
        <v>119</v>
      </c>
      <c r="B20" s="42">
        <v>1</v>
      </c>
      <c r="C20" s="43">
        <v>2556</v>
      </c>
      <c r="D20" s="44">
        <v>0.05</v>
      </c>
      <c r="E20" s="45"/>
      <c r="F20" s="32">
        <v>0</v>
      </c>
      <c r="G20" s="33">
        <f t="shared" si="0"/>
        <v>0</v>
      </c>
      <c r="H20" s="34">
        <f t="shared" si="1"/>
        <v>127.8</v>
      </c>
      <c r="I20" s="63"/>
      <c r="J20" s="70"/>
      <c r="K20" s="74"/>
      <c r="L20" s="75"/>
      <c r="M20" s="76"/>
    </row>
    <row r="21" ht="44.25" hidden="1" customHeight="1" spans="1:13">
      <c r="A21" s="41" t="s">
        <v>120</v>
      </c>
      <c r="B21" s="46"/>
      <c r="C21" s="43">
        <v>1</v>
      </c>
      <c r="D21" s="44">
        <v>0.05</v>
      </c>
      <c r="E21" s="45"/>
      <c r="F21" s="32">
        <v>0.2</v>
      </c>
      <c r="G21" s="33">
        <f t="shared" si="0"/>
        <v>0</v>
      </c>
      <c r="H21" s="34">
        <f t="shared" si="1"/>
        <v>0</v>
      </c>
      <c r="I21" s="63"/>
      <c r="J21" s="70"/>
      <c r="K21" s="74"/>
      <c r="L21" s="75"/>
      <c r="M21" s="76"/>
    </row>
    <row r="22" ht="44.25" customHeight="1" spans="1:13">
      <c r="A22" s="41" t="s">
        <v>121</v>
      </c>
      <c r="B22" s="40">
        <v>1</v>
      </c>
      <c r="C22" s="47">
        <v>38</v>
      </c>
      <c r="D22" s="48">
        <v>2</v>
      </c>
      <c r="E22" s="48"/>
      <c r="F22" s="32">
        <v>0</v>
      </c>
      <c r="G22" s="33">
        <f t="shared" si="0"/>
        <v>0</v>
      </c>
      <c r="H22" s="34">
        <f t="shared" si="1"/>
        <v>76</v>
      </c>
      <c r="I22" s="63"/>
      <c r="J22" s="70"/>
      <c r="K22" s="74"/>
      <c r="L22" s="75"/>
      <c r="M22" s="77"/>
    </row>
    <row r="23" ht="44.25" customHeight="1" spans="1:13">
      <c r="A23" s="41" t="s">
        <v>122</v>
      </c>
      <c r="B23" s="40">
        <v>3</v>
      </c>
      <c r="C23" s="47">
        <v>10</v>
      </c>
      <c r="D23" s="45">
        <v>1</v>
      </c>
      <c r="E23" s="45"/>
      <c r="F23" s="32">
        <v>0</v>
      </c>
      <c r="G23" s="33">
        <f t="shared" si="0"/>
        <v>0</v>
      </c>
      <c r="H23" s="34">
        <f t="shared" si="1"/>
        <v>30</v>
      </c>
      <c r="I23" s="69"/>
      <c r="J23" s="70"/>
      <c r="K23" s="71"/>
      <c r="L23" s="73"/>
      <c r="M23" s="76"/>
    </row>
    <row r="24" ht="44.25" hidden="1" customHeight="1" spans="1:13">
      <c r="A24" s="41" t="s">
        <v>123</v>
      </c>
      <c r="B24" s="40">
        <v>1</v>
      </c>
      <c r="C24" s="43">
        <v>0</v>
      </c>
      <c r="D24" s="44">
        <v>0.7</v>
      </c>
      <c r="E24" s="45"/>
      <c r="F24" s="32">
        <v>0.2</v>
      </c>
      <c r="G24" s="33">
        <f t="shared" si="0"/>
        <v>0</v>
      </c>
      <c r="H24" s="34">
        <f t="shared" si="1"/>
        <v>0</v>
      </c>
      <c r="I24" s="69"/>
      <c r="J24" s="70"/>
      <c r="K24" s="71"/>
      <c r="L24" s="73"/>
      <c r="M24" s="76"/>
    </row>
    <row r="25" customFormat="1" ht="44.25" customHeight="1" spans="1:13">
      <c r="A25" s="39" t="s">
        <v>118</v>
      </c>
      <c r="B25" s="40">
        <v>1</v>
      </c>
      <c r="C25" s="30">
        <v>23</v>
      </c>
      <c r="D25" s="35">
        <v>3</v>
      </c>
      <c r="E25" s="33"/>
      <c r="F25" s="32">
        <v>0</v>
      </c>
      <c r="G25" s="33">
        <v>0</v>
      </c>
      <c r="H25" s="34">
        <v>69</v>
      </c>
      <c r="I25" s="69"/>
      <c r="J25" s="70"/>
      <c r="K25" s="71"/>
      <c r="L25" s="73"/>
      <c r="M25" s="72"/>
    </row>
    <row r="26" ht="44.25" hidden="1" customHeight="1" spans="1:13">
      <c r="A26" s="49" t="s">
        <v>124</v>
      </c>
      <c r="B26" s="40">
        <v>2</v>
      </c>
      <c r="C26" s="43">
        <v>0</v>
      </c>
      <c r="D26" s="50">
        <v>0.8</v>
      </c>
      <c r="E26" s="48"/>
      <c r="F26" s="32">
        <v>0.2</v>
      </c>
      <c r="G26" s="33">
        <f t="shared" si="0"/>
        <v>0</v>
      </c>
      <c r="H26" s="34">
        <f t="shared" si="1"/>
        <v>0</v>
      </c>
      <c r="I26" s="63"/>
      <c r="J26" s="70"/>
      <c r="K26" s="74"/>
      <c r="L26" s="75"/>
      <c r="M26" s="77"/>
    </row>
    <row r="27" ht="44.25" hidden="1" customHeight="1" spans="1:13">
      <c r="A27" s="51" t="s">
        <v>125</v>
      </c>
      <c r="B27" s="38">
        <v>1</v>
      </c>
      <c r="C27" s="30">
        <v>0</v>
      </c>
      <c r="D27" s="35">
        <v>6.5</v>
      </c>
      <c r="E27" s="33"/>
      <c r="F27" s="32">
        <v>0</v>
      </c>
      <c r="G27" s="33">
        <f t="shared" si="0"/>
        <v>0</v>
      </c>
      <c r="H27" s="34">
        <f t="shared" si="1"/>
        <v>0</v>
      </c>
      <c r="I27" s="69"/>
      <c r="J27" s="70"/>
      <c r="K27" s="71"/>
      <c r="L27" s="73"/>
      <c r="M27" s="72"/>
    </row>
    <row r="28" ht="44.25" hidden="1" customHeight="1" spans="1:13">
      <c r="A28" s="49" t="s">
        <v>126</v>
      </c>
      <c r="B28" s="40">
        <v>4</v>
      </c>
      <c r="C28" s="30">
        <v>0</v>
      </c>
      <c r="D28" s="35">
        <v>0.8</v>
      </c>
      <c r="E28" s="33"/>
      <c r="F28" s="32">
        <v>0</v>
      </c>
      <c r="G28" s="33">
        <f t="shared" si="0"/>
        <v>0</v>
      </c>
      <c r="H28" s="34">
        <f t="shared" si="1"/>
        <v>0</v>
      </c>
      <c r="I28" s="69"/>
      <c r="J28" s="70"/>
      <c r="K28" s="71"/>
      <c r="L28" s="73"/>
      <c r="M28" s="72"/>
    </row>
    <row r="29" ht="44.25" customHeight="1" spans="1:13">
      <c r="A29" s="52" t="s">
        <v>120</v>
      </c>
      <c r="B29" s="53">
        <v>1</v>
      </c>
      <c r="C29" s="47">
        <v>2556</v>
      </c>
      <c r="D29" s="45">
        <v>0.03</v>
      </c>
      <c r="E29" s="45"/>
      <c r="F29" s="32">
        <v>0</v>
      </c>
      <c r="G29" s="33">
        <f t="shared" si="0"/>
        <v>0</v>
      </c>
      <c r="H29" s="34">
        <f t="shared" si="1"/>
        <v>76.68</v>
      </c>
      <c r="I29" s="63"/>
      <c r="J29" s="70"/>
      <c r="K29" s="74"/>
      <c r="L29" s="75"/>
      <c r="M29" s="76"/>
    </row>
    <row r="30" ht="44.25" hidden="1" customHeight="1" spans="1:13">
      <c r="A30" s="52" t="s">
        <v>127</v>
      </c>
      <c r="B30" s="54">
        <v>1</v>
      </c>
      <c r="C30" s="43">
        <v>0</v>
      </c>
      <c r="D30" s="44">
        <v>1.24</v>
      </c>
      <c r="E30" s="45"/>
      <c r="F30" s="32">
        <v>0</v>
      </c>
      <c r="G30" s="33">
        <f t="shared" si="0"/>
        <v>0</v>
      </c>
      <c r="H30" s="34">
        <f t="shared" si="1"/>
        <v>0</v>
      </c>
      <c r="I30" s="63"/>
      <c r="J30" s="70"/>
      <c r="K30" s="74"/>
      <c r="L30" s="75"/>
      <c r="M30" s="76"/>
    </row>
    <row r="31" ht="44.25" hidden="1" customHeight="1" spans="1:13">
      <c r="A31" s="55" t="s">
        <v>128</v>
      </c>
      <c r="B31" s="53">
        <v>1</v>
      </c>
      <c r="C31" s="56">
        <v>0</v>
      </c>
      <c r="D31" s="57">
        <v>3</v>
      </c>
      <c r="E31" s="57"/>
      <c r="F31" s="32">
        <v>0</v>
      </c>
      <c r="G31" s="33">
        <f t="shared" si="0"/>
        <v>0</v>
      </c>
      <c r="H31" s="34">
        <f t="shared" si="1"/>
        <v>0</v>
      </c>
      <c r="I31" s="63"/>
      <c r="J31" s="70"/>
      <c r="K31" s="74"/>
      <c r="L31" s="78"/>
      <c r="M31" s="79"/>
    </row>
    <row r="32" ht="44.25" hidden="1" customHeight="1" spans="1:13">
      <c r="A32" s="58" t="s">
        <v>129</v>
      </c>
      <c r="B32" s="40">
        <v>1</v>
      </c>
      <c r="C32" s="47">
        <v>0</v>
      </c>
      <c r="D32" s="45">
        <v>1</v>
      </c>
      <c r="E32" s="45"/>
      <c r="F32" s="32">
        <v>0</v>
      </c>
      <c r="G32" s="33">
        <f t="shared" si="0"/>
        <v>0</v>
      </c>
      <c r="H32" s="34">
        <f t="shared" si="1"/>
        <v>0</v>
      </c>
      <c r="I32" s="63"/>
      <c r="J32" s="70"/>
      <c r="K32" s="74"/>
      <c r="L32" s="75"/>
      <c r="M32" s="76"/>
    </row>
    <row r="33" customFormat="1" ht="44.25" customHeight="1" spans="1:13">
      <c r="A33" s="59" t="s">
        <v>130</v>
      </c>
      <c r="B33" s="40">
        <v>19</v>
      </c>
      <c r="C33" s="47">
        <v>34.5</v>
      </c>
      <c r="D33" s="48">
        <v>0.5</v>
      </c>
      <c r="E33" s="48"/>
      <c r="F33" s="32">
        <v>0</v>
      </c>
      <c r="G33" s="33">
        <v>0</v>
      </c>
      <c r="H33" s="34">
        <f t="shared" si="1"/>
        <v>327.75</v>
      </c>
      <c r="I33" s="63"/>
      <c r="J33" s="70"/>
      <c r="K33" s="74"/>
      <c r="L33" s="75"/>
      <c r="M33" s="76"/>
    </row>
    <row r="34" ht="44.25" hidden="1" customHeight="1" spans="1:13">
      <c r="A34" s="59" t="s">
        <v>131</v>
      </c>
      <c r="B34" s="40">
        <v>2</v>
      </c>
      <c r="C34" s="47">
        <v>0</v>
      </c>
      <c r="D34" s="45">
        <v>65</v>
      </c>
      <c r="E34" s="45"/>
      <c r="F34" s="32">
        <v>0.2</v>
      </c>
      <c r="G34" s="33">
        <f t="shared" si="0"/>
        <v>0</v>
      </c>
      <c r="H34" s="34">
        <f t="shared" si="1"/>
        <v>0</v>
      </c>
      <c r="I34" s="63"/>
      <c r="J34" s="80"/>
      <c r="K34" s="78"/>
      <c r="L34" s="78"/>
      <c r="M34" s="79"/>
    </row>
    <row r="35" ht="44.25" hidden="1" customHeight="1" spans="1:13">
      <c r="A35" s="59" t="s">
        <v>132</v>
      </c>
      <c r="B35" s="40">
        <v>30</v>
      </c>
      <c r="C35" s="47">
        <v>0</v>
      </c>
      <c r="D35" s="48">
        <v>0.5</v>
      </c>
      <c r="E35" s="48"/>
      <c r="F35" s="32">
        <v>0</v>
      </c>
      <c r="G35" s="33">
        <f t="shared" si="0"/>
        <v>0</v>
      </c>
      <c r="H35" s="34">
        <f t="shared" si="1"/>
        <v>0</v>
      </c>
      <c r="I35" s="63"/>
      <c r="J35" s="70"/>
      <c r="K35" s="74"/>
      <c r="L35" s="75"/>
      <c r="M35" s="76"/>
    </row>
    <row r="36" ht="44.25" hidden="1" customHeight="1" spans="1:13">
      <c r="A36" s="59" t="s">
        <v>133</v>
      </c>
      <c r="B36" s="40">
        <v>0</v>
      </c>
      <c r="C36" s="43">
        <v>0</v>
      </c>
      <c r="D36" s="50">
        <v>0.75</v>
      </c>
      <c r="E36" s="48"/>
      <c r="F36" s="32">
        <v>0.2</v>
      </c>
      <c r="G36" s="33">
        <f t="shared" si="0"/>
        <v>0</v>
      </c>
      <c r="H36" s="34">
        <f t="shared" si="1"/>
        <v>0</v>
      </c>
      <c r="I36" s="63"/>
      <c r="J36" s="70"/>
      <c r="K36" s="74"/>
      <c r="L36" s="75"/>
      <c r="M36" s="76"/>
    </row>
    <row r="37" ht="115" customHeight="1" spans="1:9">
      <c r="A37" s="60" t="s">
        <v>134</v>
      </c>
      <c r="B37" s="61"/>
      <c r="C37" s="61"/>
      <c r="D37" s="61"/>
      <c r="E37" s="61"/>
      <c r="F37" s="61"/>
      <c r="G37" s="62">
        <f>SUM(G9:G36)</f>
        <v>0</v>
      </c>
      <c r="H37" s="63">
        <f>SUM(H9:H36)</f>
        <v>707.23</v>
      </c>
      <c r="I37" s="81">
        <f>H37+G37</f>
        <v>707.23</v>
      </c>
    </row>
    <row r="38" ht="27.75" customHeight="1" spans="1:6">
      <c r="A38" s="64"/>
      <c r="B38" s="65"/>
      <c r="C38" s="65"/>
      <c r="D38" s="65"/>
      <c r="E38" s="65"/>
      <c r="F38" s="65"/>
    </row>
    <row r="39" ht="27.75" customHeight="1" spans="1:6">
      <c r="A39" s="64"/>
      <c r="B39" s="65"/>
      <c r="C39" s="65"/>
      <c r="D39" s="65"/>
      <c r="E39" s="65"/>
      <c r="F39" s="65"/>
    </row>
    <row r="40" ht="27.75" customHeight="1" spans="1:6">
      <c r="A40" s="64"/>
      <c r="B40" s="65"/>
      <c r="C40" s="65"/>
      <c r="D40" s="65"/>
      <c r="E40" s="65"/>
      <c r="F40" s="65"/>
    </row>
    <row r="41" ht="27.75" customHeight="1" spans="1:6">
      <c r="A41" s="64"/>
      <c r="B41" s="65"/>
      <c r="C41" s="65"/>
      <c r="D41" s="65"/>
      <c r="E41" s="65"/>
      <c r="F41" s="65"/>
    </row>
    <row r="42" ht="14.25" spans="1:6">
      <c r="A42" s="66"/>
      <c r="B42" s="61"/>
      <c r="C42" s="61"/>
      <c r="D42" s="61"/>
      <c r="E42" s="61"/>
      <c r="F42" s="61"/>
    </row>
    <row r="43" ht="14.25" spans="1:6">
      <c r="A43" s="66"/>
      <c r="B43" s="61"/>
      <c r="C43" s="61"/>
      <c r="D43" s="61"/>
      <c r="E43" s="61"/>
      <c r="F43" s="61"/>
    </row>
    <row r="44" ht="14.25" spans="1:6">
      <c r="A44" s="66"/>
      <c r="B44" s="61"/>
      <c r="C44" s="61"/>
      <c r="D44" s="61"/>
      <c r="E44" s="61"/>
      <c r="F44" s="61"/>
    </row>
    <row r="53" spans="7:7">
      <c r="G53" s="10" t="s">
        <v>135</v>
      </c>
    </row>
  </sheetData>
  <autoFilter xmlns:etc="http://www.wps.cn/officeDocument/2017/etCustomData" ref="A1:M44" etc:filterBottomFollowUsedRange="0">
    <filterColumn colId="7">
      <filters blank="1">
        <filter val="£11.20"/>
        <filter val="£31.50"/>
        <filter val="Gross"/>
        <filter val="HFXF - 0000  29.08.2024"/>
        <filter val="£180.65"/>
        <filter val="£14.65"/>
        <filter val="£38.85"/>
        <filter val="£73.25"/>
        <filter val="海洋国际 英国 海运卸柜　FBA转运 FBA退货换标"/>
        <filter val="本表格用于计算功能，确切报价请参考报价单和包车价格表"/>
      </filters>
    </filterColumn>
    <extLst/>
  </autoFilter>
  <mergeCells count="5">
    <mergeCell ref="A5:M5"/>
    <mergeCell ref="A6:M6"/>
    <mergeCell ref="F7:H7"/>
    <mergeCell ref="A1:M4"/>
    <mergeCell ref="A37:F44"/>
  </mergeCells>
  <pageMargins left="0.118055555555556" right="0.0784722222222222" top="0.751388888888889" bottom="0.751388888888889" header="0.298611111111111" footer="0.298611111111111"/>
  <pageSetup paperSize="256" scale="70" orientation="landscape" horizontalDpi="600" verticalDpi="20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8" sqref="G8"/>
    </sheetView>
  </sheetViews>
  <sheetFormatPr defaultColWidth="8.71666666666667" defaultRowHeight="14.25" outlineLevelCol="4"/>
  <cols>
    <col min="1" max="1" width="14.0916666666667" style="1" customWidth="1"/>
    <col min="2" max="2" width="5.90833333333333" style="1" customWidth="1"/>
    <col min="3" max="3" width="4.90833333333333" style="1" customWidth="1"/>
    <col min="4" max="4" width="6.54166666666667" style="1" customWidth="1"/>
    <col min="5" max="5" width="10.3666666666667" style="1" customWidth="1"/>
  </cols>
  <sheetData>
    <row r="1" spans="1:5">
      <c r="A1" s="2"/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ht="15.75" spans="1:5">
      <c r="A5" s="2"/>
      <c r="B5" s="3"/>
      <c r="C5" s="2"/>
      <c r="D5" s="2"/>
      <c r="E5" s="2"/>
    </row>
    <row r="6" spans="1:5">
      <c r="A6" s="2"/>
      <c r="B6" s="4"/>
      <c r="C6" s="2"/>
      <c r="D6" s="2"/>
      <c r="E6" s="2"/>
    </row>
    <row r="7" spans="1:5">
      <c r="A7" s="2"/>
      <c r="B7" s="4"/>
      <c r="C7" s="2"/>
      <c r="D7" s="2"/>
      <c r="E7" s="2"/>
    </row>
    <row r="8" spans="1:5">
      <c r="A8" s="2"/>
      <c r="B8" s="4"/>
      <c r="C8" s="2"/>
      <c r="D8" s="2"/>
      <c r="E8" s="2"/>
    </row>
    <row r="9" spans="1:5">
      <c r="A9" s="2"/>
      <c r="B9" s="4"/>
      <c r="C9" s="2"/>
      <c r="D9" s="2"/>
      <c r="E9" s="2"/>
    </row>
    <row r="10" spans="1:5">
      <c r="A10" s="2"/>
      <c r="B10" s="4"/>
      <c r="C10" s="2"/>
      <c r="D10" s="2"/>
      <c r="E10" s="2"/>
    </row>
    <row r="11" spans="1:5">
      <c r="A11" s="2"/>
      <c r="B11" s="4"/>
      <c r="C11" s="2"/>
      <c r="D11" s="2"/>
      <c r="E11" s="2"/>
    </row>
    <row r="12" spans="1:5">
      <c r="A12" s="2"/>
      <c r="B12" s="4"/>
      <c r="C12" s="2"/>
      <c r="D12" s="2"/>
      <c r="E12" s="2"/>
    </row>
    <row r="13" spans="1:5">
      <c r="A13" s="2"/>
      <c r="B13" s="4"/>
      <c r="C13" s="2"/>
      <c r="D13" s="2"/>
      <c r="E13" s="2"/>
    </row>
    <row r="14" spans="1:5">
      <c r="A14" s="2"/>
      <c r="B14" s="4"/>
      <c r="C14" s="2"/>
      <c r="D14" s="2"/>
      <c r="E14" s="2"/>
    </row>
    <row r="15" spans="1:5">
      <c r="A15" s="2"/>
      <c r="B15" s="4"/>
      <c r="C15" s="2"/>
      <c r="D15" s="2"/>
      <c r="E15" s="2"/>
    </row>
    <row r="16" spans="1:5">
      <c r="A16" s="5"/>
      <c r="B16" s="6"/>
      <c r="C16" s="2"/>
      <c r="D16" s="2"/>
      <c r="E16" s="2"/>
    </row>
    <row r="17" spans="1:5">
      <c r="A17" s="5"/>
      <c r="B17" s="6"/>
      <c r="C17" s="2"/>
      <c r="D17" s="2"/>
      <c r="E17" s="2"/>
    </row>
    <row r="18" spans="1:5">
      <c r="A18" s="5"/>
      <c r="B18" s="6"/>
      <c r="C18" s="2"/>
      <c r="D18" s="2"/>
      <c r="E18" s="2"/>
    </row>
    <row r="19" spans="1:5">
      <c r="A19" s="5"/>
      <c r="B19" s="6"/>
      <c r="C19" s="2"/>
      <c r="D19" s="2"/>
      <c r="E19" s="2"/>
    </row>
    <row r="20" spans="1:5">
      <c r="A20" s="5"/>
      <c r="B20" s="6"/>
      <c r="C20" s="2"/>
      <c r="D20" s="2"/>
      <c r="E20" s="2"/>
    </row>
    <row r="21" spans="1:5">
      <c r="A21" s="5"/>
      <c r="B21" s="6"/>
      <c r="C21" s="2"/>
      <c r="D21" s="2"/>
      <c r="E21" s="2"/>
    </row>
    <row r="22" spans="1:5">
      <c r="A22" s="5"/>
      <c r="B22" s="6"/>
      <c r="C22" s="2"/>
      <c r="D22" s="2"/>
      <c r="E22" s="2"/>
    </row>
    <row r="23" spans="1:5">
      <c r="A23" s="5"/>
      <c r="B23" s="6"/>
      <c r="C23" s="2"/>
      <c r="D23" s="2"/>
      <c r="E23" s="2"/>
    </row>
    <row r="24" spans="1:5">
      <c r="A24" s="5"/>
      <c r="B24" s="6"/>
      <c r="C24" s="2"/>
      <c r="D24" s="2"/>
      <c r="E24" s="2"/>
    </row>
    <row r="25" spans="1:5">
      <c r="A25" s="5"/>
      <c r="B25" s="6"/>
      <c r="C25" s="2"/>
      <c r="D25" s="2"/>
      <c r="E25" s="2"/>
    </row>
    <row r="26" spans="1:5">
      <c r="A26" s="5"/>
      <c r="B26" s="6"/>
      <c r="C26" s="2"/>
      <c r="D26" s="2"/>
      <c r="E26" s="2"/>
    </row>
    <row r="27" spans="1:5">
      <c r="A27" s="5"/>
      <c r="B27" s="6"/>
      <c r="C27" s="2"/>
      <c r="D27" s="2"/>
      <c r="E27" s="2"/>
    </row>
    <row r="28" spans="1:5">
      <c r="A28" s="5"/>
      <c r="B28" s="6"/>
      <c r="C28" s="2"/>
      <c r="D28" s="2"/>
      <c r="E28" s="2"/>
    </row>
    <row r="29" spans="1:5">
      <c r="A29" s="5"/>
      <c r="B29" s="6"/>
      <c r="C29" s="2"/>
      <c r="D29" s="2"/>
      <c r="E29" s="2"/>
    </row>
    <row r="30" spans="1:5">
      <c r="A30" s="5"/>
      <c r="B30" s="6"/>
      <c r="C30" s="2"/>
      <c r="D30" s="2"/>
      <c r="E30" s="2"/>
    </row>
    <row r="31" spans="1:5">
      <c r="A31" s="5"/>
      <c r="B31" s="6"/>
      <c r="C31" s="2"/>
      <c r="D31" s="2"/>
      <c r="E31" s="2"/>
    </row>
    <row r="32" spans="1:5">
      <c r="A32" s="5"/>
      <c r="B32" s="6"/>
      <c r="C32" s="2"/>
      <c r="D32" s="2"/>
      <c r="E32" s="2"/>
    </row>
    <row r="33" spans="1:5">
      <c r="A33" s="5"/>
      <c r="B33" s="6"/>
      <c r="C33" s="2"/>
      <c r="D33" s="2"/>
      <c r="E33" s="2"/>
    </row>
    <row r="34" spans="1:5">
      <c r="A34" s="5"/>
      <c r="B34" s="6"/>
      <c r="C34" s="2"/>
      <c r="D34" s="2"/>
      <c r="E34" s="2"/>
    </row>
    <row r="35" spans="1:5">
      <c r="A35" s="5"/>
      <c r="B35" s="6"/>
      <c r="C35" s="2"/>
      <c r="D35" s="2"/>
      <c r="E35" s="2"/>
    </row>
    <row r="36" spans="1:5">
      <c r="A36" s="5"/>
      <c r="B36" s="6"/>
      <c r="C36" s="2"/>
      <c r="D36" s="2"/>
      <c r="E36" s="2"/>
    </row>
    <row r="37" spans="3:5">
      <c r="C37" s="7"/>
      <c r="E3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英国FBA托盘包车价格</vt:lpstr>
      <vt:lpstr>海运卸柜价格</vt:lpstr>
      <vt:lpstr>拣货费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Xupan Gao</dc:creator>
  <cp:lastModifiedBy>刘程英</cp:lastModifiedBy>
  <dcterms:created xsi:type="dcterms:W3CDTF">2018-03-18T20:37:00Z</dcterms:created>
  <dcterms:modified xsi:type="dcterms:W3CDTF">2024-10-22T06:31:13Z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71631D212262446F989F2AB13A98F74B_13</vt:lpwstr>
  </property>
  <property fmtid="{D5CDD505-2E9C-101B-9397-08002B2CF9AE}" pid="3" name="KSOProductBuildVer">
    <vt:lpwstr>2052-12.1.0.18608</vt:lpwstr>
  </property>
</Properties>
</file>