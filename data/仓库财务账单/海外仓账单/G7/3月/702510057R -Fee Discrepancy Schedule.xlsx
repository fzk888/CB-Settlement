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<sst xmlns="http://schemas.openxmlformats.org/spreadsheetml/2006/main" count="104" uniqueCount="48">
  <si>
    <t>GROUP7  Billed Quantity and Amount</t>
  </si>
  <si>
    <t>HUPPER  Actual Delivered Quantity and Payable Amount</t>
  </si>
  <si>
    <t>Amazon Order Number</t>
  </si>
  <si>
    <t>Date</t>
  </si>
  <si>
    <t>boxes</t>
  </si>
  <si>
    <t>Qty</t>
  </si>
  <si>
    <t>Label</t>
  </si>
  <si>
    <t>Labelling（EUR）</t>
  </si>
  <si>
    <r>
      <rPr>
        <sz val="11"/>
        <color theme="1"/>
        <rFont val="宋体"/>
        <charset val="134"/>
        <scheme val="minor"/>
      </rPr>
      <t>Picking - lose boxes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Arial"/>
        <charset val="134"/>
      </rPr>
      <t>EUR</t>
    </r>
    <r>
      <rPr>
        <sz val="9"/>
        <color rgb="FF000000"/>
        <rFont val="宋体"/>
        <charset val="134"/>
      </rPr>
      <t>）</t>
    </r>
  </si>
  <si>
    <t>Packaging - lose boxes（EUR）</t>
  </si>
  <si>
    <t>Discrepancy Amount
Over charge（EUR）</t>
  </si>
  <si>
    <t>FBA15K3GC1G6</t>
  </si>
  <si>
    <t>10.03.2025</t>
  </si>
  <si>
    <t>Plus 18 x Heavy label</t>
  </si>
  <si>
    <t>FBA15K31QHTR</t>
  </si>
  <si>
    <t>05.03.2025</t>
  </si>
  <si>
    <t>Plus 3 x Heavy label</t>
  </si>
  <si>
    <t>Menge pro Kartons und Anzahl Kartons vertauscht</t>
  </si>
  <si>
    <t>FBA15K5MTCPL</t>
  </si>
  <si>
    <t>31.03.2025</t>
  </si>
  <si>
    <t>91  Label</t>
  </si>
  <si>
    <t>fälschlicherweise 4x schwer pro Karton festgehalten</t>
  </si>
  <si>
    <t>FBA15K5HCJ02</t>
  </si>
  <si>
    <t>487 Label</t>
  </si>
  <si>
    <t>Plus 7 x Heavy label</t>
  </si>
  <si>
    <t>FBA15K5HD6LR</t>
  </si>
  <si>
    <t>28.03.2025</t>
  </si>
  <si>
    <t>plus 15 x Heavy label</t>
  </si>
  <si>
    <t>FBA15K4WC6F8</t>
  </si>
  <si>
    <t>plus 3 x Heavy label</t>
  </si>
  <si>
    <t>FBA15K4W5RFK</t>
  </si>
  <si>
    <t>21.03.2025</t>
  </si>
  <si>
    <t>plus 11 x Heavy label</t>
  </si>
  <si>
    <t>FBA15K4V3475</t>
  </si>
  <si>
    <t>plus 14 x Heavy label</t>
  </si>
  <si>
    <t>FBA15K473YR3</t>
  </si>
  <si>
    <t>17.03.2025</t>
  </si>
  <si>
    <t>plus 8 x Heavy label</t>
  </si>
  <si>
    <t>FBA15K473WYM</t>
  </si>
  <si>
    <t>plus 5 x Heavy label</t>
  </si>
  <si>
    <t>FBA15K43HCTC</t>
  </si>
  <si>
    <t>14.03.2025</t>
  </si>
  <si>
    <t>plus 38 x Heavy label</t>
  </si>
  <si>
    <t>FBA15K3XVYKV</t>
  </si>
  <si>
    <t>plus 12 x Heavy label</t>
  </si>
  <si>
    <t>Total</t>
  </si>
  <si>
    <t>Update Group7</t>
  </si>
  <si>
    <t>Group7 Checked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</si>
</sst>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>
      <alignment vertical="center"/>
    </xf>
    <xf numFmtId="0" fontId="0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zoomScale="85" zoomScaleNormal="85" workbookViewId="0">
      <selection activeCell="F38" sqref="F38"/>
    </sheetView>
  </sheetViews>
  <sheetFormatPr defaultColWidth="9" defaultRowHeight="13.5"/>
  <cols>
    <col min="1" max="1" width="22.7083333333333" customWidth="1"/>
    <col min="2" max="2" width="16.7083333333333" customWidth="1"/>
    <col min="3" max="3" width="13.425" customWidth="1"/>
    <col min="4" max="4" width="13.8583333333333" customWidth="1"/>
    <col min="5" max="5" width="12.7083333333333" customWidth="1"/>
    <col min="6" max="6" width="17.425" customWidth="1"/>
    <col min="7" max="7" width="17.5666666666667" customWidth="1"/>
    <col min="8" max="8" width="17.1416666666667" customWidth="1"/>
    <col min="9" max="10" width="13.2833333333333" customWidth="1"/>
    <col min="11" max="11" width="13.425" customWidth="1"/>
    <col min="12" max="12" width="11.1416666666667" customWidth="1"/>
    <col min="13" max="13" width="15.2833333333333" customWidth="1"/>
    <col min="14" max="14" width="14.425" customWidth="1"/>
    <col min="15" max="15" width="20.425" customWidth="1"/>
    <col min="16" max="16" width="34.4166666666667" customWidth="1"/>
    <col min="17" max="17" width="12.425" customWidth="1"/>
  </cols>
  <sheetData>
    <row r="1" ht="48" customHeight="1" spans="1:15">
      <c r="A1" s="1"/>
      <c r="B1" s="1"/>
      <c r="C1" s="2" t="s">
        <v>0</v>
      </c>
      <c r="D1" s="2"/>
      <c r="E1" s="2"/>
      <c r="F1" s="2"/>
      <c r="G1" s="2"/>
      <c r="H1" s="2"/>
      <c r="I1" s="8" t="s">
        <v>1</v>
      </c>
      <c r="J1" s="8"/>
      <c r="K1" s="8"/>
      <c r="L1" s="8"/>
      <c r="M1" s="8"/>
      <c r="N1" s="8"/>
      <c r="O1" s="1"/>
    </row>
    <row r="2" ht="54.95" customHeight="1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</row>
    <row r="3" spans="1:16">
      <c r="A3" s="4" t="s">
        <v>11</v>
      </c>
      <c r="B3" s="5" t="s">
        <v>12</v>
      </c>
      <c r="C3" s="6">
        <v>31</v>
      </c>
      <c r="D3" s="6">
        <v>760</v>
      </c>
      <c r="E3" s="7">
        <v>1538</v>
      </c>
      <c r="F3" s="6">
        <f t="shared" ref="F3:F15" si="0">E3*0.32</f>
        <v>492.16</v>
      </c>
      <c r="G3" s="6">
        <f t="shared" ref="G3:G15" si="1">1.35*C3</f>
        <v>41.85</v>
      </c>
      <c r="H3" s="6">
        <f t="shared" ref="H3:H15" si="2">C3*1.18</f>
        <v>36.58</v>
      </c>
      <c r="I3" s="6">
        <v>31</v>
      </c>
      <c r="J3" s="6">
        <v>760</v>
      </c>
      <c r="K3" s="8">
        <f t="shared" ref="K3:K14" si="3">J3*2</f>
        <v>1520</v>
      </c>
      <c r="L3" s="14">
        <f t="shared" ref="L3:L15" si="4">K3*0.32</f>
        <v>486.4</v>
      </c>
      <c r="M3" s="6">
        <f t="shared" ref="M3:M14" si="5">I3*1.35</f>
        <v>41.85</v>
      </c>
      <c r="N3" s="6">
        <f t="shared" ref="N3:N15" si="6">I3*1.18</f>
        <v>36.58</v>
      </c>
      <c r="O3" s="6">
        <f t="shared" ref="O3:O15" si="7">L3+M3+N3-F3-G3-H3</f>
        <v>-5.75999999999998</v>
      </c>
      <c r="P3" t="s">
        <v>13</v>
      </c>
    </row>
    <row r="4" spans="1:19">
      <c r="A4" s="4" t="s">
        <v>14</v>
      </c>
      <c r="B4" s="5" t="s">
        <v>15</v>
      </c>
      <c r="C4" s="8">
        <v>92</v>
      </c>
      <c r="D4" s="6">
        <v>218</v>
      </c>
      <c r="E4" s="7">
        <v>439</v>
      </c>
      <c r="F4" s="6">
        <f t="shared" si="0"/>
        <v>140.48</v>
      </c>
      <c r="G4" s="6">
        <f t="shared" si="1"/>
        <v>124.2</v>
      </c>
      <c r="H4" s="6">
        <f t="shared" si="2"/>
        <v>108.56</v>
      </c>
      <c r="I4" s="7">
        <v>16</v>
      </c>
      <c r="J4" s="6">
        <v>218</v>
      </c>
      <c r="K4" s="8">
        <f t="shared" si="3"/>
        <v>436</v>
      </c>
      <c r="L4" s="14">
        <f t="shared" si="4"/>
        <v>139.52</v>
      </c>
      <c r="M4" s="6">
        <f t="shared" si="5"/>
        <v>21.6</v>
      </c>
      <c r="N4" s="6">
        <f t="shared" si="6"/>
        <v>18.88</v>
      </c>
      <c r="O4" s="6">
        <f t="shared" si="7"/>
        <v>-193.24</v>
      </c>
      <c r="P4" t="s">
        <v>16</v>
      </c>
      <c r="R4" s="16"/>
      <c r="S4" t="s">
        <v>17</v>
      </c>
    </row>
    <row r="5" spans="1:24">
      <c r="A5" s="4" t="s">
        <v>18</v>
      </c>
      <c r="B5" s="5" t="s">
        <v>19</v>
      </c>
      <c r="C5" s="8">
        <v>44</v>
      </c>
      <c r="D5" s="6">
        <v>44</v>
      </c>
      <c r="E5" s="8">
        <v>240</v>
      </c>
      <c r="F5" s="6">
        <f t="shared" si="0"/>
        <v>76.8</v>
      </c>
      <c r="G5" s="6">
        <f t="shared" si="1"/>
        <v>59.4</v>
      </c>
      <c r="H5" s="6">
        <f t="shared" si="2"/>
        <v>51.92</v>
      </c>
      <c r="I5" s="7">
        <v>4</v>
      </c>
      <c r="J5" s="6">
        <v>44</v>
      </c>
      <c r="K5" s="8">
        <f t="shared" si="3"/>
        <v>88</v>
      </c>
      <c r="L5" s="14">
        <f t="shared" si="4"/>
        <v>28.16</v>
      </c>
      <c r="M5" s="6">
        <f t="shared" si="5"/>
        <v>5.4</v>
      </c>
      <c r="N5" s="6">
        <f t="shared" si="6"/>
        <v>4.72</v>
      </c>
      <c r="O5" s="6">
        <f t="shared" si="7"/>
        <v>-149.84</v>
      </c>
      <c r="P5" s="15" t="s">
        <v>20</v>
      </c>
      <c r="Q5" s="16" t="s">
        <v>16</v>
      </c>
      <c r="S5" t="s">
        <v>17</v>
      </c>
      <c r="X5" s="16" t="s">
        <v>21</v>
      </c>
    </row>
    <row r="6" spans="1:24">
      <c r="A6" s="4" t="s">
        <v>22</v>
      </c>
      <c r="B6" s="5" t="s">
        <v>19</v>
      </c>
      <c r="C6" s="6">
        <v>17</v>
      </c>
      <c r="D6" s="6">
        <v>240</v>
      </c>
      <c r="E6" s="8">
        <v>508</v>
      </c>
      <c r="F6" s="6">
        <f t="shared" si="0"/>
        <v>162.56</v>
      </c>
      <c r="G6" s="6">
        <f t="shared" si="1"/>
        <v>22.95</v>
      </c>
      <c r="H6" s="6">
        <f t="shared" si="2"/>
        <v>20.06</v>
      </c>
      <c r="I6" s="6">
        <v>17</v>
      </c>
      <c r="J6" s="6">
        <v>240</v>
      </c>
      <c r="K6" s="8">
        <f t="shared" si="3"/>
        <v>480</v>
      </c>
      <c r="L6" s="14">
        <f t="shared" si="4"/>
        <v>153.6</v>
      </c>
      <c r="M6" s="6">
        <f t="shared" si="5"/>
        <v>22.95</v>
      </c>
      <c r="N6" s="6">
        <f t="shared" si="6"/>
        <v>20.06</v>
      </c>
      <c r="O6" s="6">
        <f t="shared" si="7"/>
        <v>-8.95999999999999</v>
      </c>
      <c r="P6" s="15" t="s">
        <v>23</v>
      </c>
      <c r="Q6" s="16" t="s">
        <v>24</v>
      </c>
      <c r="X6" s="16" t="s">
        <v>21</v>
      </c>
    </row>
    <row r="7" spans="1:16">
      <c r="A7" s="4" t="s">
        <v>25</v>
      </c>
      <c r="B7" s="5" t="s">
        <v>26</v>
      </c>
      <c r="C7" s="6">
        <v>45</v>
      </c>
      <c r="D7" s="6">
        <v>614</v>
      </c>
      <c r="E7" s="7">
        <v>1243</v>
      </c>
      <c r="F7" s="6">
        <f t="shared" si="0"/>
        <v>397.76</v>
      </c>
      <c r="G7" s="6">
        <f t="shared" si="1"/>
        <v>60.75</v>
      </c>
      <c r="H7" s="6">
        <f t="shared" si="2"/>
        <v>53.1</v>
      </c>
      <c r="I7" s="6">
        <v>45</v>
      </c>
      <c r="J7" s="6">
        <v>614</v>
      </c>
      <c r="K7" s="8">
        <f t="shared" si="3"/>
        <v>1228</v>
      </c>
      <c r="L7" s="14">
        <f t="shared" si="4"/>
        <v>392.96</v>
      </c>
      <c r="M7" s="6">
        <f t="shared" si="5"/>
        <v>60.75</v>
      </c>
      <c r="N7" s="6">
        <f t="shared" si="6"/>
        <v>53.1</v>
      </c>
      <c r="O7" s="6">
        <f t="shared" si="7"/>
        <v>-4.79999999999993</v>
      </c>
      <c r="P7" s="16" t="s">
        <v>27</v>
      </c>
    </row>
    <row r="8" spans="1:16">
      <c r="A8" s="4" t="s">
        <v>28</v>
      </c>
      <c r="B8" s="5" t="s">
        <v>26</v>
      </c>
      <c r="C8" s="6">
        <v>5</v>
      </c>
      <c r="D8" s="6">
        <v>84</v>
      </c>
      <c r="E8" s="7">
        <v>171</v>
      </c>
      <c r="F8" s="6">
        <f t="shared" si="0"/>
        <v>54.72</v>
      </c>
      <c r="G8" s="6">
        <f t="shared" si="1"/>
        <v>6.75</v>
      </c>
      <c r="H8" s="6">
        <f t="shared" si="2"/>
        <v>5.9</v>
      </c>
      <c r="I8" s="6">
        <v>5</v>
      </c>
      <c r="J8" s="6">
        <v>84</v>
      </c>
      <c r="K8" s="8">
        <f t="shared" si="3"/>
        <v>168</v>
      </c>
      <c r="L8" s="14">
        <f t="shared" si="4"/>
        <v>53.76</v>
      </c>
      <c r="M8" s="6">
        <f t="shared" si="5"/>
        <v>6.75</v>
      </c>
      <c r="N8" s="6">
        <f t="shared" si="6"/>
        <v>5.9</v>
      </c>
      <c r="O8" s="6">
        <f t="shared" si="7"/>
        <v>-0.960000000000002</v>
      </c>
      <c r="P8" s="16" t="s">
        <v>29</v>
      </c>
    </row>
    <row r="9" spans="1:16">
      <c r="A9" s="4" t="s">
        <v>30</v>
      </c>
      <c r="B9" s="5" t="s">
        <v>31</v>
      </c>
      <c r="C9" s="6">
        <v>11</v>
      </c>
      <c r="D9" s="6">
        <v>57</v>
      </c>
      <c r="E9" s="7">
        <v>125</v>
      </c>
      <c r="F9" s="6">
        <f t="shared" si="0"/>
        <v>40</v>
      </c>
      <c r="G9" s="6">
        <f t="shared" si="1"/>
        <v>14.85</v>
      </c>
      <c r="H9" s="6">
        <f t="shared" si="2"/>
        <v>12.98</v>
      </c>
      <c r="I9" s="6">
        <v>11</v>
      </c>
      <c r="J9" s="6">
        <v>57</v>
      </c>
      <c r="K9" s="8">
        <f t="shared" si="3"/>
        <v>114</v>
      </c>
      <c r="L9" s="14">
        <f t="shared" si="4"/>
        <v>36.48</v>
      </c>
      <c r="M9" s="6">
        <f t="shared" si="5"/>
        <v>14.85</v>
      </c>
      <c r="N9" s="6">
        <f t="shared" si="6"/>
        <v>12.98</v>
      </c>
      <c r="O9" s="6">
        <f t="shared" si="7"/>
        <v>-3.52</v>
      </c>
      <c r="P9" s="16" t="s">
        <v>32</v>
      </c>
    </row>
    <row r="10" spans="1:19">
      <c r="A10" s="4" t="s">
        <v>33</v>
      </c>
      <c r="B10" s="5" t="s">
        <v>31</v>
      </c>
      <c r="C10" s="8">
        <v>104</v>
      </c>
      <c r="D10" s="6">
        <v>420</v>
      </c>
      <c r="E10" s="7">
        <v>854</v>
      </c>
      <c r="F10" s="6">
        <f t="shared" si="0"/>
        <v>273.28</v>
      </c>
      <c r="G10" s="6">
        <f t="shared" si="1"/>
        <v>140.4</v>
      </c>
      <c r="H10" s="6">
        <f t="shared" si="2"/>
        <v>122.72</v>
      </c>
      <c r="I10" s="7">
        <v>20</v>
      </c>
      <c r="J10" s="6">
        <v>420</v>
      </c>
      <c r="K10" s="8">
        <f t="shared" si="3"/>
        <v>840</v>
      </c>
      <c r="L10" s="14">
        <f t="shared" si="4"/>
        <v>268.8</v>
      </c>
      <c r="M10" s="6">
        <f t="shared" si="5"/>
        <v>27</v>
      </c>
      <c r="N10" s="6">
        <f t="shared" si="6"/>
        <v>23.6</v>
      </c>
      <c r="O10" s="6">
        <f t="shared" si="7"/>
        <v>-217</v>
      </c>
      <c r="P10" s="16" t="s">
        <v>34</v>
      </c>
      <c r="S10" t="s">
        <v>17</v>
      </c>
    </row>
    <row r="11" spans="1:16">
      <c r="A11" s="4" t="s">
        <v>35</v>
      </c>
      <c r="B11" s="5" t="s">
        <v>36</v>
      </c>
      <c r="C11" s="6">
        <v>8</v>
      </c>
      <c r="D11" s="6">
        <v>68</v>
      </c>
      <c r="E11" s="7">
        <v>144</v>
      </c>
      <c r="F11" s="6">
        <f t="shared" si="0"/>
        <v>46.08</v>
      </c>
      <c r="G11" s="6">
        <f t="shared" si="1"/>
        <v>10.8</v>
      </c>
      <c r="H11" s="6">
        <f t="shared" si="2"/>
        <v>9.44</v>
      </c>
      <c r="I11" s="6">
        <v>8</v>
      </c>
      <c r="J11" s="6">
        <v>68</v>
      </c>
      <c r="K11" s="8">
        <f t="shared" si="3"/>
        <v>136</v>
      </c>
      <c r="L11" s="14">
        <f t="shared" si="4"/>
        <v>43.52</v>
      </c>
      <c r="M11" s="6">
        <f t="shared" si="5"/>
        <v>10.8</v>
      </c>
      <c r="N11" s="6">
        <f t="shared" si="6"/>
        <v>9.44</v>
      </c>
      <c r="O11" s="6">
        <f t="shared" si="7"/>
        <v>-2.55999999999999</v>
      </c>
      <c r="P11" s="16" t="s">
        <v>37</v>
      </c>
    </row>
    <row r="12" spans="1:16">
      <c r="A12" s="4" t="s">
        <v>38</v>
      </c>
      <c r="B12" s="5" t="s">
        <v>36</v>
      </c>
      <c r="C12" s="6">
        <v>25</v>
      </c>
      <c r="D12" s="6">
        <v>124</v>
      </c>
      <c r="E12" s="7">
        <v>253</v>
      </c>
      <c r="F12" s="6">
        <f t="shared" si="0"/>
        <v>80.96</v>
      </c>
      <c r="G12" s="6">
        <f t="shared" si="1"/>
        <v>33.75</v>
      </c>
      <c r="H12" s="6">
        <f t="shared" si="2"/>
        <v>29.5</v>
      </c>
      <c r="I12" s="6">
        <v>25</v>
      </c>
      <c r="J12" s="6">
        <v>124</v>
      </c>
      <c r="K12" s="8">
        <f t="shared" si="3"/>
        <v>248</v>
      </c>
      <c r="L12" s="14">
        <f t="shared" si="4"/>
        <v>79.36</v>
      </c>
      <c r="M12" s="6">
        <f t="shared" si="5"/>
        <v>33.75</v>
      </c>
      <c r="N12" s="6">
        <f t="shared" si="6"/>
        <v>29.5</v>
      </c>
      <c r="O12" s="6">
        <f t="shared" si="7"/>
        <v>-1.59999999999999</v>
      </c>
      <c r="P12" s="16" t="s">
        <v>39</v>
      </c>
    </row>
    <row r="13" spans="1:16">
      <c r="A13" s="4" t="s">
        <v>40</v>
      </c>
      <c r="B13" s="5" t="s">
        <v>41</v>
      </c>
      <c r="C13" s="6">
        <v>48</v>
      </c>
      <c r="D13" s="6">
        <v>318</v>
      </c>
      <c r="E13" s="7">
        <v>674</v>
      </c>
      <c r="F13" s="6">
        <f t="shared" si="0"/>
        <v>215.68</v>
      </c>
      <c r="G13" s="6">
        <f t="shared" si="1"/>
        <v>64.8</v>
      </c>
      <c r="H13" s="6">
        <f t="shared" si="2"/>
        <v>56.64</v>
      </c>
      <c r="I13" s="6">
        <v>48</v>
      </c>
      <c r="J13" s="6">
        <v>318</v>
      </c>
      <c r="K13" s="8">
        <f t="shared" si="3"/>
        <v>636</v>
      </c>
      <c r="L13" s="14">
        <f t="shared" si="4"/>
        <v>203.52</v>
      </c>
      <c r="M13" s="6">
        <f t="shared" si="5"/>
        <v>64.8</v>
      </c>
      <c r="N13" s="6">
        <f t="shared" si="6"/>
        <v>56.64</v>
      </c>
      <c r="O13" s="6">
        <f t="shared" si="7"/>
        <v>-12.16</v>
      </c>
      <c r="P13" s="16" t="s">
        <v>42</v>
      </c>
    </row>
    <row r="14" spans="1:16">
      <c r="A14" s="9" t="s">
        <v>43</v>
      </c>
      <c r="B14" s="10" t="s">
        <v>41</v>
      </c>
      <c r="C14" s="6">
        <v>12</v>
      </c>
      <c r="D14" s="6">
        <v>12</v>
      </c>
      <c r="E14" s="7">
        <v>36</v>
      </c>
      <c r="F14" s="6">
        <f t="shared" si="0"/>
        <v>11.52</v>
      </c>
      <c r="G14" s="6">
        <f t="shared" si="1"/>
        <v>16.2</v>
      </c>
      <c r="H14" s="6">
        <f t="shared" si="2"/>
        <v>14.16</v>
      </c>
      <c r="I14" s="6">
        <v>12</v>
      </c>
      <c r="J14" s="6">
        <v>12</v>
      </c>
      <c r="K14" s="8">
        <f t="shared" si="3"/>
        <v>24</v>
      </c>
      <c r="L14" s="14">
        <f t="shared" si="4"/>
        <v>7.68</v>
      </c>
      <c r="M14" s="6">
        <f t="shared" si="5"/>
        <v>16.2</v>
      </c>
      <c r="N14" s="6">
        <f t="shared" si="6"/>
        <v>14.16</v>
      </c>
      <c r="O14" s="6">
        <f t="shared" si="7"/>
        <v>-3.84</v>
      </c>
      <c r="P14" s="16" t="s">
        <v>44</v>
      </c>
    </row>
    <row r="15" spans="1:15">
      <c r="A15" s="11" t="s">
        <v>45</v>
      </c>
      <c r="B15" s="11"/>
      <c r="C15" s="6">
        <f>SUM(C3:C14)</f>
        <v>442</v>
      </c>
      <c r="D15" s="6">
        <f>SUM(D3:D14)</f>
        <v>2959</v>
      </c>
      <c r="E15" s="6">
        <f>SUM(E3:E14)</f>
        <v>6225</v>
      </c>
      <c r="F15" s="6">
        <f t="shared" si="0"/>
        <v>1992</v>
      </c>
      <c r="G15" s="6">
        <f t="shared" si="1"/>
        <v>596.7</v>
      </c>
      <c r="H15" s="6">
        <f t="shared" si="2"/>
        <v>521.56</v>
      </c>
      <c r="I15" s="6">
        <f>SUM(I3:I14)</f>
        <v>242</v>
      </c>
      <c r="J15" s="6">
        <f>SUM(J3:J14)</f>
        <v>2959</v>
      </c>
      <c r="K15" s="6">
        <f>SUM(K3:K14)</f>
        <v>5918</v>
      </c>
      <c r="L15" s="6">
        <f t="shared" si="4"/>
        <v>1893.76</v>
      </c>
      <c r="M15" s="6">
        <f>1.35*I15</f>
        <v>326.7</v>
      </c>
      <c r="N15" s="6">
        <f t="shared" si="6"/>
        <v>285.56</v>
      </c>
      <c r="O15" s="6">
        <f t="shared" si="7"/>
        <v>-604.24</v>
      </c>
    </row>
    <row r="18" spans="1:15">
      <c r="A18" s="12" t="s">
        <v>46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4">
      <c r="A20" s="1"/>
      <c r="B20" s="1"/>
      <c r="C20" s="2" t="s">
        <v>0</v>
      </c>
      <c r="D20" s="2"/>
      <c r="E20" s="2"/>
      <c r="F20" s="2"/>
      <c r="G20" s="2"/>
      <c r="H20" s="2"/>
      <c r="I20" s="17" t="s">
        <v>47</v>
      </c>
      <c r="J20" s="8"/>
      <c r="K20" s="8"/>
      <c r="L20" s="8"/>
      <c r="M20" s="8"/>
      <c r="N20" s="8"/>
    </row>
    <row r="21" ht="40.5" spans="1:15">
      <c r="A21" s="3" t="s">
        <v>2</v>
      </c>
      <c r="B21" s="3" t="s">
        <v>3</v>
      </c>
      <c r="C21" s="3" t="s">
        <v>4</v>
      </c>
      <c r="D21" s="3" t="s">
        <v>5</v>
      </c>
      <c r="E21" s="3" t="s">
        <v>6</v>
      </c>
      <c r="F21" s="3" t="s">
        <v>7</v>
      </c>
      <c r="G21" s="3" t="s">
        <v>8</v>
      </c>
      <c r="H21" s="3" t="s">
        <v>9</v>
      </c>
      <c r="I21" s="3" t="s">
        <v>4</v>
      </c>
      <c r="J21" s="3" t="s">
        <v>5</v>
      </c>
      <c r="K21" s="3" t="s">
        <v>6</v>
      </c>
      <c r="L21" s="3" t="s">
        <v>7</v>
      </c>
      <c r="M21" s="3" t="s">
        <v>8</v>
      </c>
      <c r="N21" s="3" t="s">
        <v>9</v>
      </c>
      <c r="O21" s="3" t="s">
        <v>10</v>
      </c>
    </row>
    <row r="22" spans="1:15">
      <c r="A22" s="4" t="s">
        <v>11</v>
      </c>
      <c r="B22" s="5" t="s">
        <v>12</v>
      </c>
      <c r="C22" s="6">
        <v>31</v>
      </c>
      <c r="D22" s="6">
        <v>760</v>
      </c>
      <c r="E22" s="7">
        <v>1538</v>
      </c>
      <c r="F22" s="6">
        <f t="shared" ref="F22:F34" si="8">E22*0.32</f>
        <v>492.16</v>
      </c>
      <c r="G22" s="6">
        <f t="shared" ref="G22:G34" si="9">1.35*C22</f>
        <v>41.85</v>
      </c>
      <c r="H22" s="6">
        <f t="shared" ref="H22:H34" si="10">C22*1.18</f>
        <v>36.58</v>
      </c>
      <c r="I22" s="6">
        <v>31</v>
      </c>
      <c r="J22" s="6">
        <v>760</v>
      </c>
      <c r="K22" s="8">
        <v>1538</v>
      </c>
      <c r="L22" s="14">
        <f t="shared" ref="L22:L34" si="11">K22*0.32</f>
        <v>492.16</v>
      </c>
      <c r="M22" s="6">
        <f t="shared" ref="M22:M33" si="12">I22*1.35</f>
        <v>41.85</v>
      </c>
      <c r="N22" s="6">
        <f t="shared" ref="N22:N34" si="13">I22*1.18</f>
        <v>36.58</v>
      </c>
      <c r="O22" s="6">
        <f>L22+M22+N22-F22-G22-H22</f>
        <v>0</v>
      </c>
    </row>
    <row r="23" spans="1:15">
      <c r="A23" s="4" t="s">
        <v>14</v>
      </c>
      <c r="B23" s="5" t="s">
        <v>15</v>
      </c>
      <c r="C23" s="8">
        <v>92</v>
      </c>
      <c r="D23" s="6">
        <v>218</v>
      </c>
      <c r="E23" s="7">
        <v>439</v>
      </c>
      <c r="F23" s="6">
        <f>E23*0.32</f>
        <v>140.48</v>
      </c>
      <c r="G23" s="6">
        <f>1.35*C23</f>
        <v>124.2</v>
      </c>
      <c r="H23" s="6">
        <f>C23*1.18</f>
        <v>108.56</v>
      </c>
      <c r="I23" s="7">
        <v>16</v>
      </c>
      <c r="J23" s="6">
        <v>218</v>
      </c>
      <c r="K23" s="8">
        <v>439</v>
      </c>
      <c r="L23" s="14">
        <f t="shared" si="11"/>
        <v>140.48</v>
      </c>
      <c r="M23" s="6">
        <f t="shared" si="12"/>
        <v>21.6</v>
      </c>
      <c r="N23" s="6">
        <f t="shared" si="13"/>
        <v>18.88</v>
      </c>
      <c r="O23" s="6">
        <f>L23+M23+N23-F23-G23-H23</f>
        <v>-192.28</v>
      </c>
    </row>
    <row r="24" spans="1:15">
      <c r="A24" s="4" t="s">
        <v>18</v>
      </c>
      <c r="B24" s="5" t="s">
        <v>19</v>
      </c>
      <c r="C24" s="8">
        <v>44</v>
      </c>
      <c r="D24" s="6">
        <v>44</v>
      </c>
      <c r="E24" s="8">
        <v>240</v>
      </c>
      <c r="F24" s="6">
        <f t="shared" si="8"/>
        <v>76.8</v>
      </c>
      <c r="G24" s="6">
        <f t="shared" si="9"/>
        <v>59.4</v>
      </c>
      <c r="H24" s="6">
        <f t="shared" si="10"/>
        <v>51.92</v>
      </c>
      <c r="I24" s="7">
        <v>4</v>
      </c>
      <c r="J24" s="6">
        <v>44</v>
      </c>
      <c r="K24" s="8">
        <v>91</v>
      </c>
      <c r="L24" s="14">
        <f t="shared" si="11"/>
        <v>29.12</v>
      </c>
      <c r="M24" s="6">
        <f t="shared" si="12"/>
        <v>5.4</v>
      </c>
      <c r="N24" s="6">
        <f t="shared" si="13"/>
        <v>4.72</v>
      </c>
      <c r="O24" s="6">
        <f t="shared" ref="O22:O34" si="14">L24+M24+N24-F24-G24-H24</f>
        <v>-148.88</v>
      </c>
    </row>
    <row r="25" spans="1:15">
      <c r="A25" s="4" t="s">
        <v>22</v>
      </c>
      <c r="B25" s="5" t="s">
        <v>19</v>
      </c>
      <c r="C25" s="6">
        <v>17</v>
      </c>
      <c r="D25" s="6">
        <v>240</v>
      </c>
      <c r="E25" s="8">
        <v>508</v>
      </c>
      <c r="F25" s="6">
        <f t="shared" si="8"/>
        <v>162.56</v>
      </c>
      <c r="G25" s="6">
        <f t="shared" si="9"/>
        <v>22.95</v>
      </c>
      <c r="H25" s="6">
        <f t="shared" si="10"/>
        <v>20.06</v>
      </c>
      <c r="I25" s="6">
        <v>17</v>
      </c>
      <c r="J25" s="6">
        <v>240</v>
      </c>
      <c r="K25" s="8">
        <v>487</v>
      </c>
      <c r="L25" s="14">
        <f t="shared" si="11"/>
        <v>155.84</v>
      </c>
      <c r="M25" s="6">
        <f t="shared" si="12"/>
        <v>22.95</v>
      </c>
      <c r="N25" s="6">
        <f t="shared" si="13"/>
        <v>20.06</v>
      </c>
      <c r="O25" s="6">
        <f t="shared" si="14"/>
        <v>-6.72000000000001</v>
      </c>
    </row>
    <row r="26" spans="1:15">
      <c r="A26" s="4" t="s">
        <v>25</v>
      </c>
      <c r="B26" s="5" t="s">
        <v>26</v>
      </c>
      <c r="C26" s="6">
        <v>45</v>
      </c>
      <c r="D26" s="6">
        <v>614</v>
      </c>
      <c r="E26" s="7">
        <v>1243</v>
      </c>
      <c r="F26" s="6">
        <f t="shared" si="8"/>
        <v>397.76</v>
      </c>
      <c r="G26" s="6">
        <f t="shared" si="9"/>
        <v>60.75</v>
      </c>
      <c r="H26" s="6">
        <f t="shared" si="10"/>
        <v>53.1</v>
      </c>
      <c r="I26" s="6">
        <v>45</v>
      </c>
      <c r="J26" s="6">
        <v>614</v>
      </c>
      <c r="K26" s="8">
        <v>1243</v>
      </c>
      <c r="L26" s="14">
        <f t="shared" si="11"/>
        <v>397.76</v>
      </c>
      <c r="M26" s="6">
        <f t="shared" si="12"/>
        <v>60.75</v>
      </c>
      <c r="N26" s="6">
        <f t="shared" si="13"/>
        <v>53.1</v>
      </c>
      <c r="O26" s="6">
        <f t="shared" si="14"/>
        <v>0</v>
      </c>
    </row>
    <row r="27" spans="1:15">
      <c r="A27" s="4" t="s">
        <v>28</v>
      </c>
      <c r="B27" s="5" t="s">
        <v>26</v>
      </c>
      <c r="C27" s="6">
        <v>5</v>
      </c>
      <c r="D27" s="6">
        <v>84</v>
      </c>
      <c r="E27" s="7">
        <v>171</v>
      </c>
      <c r="F27" s="6">
        <f t="shared" si="8"/>
        <v>54.72</v>
      </c>
      <c r="G27" s="6">
        <f t="shared" si="9"/>
        <v>6.75</v>
      </c>
      <c r="H27" s="6">
        <f t="shared" si="10"/>
        <v>5.9</v>
      </c>
      <c r="I27" s="6">
        <v>5</v>
      </c>
      <c r="J27" s="6">
        <v>84</v>
      </c>
      <c r="K27" s="8">
        <v>171</v>
      </c>
      <c r="L27" s="14">
        <f t="shared" si="11"/>
        <v>54.72</v>
      </c>
      <c r="M27" s="6">
        <f t="shared" si="12"/>
        <v>6.75</v>
      </c>
      <c r="N27" s="6">
        <f t="shared" si="13"/>
        <v>5.9</v>
      </c>
      <c r="O27" s="6">
        <f t="shared" si="14"/>
        <v>0</v>
      </c>
    </row>
    <row r="28" spans="1:15">
      <c r="A28" s="4" t="s">
        <v>30</v>
      </c>
      <c r="B28" s="5" t="s">
        <v>31</v>
      </c>
      <c r="C28" s="6">
        <v>11</v>
      </c>
      <c r="D28" s="6">
        <v>57</v>
      </c>
      <c r="E28" s="7">
        <v>125</v>
      </c>
      <c r="F28" s="6">
        <f t="shared" si="8"/>
        <v>40</v>
      </c>
      <c r="G28" s="6">
        <f t="shared" si="9"/>
        <v>14.85</v>
      </c>
      <c r="H28" s="6">
        <f t="shared" si="10"/>
        <v>12.98</v>
      </c>
      <c r="I28" s="6">
        <v>11</v>
      </c>
      <c r="J28" s="6">
        <v>57</v>
      </c>
      <c r="K28" s="8">
        <v>125</v>
      </c>
      <c r="L28" s="14">
        <f t="shared" si="11"/>
        <v>40</v>
      </c>
      <c r="M28" s="6">
        <f t="shared" si="12"/>
        <v>14.85</v>
      </c>
      <c r="N28" s="6">
        <f t="shared" si="13"/>
        <v>12.98</v>
      </c>
      <c r="O28" s="6">
        <f t="shared" si="14"/>
        <v>0</v>
      </c>
    </row>
    <row r="29" spans="1:15">
      <c r="A29" s="4" t="s">
        <v>33</v>
      </c>
      <c r="B29" s="5" t="s">
        <v>31</v>
      </c>
      <c r="C29" s="8">
        <v>104</v>
      </c>
      <c r="D29" s="6">
        <v>420</v>
      </c>
      <c r="E29" s="7">
        <v>854</v>
      </c>
      <c r="F29" s="6">
        <f t="shared" si="8"/>
        <v>273.28</v>
      </c>
      <c r="G29" s="6">
        <f t="shared" si="9"/>
        <v>140.4</v>
      </c>
      <c r="H29" s="6">
        <f t="shared" si="10"/>
        <v>122.72</v>
      </c>
      <c r="I29" s="7">
        <v>20</v>
      </c>
      <c r="J29" s="6">
        <v>420</v>
      </c>
      <c r="K29" s="8">
        <v>854</v>
      </c>
      <c r="L29" s="14">
        <f t="shared" si="11"/>
        <v>273.28</v>
      </c>
      <c r="M29" s="6">
        <f t="shared" si="12"/>
        <v>27</v>
      </c>
      <c r="N29" s="6">
        <f t="shared" si="13"/>
        <v>23.6</v>
      </c>
      <c r="O29" s="6">
        <f t="shared" si="14"/>
        <v>-212.52</v>
      </c>
    </row>
    <row r="30" spans="1:15">
      <c r="A30" s="4" t="s">
        <v>35</v>
      </c>
      <c r="B30" s="5" t="s">
        <v>36</v>
      </c>
      <c r="C30" s="6">
        <v>8</v>
      </c>
      <c r="D30" s="6">
        <v>68</v>
      </c>
      <c r="E30" s="7">
        <v>144</v>
      </c>
      <c r="F30" s="6">
        <f t="shared" si="8"/>
        <v>46.08</v>
      </c>
      <c r="G30" s="6">
        <f t="shared" si="9"/>
        <v>10.8</v>
      </c>
      <c r="H30" s="6">
        <f t="shared" si="10"/>
        <v>9.44</v>
      </c>
      <c r="I30" s="6">
        <v>8</v>
      </c>
      <c r="J30" s="6">
        <v>68</v>
      </c>
      <c r="K30" s="8">
        <v>144</v>
      </c>
      <c r="L30" s="14">
        <f t="shared" si="11"/>
        <v>46.08</v>
      </c>
      <c r="M30" s="6">
        <f t="shared" si="12"/>
        <v>10.8</v>
      </c>
      <c r="N30" s="6">
        <f t="shared" si="13"/>
        <v>9.44</v>
      </c>
      <c r="O30" s="6">
        <f t="shared" si="14"/>
        <v>0</v>
      </c>
    </row>
    <row r="31" spans="1:15">
      <c r="A31" s="4" t="s">
        <v>38</v>
      </c>
      <c r="B31" s="5" t="s">
        <v>36</v>
      </c>
      <c r="C31" s="6">
        <v>25</v>
      </c>
      <c r="D31" s="6">
        <v>124</v>
      </c>
      <c r="E31" s="7">
        <v>253</v>
      </c>
      <c r="F31" s="6">
        <f t="shared" si="8"/>
        <v>80.96</v>
      </c>
      <c r="G31" s="6">
        <f t="shared" si="9"/>
        <v>33.75</v>
      </c>
      <c r="H31" s="6">
        <f t="shared" si="10"/>
        <v>29.5</v>
      </c>
      <c r="I31" s="6">
        <v>25</v>
      </c>
      <c r="J31" s="6">
        <v>124</v>
      </c>
      <c r="K31" s="8">
        <v>253</v>
      </c>
      <c r="L31" s="14">
        <f t="shared" si="11"/>
        <v>80.96</v>
      </c>
      <c r="M31" s="6">
        <f t="shared" si="12"/>
        <v>33.75</v>
      </c>
      <c r="N31" s="6">
        <f t="shared" si="13"/>
        <v>29.5</v>
      </c>
      <c r="O31" s="6">
        <f t="shared" si="14"/>
        <v>0</v>
      </c>
    </row>
    <row r="32" spans="1:15">
      <c r="A32" s="4" t="s">
        <v>40</v>
      </c>
      <c r="B32" s="5" t="s">
        <v>41</v>
      </c>
      <c r="C32" s="6">
        <v>48</v>
      </c>
      <c r="D32" s="6">
        <v>318</v>
      </c>
      <c r="E32" s="7">
        <v>674</v>
      </c>
      <c r="F32" s="6">
        <f t="shared" si="8"/>
        <v>215.68</v>
      </c>
      <c r="G32" s="6">
        <f t="shared" si="9"/>
        <v>64.8</v>
      </c>
      <c r="H32" s="6">
        <f t="shared" si="10"/>
        <v>56.64</v>
      </c>
      <c r="I32" s="6">
        <v>48</v>
      </c>
      <c r="J32" s="6">
        <v>318</v>
      </c>
      <c r="K32" s="8">
        <v>674</v>
      </c>
      <c r="L32" s="14">
        <f t="shared" si="11"/>
        <v>215.68</v>
      </c>
      <c r="M32" s="6">
        <f t="shared" si="12"/>
        <v>64.8</v>
      </c>
      <c r="N32" s="6">
        <f t="shared" si="13"/>
        <v>56.64</v>
      </c>
      <c r="O32" s="6">
        <f t="shared" si="14"/>
        <v>0</v>
      </c>
    </row>
    <row r="33" spans="1:15">
      <c r="A33" s="9" t="s">
        <v>43</v>
      </c>
      <c r="B33" s="10" t="s">
        <v>41</v>
      </c>
      <c r="C33" s="6">
        <v>12</v>
      </c>
      <c r="D33" s="6">
        <v>12</v>
      </c>
      <c r="E33" s="7">
        <v>36</v>
      </c>
      <c r="F33" s="6">
        <f t="shared" si="8"/>
        <v>11.52</v>
      </c>
      <c r="G33" s="6">
        <f t="shared" si="9"/>
        <v>16.2</v>
      </c>
      <c r="H33" s="6">
        <f t="shared" si="10"/>
        <v>14.16</v>
      </c>
      <c r="I33" s="6">
        <v>12</v>
      </c>
      <c r="J33" s="6">
        <v>12</v>
      </c>
      <c r="K33" s="8">
        <v>36</v>
      </c>
      <c r="L33" s="14">
        <f t="shared" si="11"/>
        <v>11.52</v>
      </c>
      <c r="M33" s="6">
        <f t="shared" si="12"/>
        <v>16.2</v>
      </c>
      <c r="N33" s="6">
        <f t="shared" si="13"/>
        <v>14.16</v>
      </c>
      <c r="O33" s="6">
        <f t="shared" si="14"/>
        <v>0</v>
      </c>
    </row>
    <row r="34" spans="1:15">
      <c r="A34" s="11" t="s">
        <v>45</v>
      </c>
      <c r="B34" s="11"/>
      <c r="C34" s="6">
        <f>SUM(C22:C33)</f>
        <v>442</v>
      </c>
      <c r="D34" s="6">
        <f>SUM(D22:D33)</f>
        <v>2959</v>
      </c>
      <c r="E34" s="6">
        <f>SUM(E22:E33)</f>
        <v>6225</v>
      </c>
      <c r="F34" s="6">
        <f t="shared" si="8"/>
        <v>1992</v>
      </c>
      <c r="G34" s="6">
        <f t="shared" si="9"/>
        <v>596.7</v>
      </c>
      <c r="H34" s="6">
        <f t="shared" si="10"/>
        <v>521.56</v>
      </c>
      <c r="I34" s="6">
        <f>SUM(I22:I33)</f>
        <v>242</v>
      </c>
      <c r="J34" s="6">
        <f>SUM(J22:J33)</f>
        <v>2959</v>
      </c>
      <c r="K34" s="6">
        <f>SUM(K22:K33)</f>
        <v>6055</v>
      </c>
      <c r="L34" s="6">
        <f t="shared" si="11"/>
        <v>1937.6</v>
      </c>
      <c r="M34" s="6">
        <f>1.35*I34</f>
        <v>326.7</v>
      </c>
      <c r="N34" s="6">
        <f t="shared" si="13"/>
        <v>285.56</v>
      </c>
      <c r="O34" s="6">
        <f t="shared" si="14"/>
        <v>-560.4</v>
      </c>
    </row>
  </sheetData>
  <mergeCells count="7">
    <mergeCell ref="C1:H1"/>
    <mergeCell ref="I1:N1"/>
    <mergeCell ref="A15:B15"/>
    <mergeCell ref="C20:H20"/>
    <mergeCell ref="I20:N20"/>
    <mergeCell ref="A34:B34"/>
    <mergeCell ref="A18:O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李好</dc:creator>
  <cp:lastModifiedBy>蓓蓓</cp:lastModifiedBy>
  <dcterms:created xsi:type="dcterms:W3CDTF">2023-05-12T11:15:00Z</dcterms:created>
  <dcterms:modified xsi:type="dcterms:W3CDTF">2025-04-15T08:15:06Z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F9E2CB29579C4D5C839A12C6A3145115_13</vt:lpwstr>
  </property>
</Properties>
</file>